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alith Gali\DASH-TST\"/>
    </mc:Choice>
  </mc:AlternateContent>
  <xr:revisionPtr revIDLastSave="0" documentId="13_ncr:1_{473922DE-C9FE-4F5C-9374-B0F6BD87FE88}" xr6:coauthVersionLast="47" xr6:coauthVersionMax="47" xr10:uidLastSave="{00000000-0000-0000-0000-000000000000}"/>
  <bookViews>
    <workbookView xWindow="3036" yWindow="3036" windowWidth="17280" windowHeight="9960" tabRatio="572" activeTab="2" xr2:uid="{00000000-000D-0000-FFFF-FFFF00000000}"/>
  </bookViews>
  <sheets>
    <sheet name="Risk Management Dashboard" sheetId="1" r:id="rId1"/>
    <sheet name="Risk Register" sheetId="2" r:id="rId2"/>
    <sheet name="RAID Log" sheetId="3" r:id="rId3"/>
    <sheet name="RAID Dashboard" sheetId="4" r:id="rId4"/>
    <sheet name="RAID Insights" sheetId="5" r:id="rId5"/>
  </sheets>
  <definedNames>
    <definedName name="HTML_CodePage" hidden="1">1252</definedName>
    <definedName name="HTML_Control" localSheetId="1" hidden="1">{"'Cost Price'!$A$1:$F$144"}</definedName>
    <definedName name="HTML_Control" hidden="1">{"'Cost Price'!$A$1:$F$144"}</definedName>
    <definedName name="HTML_Description" hidden="1">""</definedName>
    <definedName name="HTML_Email" hidden="1">""</definedName>
    <definedName name="HTML_Header" hidden="1">"Cost Price"</definedName>
    <definedName name="HTML_LastUpdate" hidden="1">"5/20/99"</definedName>
    <definedName name="HTML_LineAfter" hidden="1">FALSE()</definedName>
    <definedName name="HTML_LineBefore" hidden="1">FALSE()</definedName>
    <definedName name="HTML_Name" hidden="1">"Y"</definedName>
    <definedName name="HTML_OBDlg2" hidden="1">TRUE()</definedName>
    <definedName name="HTML_OBDlg4" hidden="1">TRUE()</definedName>
    <definedName name="HTML_OS" hidden="1">0</definedName>
    <definedName name="HTML_PathFile" hidden="1">"C:\My Documents\MyHTML.htm"</definedName>
    <definedName name="HTML_Title" hidden="1">"BR 000 Database"</definedName>
    <definedName name="_xlnm.Print_Area" localSheetId="0">'Risk Management Dashboard'!$A$1:$T$40</definedName>
    <definedName name="_xlnm.Print_Area" localSheetId="1">'Risk Register'!$A$1:$Q$17</definedName>
    <definedName name="_xlnm.Print_Titles" localSheetId="1">'Risk Register'!$1:$1</definedName>
    <definedName name="sp" localSheetId="1" hidden="1">{"'Cost Price'!$A$1:$F$144"}</definedName>
    <definedName name="sp" hidden="1">{"'Cost Price'!$A$1:$F$144"}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6" i="3" l="1"/>
  <c r="P25" i="3"/>
  <c r="P24" i="3"/>
  <c r="P23" i="3"/>
  <c r="P22" i="3"/>
  <c r="L28" i="5"/>
  <c r="K28" i="5"/>
  <c r="J28" i="5"/>
  <c r="I28" i="5"/>
  <c r="H28" i="5"/>
  <c r="L27" i="5"/>
  <c r="K27" i="5"/>
  <c r="J27" i="5"/>
  <c r="I27" i="5"/>
  <c r="H27" i="5"/>
  <c r="L26" i="5"/>
  <c r="K26" i="5"/>
  <c r="J26" i="5"/>
  <c r="I26" i="5"/>
  <c r="H26" i="5"/>
  <c r="L25" i="5"/>
  <c r="K25" i="5"/>
  <c r="J25" i="5"/>
  <c r="I25" i="5"/>
  <c r="H25" i="5"/>
  <c r="L24" i="5"/>
  <c r="K24" i="5"/>
  <c r="J24" i="5"/>
  <c r="I24" i="5"/>
  <c r="H24" i="5"/>
  <c r="U17" i="5"/>
  <c r="U16" i="5"/>
  <c r="U15" i="5"/>
  <c r="U14" i="5"/>
  <c r="U13" i="5"/>
  <c r="X9" i="5"/>
  <c r="X8" i="5"/>
  <c r="U8" i="5"/>
  <c r="X7" i="5"/>
  <c r="U7" i="5"/>
  <c r="X6" i="5"/>
  <c r="U6" i="5"/>
  <c r="X5" i="5"/>
  <c r="U5" i="5"/>
  <c r="M5" i="5"/>
  <c r="J5" i="5"/>
  <c r="G5" i="5"/>
  <c r="D5" i="5"/>
  <c r="A5" i="5"/>
  <c r="AD24" i="4"/>
  <c r="AE24" i="4" s="1"/>
  <c r="AD23" i="4"/>
  <c r="AE23" i="4" s="1"/>
  <c r="AD22" i="4"/>
  <c r="AE22" i="4" s="1"/>
  <c r="AD21" i="4"/>
  <c r="AE21" i="4" s="1"/>
  <c r="AD20" i="4"/>
  <c r="AE20" i="4" s="1"/>
  <c r="G19" i="4"/>
  <c r="K30" i="4" s="1"/>
  <c r="G18" i="4"/>
  <c r="J29" i="4" s="1"/>
  <c r="G17" i="4"/>
  <c r="K28" i="4" s="1"/>
  <c r="J16" i="4"/>
  <c r="G27" i="4" s="1"/>
  <c r="G16" i="4"/>
  <c r="K27" i="4" s="1"/>
  <c r="J15" i="4"/>
  <c r="G15" i="4"/>
  <c r="J26" i="4" s="1"/>
  <c r="D15" i="4"/>
  <c r="D26" i="4" s="1"/>
  <c r="J14" i="4"/>
  <c r="G14" i="4"/>
  <c r="K25" i="4" s="1"/>
  <c r="D14" i="4"/>
  <c r="C25" i="4" s="1"/>
  <c r="J13" i="4"/>
  <c r="G24" i="4" s="1"/>
  <c r="G13" i="4"/>
  <c r="J24" i="4" s="1"/>
  <c r="D13" i="4"/>
  <c r="D24" i="4" s="1"/>
  <c r="J12" i="4"/>
  <c r="F23" i="4" s="1"/>
  <c r="G12" i="4"/>
  <c r="K23" i="4" s="1"/>
  <c r="D12" i="4"/>
  <c r="C23" i="4" s="1"/>
  <c r="J7" i="4"/>
  <c r="H7" i="4"/>
  <c r="F7" i="4"/>
  <c r="D7" i="4"/>
  <c r="B7" i="4"/>
  <c r="AZ85" i="1"/>
  <c r="AY85" i="1"/>
  <c r="AX85" i="1"/>
  <c r="AW85" i="1"/>
  <c r="AV85" i="1"/>
  <c r="AL33" i="1"/>
  <c r="AK33" i="1"/>
  <c r="AJ33" i="1"/>
  <c r="AI33" i="1"/>
  <c r="AH33" i="1"/>
  <c r="AL32" i="1"/>
  <c r="AK32" i="1"/>
  <c r="AJ32" i="1"/>
  <c r="AI32" i="1"/>
  <c r="AH32" i="1"/>
  <c r="AL31" i="1"/>
  <c r="AK31" i="1"/>
  <c r="AJ31" i="1"/>
  <c r="AI31" i="1"/>
  <c r="AH31" i="1"/>
  <c r="AL30" i="1"/>
  <c r="AK30" i="1"/>
  <c r="AJ30" i="1"/>
  <c r="AI30" i="1"/>
  <c r="AH30" i="1"/>
  <c r="AL29" i="1"/>
  <c r="AK29" i="1"/>
  <c r="AJ29" i="1"/>
  <c r="AI29" i="1"/>
  <c r="AH29" i="1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P21" i="3"/>
  <c r="S20" i="3"/>
  <c r="P20" i="3"/>
  <c r="S19" i="3"/>
  <c r="P19" i="3"/>
  <c r="S18" i="3"/>
  <c r="P18" i="3"/>
  <c r="S17" i="3"/>
  <c r="Q17" i="3"/>
  <c r="P17" i="3"/>
  <c r="S16" i="3"/>
  <c r="Q16" i="3"/>
  <c r="P16" i="3"/>
  <c r="S15" i="3"/>
  <c r="P15" i="3"/>
  <c r="S14" i="3"/>
  <c r="P14" i="3"/>
  <c r="S13" i="3"/>
  <c r="Q13" i="3"/>
  <c r="P13" i="3"/>
  <c r="S12" i="3"/>
  <c r="P12" i="3"/>
  <c r="S11" i="3"/>
  <c r="Q11" i="3"/>
  <c r="P11" i="3"/>
  <c r="S10" i="3"/>
  <c r="P10" i="3"/>
  <c r="S9" i="3"/>
  <c r="P9" i="3"/>
  <c r="S8" i="3"/>
  <c r="P8" i="3"/>
  <c r="S7" i="3"/>
  <c r="P7" i="3"/>
  <c r="S6" i="3"/>
  <c r="P6" i="3"/>
  <c r="S5" i="3"/>
  <c r="Q5" i="3"/>
  <c r="P5" i="3"/>
  <c r="S4" i="3"/>
  <c r="P4" i="3"/>
  <c r="S3" i="3"/>
  <c r="P3" i="3"/>
  <c r="S2" i="3"/>
  <c r="P2" i="3"/>
  <c r="D25" i="4" l="1"/>
  <c r="AD18" i="4"/>
  <c r="AE18" i="4" s="1"/>
  <c r="D23" i="4"/>
  <c r="K24" i="4"/>
  <c r="F27" i="4"/>
  <c r="K29" i="4"/>
  <c r="G23" i="4"/>
  <c r="AD17" i="4"/>
  <c r="AE17" i="4" s="1"/>
  <c r="K26" i="4"/>
  <c r="B147" i="2"/>
  <c r="B42" i="2"/>
  <c r="B80" i="2"/>
  <c r="B141" i="2"/>
  <c r="B245" i="2"/>
  <c r="B6" i="2"/>
  <c r="B11" i="2"/>
  <c r="B23" i="2"/>
  <c r="B114" i="2"/>
  <c r="B167" i="2"/>
  <c r="B3" i="2"/>
  <c r="B8" i="2"/>
  <c r="B13" i="2"/>
  <c r="B32" i="2"/>
  <c r="B70" i="2"/>
  <c r="B131" i="2"/>
  <c r="B184" i="2"/>
  <c r="B193" i="2"/>
  <c r="G25" i="4"/>
  <c r="H26" i="4"/>
  <c r="F25" i="4"/>
  <c r="B49" i="2"/>
  <c r="B91" i="2"/>
  <c r="B186" i="2"/>
  <c r="B223" i="2"/>
  <c r="B235" i="2"/>
  <c r="B30" i="2"/>
  <c r="B108" i="2"/>
  <c r="B47" i="2"/>
  <c r="B81" i="2"/>
  <c r="B142" i="2"/>
  <c r="B20" i="2"/>
  <c r="B56" i="2"/>
  <c r="B119" i="2"/>
  <c r="B252" i="2"/>
  <c r="B37" i="2"/>
  <c r="B62" i="2"/>
  <c r="B75" i="2"/>
  <c r="B136" i="2"/>
  <c r="B150" i="2"/>
  <c r="B216" i="2"/>
  <c r="B18" i="2"/>
  <c r="B54" i="2"/>
  <c r="B59" i="2"/>
  <c r="B92" i="2"/>
  <c r="B35" i="2"/>
  <c r="B69" i="2"/>
  <c r="B130" i="2"/>
  <c r="B44" i="2"/>
  <c r="B86" i="2"/>
  <c r="B878" i="2"/>
  <c r="B866" i="2"/>
  <c r="B854" i="2"/>
  <c r="B873" i="2"/>
  <c r="B861" i="2"/>
  <c r="B849" i="2"/>
  <c r="B837" i="2"/>
  <c r="B880" i="2"/>
  <c r="B868" i="2"/>
  <c r="B856" i="2"/>
  <c r="B875" i="2"/>
  <c r="B863" i="2"/>
  <c r="B851" i="2"/>
  <c r="B870" i="2"/>
  <c r="B858" i="2"/>
  <c r="B846" i="2"/>
  <c r="B834" i="2"/>
  <c r="B877" i="2"/>
  <c r="B865" i="2"/>
  <c r="B853" i="2"/>
  <c r="B874" i="2"/>
  <c r="B862" i="2"/>
  <c r="B850" i="2"/>
  <c r="B876" i="2"/>
  <c r="B871" i="2"/>
  <c r="B859" i="2"/>
  <c r="B830" i="2"/>
  <c r="B823" i="2"/>
  <c r="B811" i="2"/>
  <c r="B872" i="2"/>
  <c r="B852" i="2"/>
  <c r="B835" i="2"/>
  <c r="B826" i="2"/>
  <c r="B818" i="2"/>
  <c r="B806" i="2"/>
  <c r="B794" i="2"/>
  <c r="B860" i="2"/>
  <c r="B869" i="2"/>
  <c r="B847" i="2"/>
  <c r="B820" i="2"/>
  <c r="B808" i="2"/>
  <c r="B796" i="2"/>
  <c r="B784" i="2"/>
  <c r="B864" i="2"/>
  <c r="B839" i="2"/>
  <c r="B827" i="2"/>
  <c r="B821" i="2"/>
  <c r="B803" i="2"/>
  <c r="B788" i="2"/>
  <c r="B845" i="2"/>
  <c r="B819" i="2"/>
  <c r="B804" i="2"/>
  <c r="B795" i="2"/>
  <c r="B791" i="2"/>
  <c r="B867" i="2"/>
  <c r="B879" i="2"/>
  <c r="B812" i="2"/>
  <c r="B787" i="2"/>
  <c r="B776" i="2"/>
  <c r="B843" i="2"/>
  <c r="B840" i="2"/>
  <c r="B836" i="2"/>
  <c r="B855" i="2"/>
  <c r="B848" i="2"/>
  <c r="B833" i="2"/>
  <c r="B832" i="2"/>
  <c r="B778" i="2"/>
  <c r="B771" i="2"/>
  <c r="B763" i="2"/>
  <c r="B751" i="2"/>
  <c r="B739" i="2"/>
  <c r="B816" i="2"/>
  <c r="B783" i="2"/>
  <c r="B758" i="2"/>
  <c r="B746" i="2"/>
  <c r="B798" i="2"/>
  <c r="B797" i="2"/>
  <c r="B774" i="2"/>
  <c r="B765" i="2"/>
  <c r="B753" i="2"/>
  <c r="B741" i="2"/>
  <c r="B729" i="2"/>
  <c r="B717" i="2"/>
  <c r="B842" i="2"/>
  <c r="B824" i="2"/>
  <c r="B817" i="2"/>
  <c r="B813" i="2"/>
  <c r="B782" i="2"/>
  <c r="B777" i="2"/>
  <c r="B760" i="2"/>
  <c r="B841" i="2"/>
  <c r="B810" i="2"/>
  <c r="B831" i="2"/>
  <c r="B828" i="2"/>
  <c r="B825" i="2"/>
  <c r="B814" i="2"/>
  <c r="B801" i="2"/>
  <c r="B857" i="2"/>
  <c r="B807" i="2"/>
  <c r="B802" i="2"/>
  <c r="B789" i="2"/>
  <c r="B785" i="2"/>
  <c r="B761" i="2"/>
  <c r="B754" i="2"/>
  <c r="B738" i="2"/>
  <c r="B728" i="2"/>
  <c r="B844" i="2"/>
  <c r="B775" i="2"/>
  <c r="B764" i="2"/>
  <c r="B752" i="2"/>
  <c r="B731" i="2"/>
  <c r="B721" i="2"/>
  <c r="B711" i="2"/>
  <c r="B703" i="2"/>
  <c r="B809" i="2"/>
  <c r="B799" i="2"/>
  <c r="B767" i="2"/>
  <c r="B750" i="2"/>
  <c r="B724" i="2"/>
  <c r="B714" i="2"/>
  <c r="B698" i="2"/>
  <c r="B838" i="2"/>
  <c r="B829" i="2"/>
  <c r="B781" i="2"/>
  <c r="B766" i="2"/>
  <c r="B748" i="2"/>
  <c r="B734" i="2"/>
  <c r="B792" i="2"/>
  <c r="B779" i="2"/>
  <c r="B773" i="2"/>
  <c r="B745" i="2"/>
  <c r="B733" i="2"/>
  <c r="B723" i="2"/>
  <c r="B769" i="2"/>
  <c r="B743" i="2"/>
  <c r="B736" i="2"/>
  <c r="B726" i="2"/>
  <c r="B786" i="2"/>
  <c r="B737" i="2"/>
  <c r="B725" i="2"/>
  <c r="B706" i="2"/>
  <c r="B700" i="2"/>
  <c r="B689" i="2"/>
  <c r="B677" i="2"/>
  <c r="B665" i="2"/>
  <c r="B653" i="2"/>
  <c r="B641" i="2"/>
  <c r="B790" i="2"/>
  <c r="B768" i="2"/>
  <c r="B715" i="2"/>
  <c r="B705" i="2"/>
  <c r="B696" i="2"/>
  <c r="B684" i="2"/>
  <c r="B770" i="2"/>
  <c r="B757" i="2"/>
  <c r="B742" i="2"/>
  <c r="B712" i="2"/>
  <c r="B699" i="2"/>
  <c r="B686" i="2"/>
  <c r="B822" i="2"/>
  <c r="B772" i="2"/>
  <c r="B749" i="2"/>
  <c r="B727" i="2"/>
  <c r="B709" i="2"/>
  <c r="B747" i="2"/>
  <c r="B730" i="2"/>
  <c r="B690" i="2"/>
  <c r="B708" i="2"/>
  <c r="B702" i="2"/>
  <c r="B815" i="2"/>
  <c r="B710" i="2"/>
  <c r="B695" i="2"/>
  <c r="B694" i="2"/>
  <c r="B680" i="2"/>
  <c r="B679" i="2"/>
  <c r="B667" i="2"/>
  <c r="B657" i="2"/>
  <c r="B647" i="2"/>
  <c r="B637" i="2"/>
  <c r="B627" i="2"/>
  <c r="B615" i="2"/>
  <c r="B603" i="2"/>
  <c r="B719" i="2"/>
  <c r="B670" i="2"/>
  <c r="B780" i="2"/>
  <c r="B762" i="2"/>
  <c r="B673" i="2"/>
  <c r="B735" i="2"/>
  <c r="B707" i="2"/>
  <c r="B805" i="2"/>
  <c r="B718" i="2"/>
  <c r="B713" i="2"/>
  <c r="B672" i="2"/>
  <c r="B669" i="2"/>
  <c r="B664" i="2"/>
  <c r="B648" i="2"/>
  <c r="B610" i="2"/>
  <c r="B600" i="2"/>
  <c r="B732" i="2"/>
  <c r="B693" i="2"/>
  <c r="B681" i="2"/>
  <c r="B676" i="2"/>
  <c r="B671" i="2"/>
  <c r="B744" i="2"/>
  <c r="B668" i="2"/>
  <c r="B652" i="2"/>
  <c r="B636" i="2"/>
  <c r="B759" i="2"/>
  <c r="B687" i="2"/>
  <c r="B662" i="2"/>
  <c r="B629" i="2"/>
  <c r="B619" i="2"/>
  <c r="B609" i="2"/>
  <c r="B599" i="2"/>
  <c r="B585" i="2"/>
  <c r="B697" i="2"/>
  <c r="B691" i="2"/>
  <c r="B683" i="2"/>
  <c r="B678" i="2"/>
  <c r="B656" i="2"/>
  <c r="B651" i="2"/>
  <c r="B704" i="2"/>
  <c r="B701" i="2"/>
  <c r="B688" i="2"/>
  <c r="B666" i="2"/>
  <c r="B661" i="2"/>
  <c r="B650" i="2"/>
  <c r="B645" i="2"/>
  <c r="B756" i="2"/>
  <c r="B660" i="2"/>
  <c r="B655" i="2"/>
  <c r="B722" i="2"/>
  <c r="B646" i="2"/>
  <c r="B625" i="2"/>
  <c r="B613" i="2"/>
  <c r="B612" i="2"/>
  <c r="B601" i="2"/>
  <c r="B588" i="2"/>
  <c r="B578" i="2"/>
  <c r="B568" i="2"/>
  <c r="B556" i="2"/>
  <c r="B544" i="2"/>
  <c r="B658" i="2"/>
  <c r="B654" i="2"/>
  <c r="B644" i="2"/>
  <c r="B624" i="2"/>
  <c r="B591" i="2"/>
  <c r="B581" i="2"/>
  <c r="B575" i="2"/>
  <c r="B587" i="2"/>
  <c r="B577" i="2"/>
  <c r="B642" i="2"/>
  <c r="B621" i="2"/>
  <c r="B597" i="2"/>
  <c r="B580" i="2"/>
  <c r="B572" i="2"/>
  <c r="B560" i="2"/>
  <c r="B548" i="2"/>
  <c r="B536" i="2"/>
  <c r="B800" i="2"/>
  <c r="B649" i="2"/>
  <c r="B638" i="2"/>
  <c r="B632" i="2"/>
  <c r="B631" i="2"/>
  <c r="B607" i="2"/>
  <c r="B793" i="2"/>
  <c r="B716" i="2"/>
  <c r="B692" i="2"/>
  <c r="B674" i="2"/>
  <c r="B663" i="2"/>
  <c r="B659" i="2"/>
  <c r="B630" i="2"/>
  <c r="B618" i="2"/>
  <c r="B606" i="2"/>
  <c r="B605" i="2"/>
  <c r="B594" i="2"/>
  <c r="B593" i="2"/>
  <c r="B586" i="2"/>
  <c r="B643" i="2"/>
  <c r="B639" i="2"/>
  <c r="B633" i="2"/>
  <c r="B617" i="2"/>
  <c r="B740" i="2"/>
  <c r="B623" i="2"/>
  <c r="B579" i="2"/>
  <c r="B557" i="2"/>
  <c r="B546" i="2"/>
  <c r="B531" i="2"/>
  <c r="B528" i="2"/>
  <c r="B516" i="2"/>
  <c r="B504" i="2"/>
  <c r="B492" i="2"/>
  <c r="B480" i="2"/>
  <c r="B468" i="2"/>
  <c r="B456" i="2"/>
  <c r="B444" i="2"/>
  <c r="B432" i="2"/>
  <c r="B420" i="2"/>
  <c r="B408" i="2"/>
  <c r="B396" i="2"/>
  <c r="B384" i="2"/>
  <c r="B372" i="2"/>
  <c r="B616" i="2"/>
  <c r="B614" i="2"/>
  <c r="B562" i="2"/>
  <c r="B551" i="2"/>
  <c r="B541" i="2"/>
  <c r="B523" i="2"/>
  <c r="B511" i="2"/>
  <c r="B499" i="2"/>
  <c r="B640" i="2"/>
  <c r="B634" i="2"/>
  <c r="B596" i="2"/>
  <c r="B573" i="2"/>
  <c r="B567" i="2"/>
  <c r="B598" i="2"/>
  <c r="B550" i="2"/>
  <c r="B537" i="2"/>
  <c r="B525" i="2"/>
  <c r="B513" i="2"/>
  <c r="B501" i="2"/>
  <c r="B685" i="2"/>
  <c r="B620" i="2"/>
  <c r="B561" i="2"/>
  <c r="B555" i="2"/>
  <c r="B540" i="2"/>
  <c r="B530" i="2"/>
  <c r="B520" i="2"/>
  <c r="B508" i="2"/>
  <c r="B496" i="2"/>
  <c r="B484" i="2"/>
  <c r="B472" i="2"/>
  <c r="B460" i="2"/>
  <c r="B448" i="2"/>
  <c r="B436" i="2"/>
  <c r="B604" i="2"/>
  <c r="B583" i="2"/>
  <c r="B571" i="2"/>
  <c r="B549" i="2"/>
  <c r="B543" i="2"/>
  <c r="B522" i="2"/>
  <c r="B510" i="2"/>
  <c r="B498" i="2"/>
  <c r="B595" i="2"/>
  <c r="B565" i="2"/>
  <c r="B554" i="2"/>
  <c r="B517" i="2"/>
  <c r="B505" i="2"/>
  <c r="B493" i="2"/>
  <c r="B720" i="2"/>
  <c r="B628" i="2"/>
  <c r="B626" i="2"/>
  <c r="B589" i="2"/>
  <c r="B584" i="2"/>
  <c r="B570" i="2"/>
  <c r="B559" i="2"/>
  <c r="B539" i="2"/>
  <c r="B529" i="2"/>
  <c r="B524" i="2"/>
  <c r="B512" i="2"/>
  <c r="B500" i="2"/>
  <c r="B582" i="2"/>
  <c r="B491" i="2"/>
  <c r="B469" i="2"/>
  <c r="B458" i="2"/>
  <c r="B447" i="2"/>
  <c r="B427" i="2"/>
  <c r="B417" i="2"/>
  <c r="B407" i="2"/>
  <c r="B397" i="2"/>
  <c r="B387" i="2"/>
  <c r="B377" i="2"/>
  <c r="B356" i="2"/>
  <c r="B344" i="2"/>
  <c r="B332" i="2"/>
  <c r="B320" i="2"/>
  <c r="B308" i="2"/>
  <c r="B296" i="2"/>
  <c r="B284" i="2"/>
  <c r="B272" i="2"/>
  <c r="B260" i="2"/>
  <c r="B755" i="2"/>
  <c r="B547" i="2"/>
  <c r="B506" i="2"/>
  <c r="B485" i="2"/>
  <c r="B479" i="2"/>
  <c r="B552" i="2"/>
  <c r="B494" i="2"/>
  <c r="B490" i="2"/>
  <c r="B462" i="2"/>
  <c r="B451" i="2"/>
  <c r="B440" i="2"/>
  <c r="B423" i="2"/>
  <c r="B413" i="2"/>
  <c r="B611" i="2"/>
  <c r="B592" i="2"/>
  <c r="B535" i="2"/>
  <c r="B526" i="2"/>
  <c r="B521" i="2"/>
  <c r="B473" i="2"/>
  <c r="B467" i="2"/>
  <c r="B445" i="2"/>
  <c r="B434" i="2"/>
  <c r="B426" i="2"/>
  <c r="B416" i="2"/>
  <c r="B406" i="2"/>
  <c r="B379" i="2"/>
  <c r="B369" i="2"/>
  <c r="B360" i="2"/>
  <c r="B348" i="2"/>
  <c r="B336" i="2"/>
  <c r="B324" i="2"/>
  <c r="B312" i="2"/>
  <c r="B569" i="2"/>
  <c r="B542" i="2"/>
  <c r="B507" i="2"/>
  <c r="B502" i="2"/>
  <c r="B497" i="2"/>
  <c r="B483" i="2"/>
  <c r="B461" i="2"/>
  <c r="B455" i="2"/>
  <c r="B433" i="2"/>
  <c r="B422" i="2"/>
  <c r="B412" i="2"/>
  <c r="B574" i="2"/>
  <c r="B495" i="2"/>
  <c r="B488" i="2"/>
  <c r="B477" i="2"/>
  <c r="B466" i="2"/>
  <c r="B438" i="2"/>
  <c r="B415" i="2"/>
  <c r="B405" i="2"/>
  <c r="B635" i="2"/>
  <c r="B563" i="2"/>
  <c r="B532" i="2"/>
  <c r="B475" i="2"/>
  <c r="B457" i="2"/>
  <c r="B454" i="2"/>
  <c r="B441" i="2"/>
  <c r="B403" i="2"/>
  <c r="B385" i="2"/>
  <c r="B373" i="2"/>
  <c r="B345" i="2"/>
  <c r="B334" i="2"/>
  <c r="B323" i="2"/>
  <c r="B305" i="2"/>
  <c r="B295" i="2"/>
  <c r="B285" i="2"/>
  <c r="B275" i="2"/>
  <c r="B265" i="2"/>
  <c r="B256" i="2"/>
  <c r="B518" i="2"/>
  <c r="B463" i="2"/>
  <c r="B428" i="2"/>
  <c r="B411" i="2"/>
  <c r="B350" i="2"/>
  <c r="B339" i="2"/>
  <c r="B514" i="2"/>
  <c r="B478" i="2"/>
  <c r="B602" i="2"/>
  <c r="B566" i="2"/>
  <c r="B471" i="2"/>
  <c r="B382" i="2"/>
  <c r="B370" i="2"/>
  <c r="B576" i="2"/>
  <c r="B538" i="2"/>
  <c r="B527" i="2"/>
  <c r="B476" i="2"/>
  <c r="B442" i="2"/>
  <c r="B439" i="2"/>
  <c r="B429" i="2"/>
  <c r="B425" i="2"/>
  <c r="B394" i="2"/>
  <c r="B393" i="2"/>
  <c r="B381" i="2"/>
  <c r="B349" i="2"/>
  <c r="B343" i="2"/>
  <c r="B321" i="2"/>
  <c r="B304" i="2"/>
  <c r="B294" i="2"/>
  <c r="B267" i="2"/>
  <c r="B248" i="2"/>
  <c r="B236" i="2"/>
  <c r="B224" i="2"/>
  <c r="B590" i="2"/>
  <c r="B534" i="2"/>
  <c r="B503" i="2"/>
  <c r="B486" i="2"/>
  <c r="B464" i="2"/>
  <c r="B443" i="2"/>
  <c r="B391" i="2"/>
  <c r="B367" i="2"/>
  <c r="B359" i="2"/>
  <c r="B337" i="2"/>
  <c r="B545" i="2"/>
  <c r="B474" i="2"/>
  <c r="B459" i="2"/>
  <c r="B446" i="2"/>
  <c r="B390" i="2"/>
  <c r="B378" i="2"/>
  <c r="B366" i="2"/>
  <c r="B353" i="2"/>
  <c r="B342" i="2"/>
  <c r="B682" i="2"/>
  <c r="B622" i="2"/>
  <c r="B430" i="2"/>
  <c r="B675" i="2"/>
  <c r="B515" i="2"/>
  <c r="B452" i="2"/>
  <c r="B414" i="2"/>
  <c r="B409" i="2"/>
  <c r="B400" i="2"/>
  <c r="B419" i="2"/>
  <c r="B482" i="2"/>
  <c r="B435" i="2"/>
  <c r="B424" i="2"/>
  <c r="B404" i="2"/>
  <c r="B383" i="2"/>
  <c r="B519" i="2"/>
  <c r="B470" i="2"/>
  <c r="B421" i="2"/>
  <c r="B392" i="2"/>
  <c r="B368" i="2"/>
  <c r="B354" i="2"/>
  <c r="B608" i="2"/>
  <c r="B558" i="2"/>
  <c r="B418" i="2"/>
  <c r="B410" i="2"/>
  <c r="B402" i="2"/>
  <c r="B389" i="2"/>
  <c r="B374" i="2"/>
  <c r="B358" i="2"/>
  <c r="B319" i="2"/>
  <c r="B317" i="2"/>
  <c r="B316" i="2"/>
  <c r="B313" i="2"/>
  <c r="B311" i="2"/>
  <c r="B310" i="2"/>
  <c r="B489" i="2"/>
  <c r="B481" i="2"/>
  <c r="B465" i="2"/>
  <c r="B450" i="2"/>
  <c r="B401" i="2"/>
  <c r="B328" i="2"/>
  <c r="B327" i="2"/>
  <c r="B325" i="2"/>
  <c r="B309" i="2"/>
  <c r="B254" i="2"/>
  <c r="B231" i="2"/>
  <c r="B533" i="2"/>
  <c r="B431" i="2"/>
  <c r="B352" i="2"/>
  <c r="B341" i="2"/>
  <c r="B307" i="2"/>
  <c r="B553" i="2"/>
  <c r="B398" i="2"/>
  <c r="B365" i="2"/>
  <c r="B338" i="2"/>
  <c r="B329" i="2"/>
  <c r="B270" i="2"/>
  <c r="B253" i="2"/>
  <c r="B244" i="2"/>
  <c r="B234" i="2"/>
  <c r="B487" i="2"/>
  <c r="B361" i="2"/>
  <c r="B335" i="2"/>
  <c r="B357" i="2"/>
  <c r="B509" i="2"/>
  <c r="B355" i="2"/>
  <c r="B388" i="2"/>
  <c r="B363" i="2"/>
  <c r="B351" i="2"/>
  <c r="B347" i="2"/>
  <c r="B340" i="2"/>
  <c r="B315" i="2"/>
  <c r="B283" i="2"/>
  <c r="B262" i="2"/>
  <c r="B273" i="2"/>
  <c r="B399" i="2"/>
  <c r="B362" i="2"/>
  <c r="B346" i="2"/>
  <c r="B376" i="2"/>
  <c r="B371" i="2"/>
  <c r="B286" i="2"/>
  <c r="B276" i="2"/>
  <c r="B266" i="2"/>
  <c r="B386" i="2"/>
  <c r="B306" i="2"/>
  <c r="B297" i="2"/>
  <c r="B287" i="2"/>
  <c r="B277" i="2"/>
  <c r="B247" i="2"/>
  <c r="B221" i="2"/>
  <c r="B209" i="2"/>
  <c r="B197" i="2"/>
  <c r="B564" i="2"/>
  <c r="B453" i="2"/>
  <c r="B437" i="2"/>
  <c r="B375" i="2"/>
  <c r="B333" i="2"/>
  <c r="B314" i="2"/>
  <c r="B298" i="2"/>
  <c r="B288" i="2"/>
  <c r="B278" i="2"/>
  <c r="B268" i="2"/>
  <c r="B380" i="2"/>
  <c r="B326" i="2"/>
  <c r="B322" i="2"/>
  <c r="B318" i="2"/>
  <c r="B274" i="2"/>
  <c r="B264" i="2"/>
  <c r="B261" i="2"/>
  <c r="B258" i="2"/>
  <c r="B246" i="2"/>
  <c r="B219" i="2"/>
  <c r="B192" i="2"/>
  <c r="B181" i="2"/>
  <c r="B169" i="2"/>
  <c r="B157" i="2"/>
  <c r="B145" i="2"/>
  <c r="B133" i="2"/>
  <c r="B121" i="2"/>
  <c r="B109" i="2"/>
  <c r="B97" i="2"/>
  <c r="B85" i="2"/>
  <c r="B73" i="2"/>
  <c r="B449" i="2"/>
  <c r="B269" i="2"/>
  <c r="B212" i="2"/>
  <c r="B202" i="2"/>
  <c r="B176" i="2"/>
  <c r="B164" i="2"/>
  <c r="B152" i="2"/>
  <c r="B303" i="2"/>
  <c r="B300" i="2"/>
  <c r="B289" i="2"/>
  <c r="B280" i="2"/>
  <c r="B237" i="2"/>
  <c r="B222" i="2"/>
  <c r="B215" i="2"/>
  <c r="B205" i="2"/>
  <c r="B195" i="2"/>
  <c r="B183" i="2"/>
  <c r="B171" i="2"/>
  <c r="B159" i="2"/>
  <c r="B291" i="2"/>
  <c r="B259" i="2"/>
  <c r="B218" i="2"/>
  <c r="B208" i="2"/>
  <c r="B198" i="2"/>
  <c r="B188" i="2"/>
  <c r="B178" i="2"/>
  <c r="B166" i="2"/>
  <c r="B154" i="2"/>
  <c r="B271" i="2"/>
  <c r="B238" i="2"/>
  <c r="B211" i="2"/>
  <c r="B201" i="2"/>
  <c r="B191" i="2"/>
  <c r="B185" i="2"/>
  <c r="B173" i="2"/>
  <c r="B161" i="2"/>
  <c r="B149" i="2"/>
  <c r="B137" i="2"/>
  <c r="B125" i="2"/>
  <c r="B113" i="2"/>
  <c r="B101" i="2"/>
  <c r="B89" i="2"/>
  <c r="B77" i="2"/>
  <c r="B65" i="2"/>
  <c r="B255" i="2"/>
  <c r="B249" i="2"/>
  <c r="B229" i="2"/>
  <c r="B228" i="2"/>
  <c r="B227" i="2"/>
  <c r="B214" i="2"/>
  <c r="B187" i="2"/>
  <c r="B175" i="2"/>
  <c r="B163" i="2"/>
  <c r="B151" i="2"/>
  <c r="B331" i="2"/>
  <c r="B302" i="2"/>
  <c r="B279" i="2"/>
  <c r="B263" i="2"/>
  <c r="B250" i="2"/>
  <c r="B241" i="2"/>
  <c r="B226" i="2"/>
  <c r="B217" i="2"/>
  <c r="B207" i="2"/>
  <c r="B182" i="2"/>
  <c r="B170" i="2"/>
  <c r="B158" i="2"/>
  <c r="B330" i="2"/>
  <c r="B299" i="2"/>
  <c r="B290" i="2"/>
  <c r="B243" i="2"/>
  <c r="B242" i="2"/>
  <c r="B233" i="2"/>
  <c r="B232" i="2"/>
  <c r="B220" i="2"/>
  <c r="B210" i="2"/>
  <c r="B200" i="2"/>
  <c r="B190" i="2"/>
  <c r="B177" i="2"/>
  <c r="B165" i="2"/>
  <c r="B282" i="2"/>
  <c r="B204" i="2"/>
  <c r="B146" i="2"/>
  <c r="B135" i="2"/>
  <c r="B124" i="2"/>
  <c r="B102" i="2"/>
  <c r="B96" i="2"/>
  <c r="B74" i="2"/>
  <c r="B51" i="2"/>
  <c r="B39" i="2"/>
  <c r="B27" i="2"/>
  <c r="B15" i="2"/>
  <c r="B281" i="2"/>
  <c r="B251" i="2"/>
  <c r="B225" i="2"/>
  <c r="B213" i="2"/>
  <c r="B140" i="2"/>
  <c r="B129" i="2"/>
  <c r="B118" i="2"/>
  <c r="B107" i="2"/>
  <c r="B79" i="2"/>
  <c r="B68" i="2"/>
  <c r="B58" i="2"/>
  <c r="B46" i="2"/>
  <c r="B34" i="2"/>
  <c r="B22" i="2"/>
  <c r="B10" i="2"/>
  <c r="B206" i="2"/>
  <c r="B179" i="2"/>
  <c r="B134" i="2"/>
  <c r="B123" i="2"/>
  <c r="B112" i="2"/>
  <c r="B90" i="2"/>
  <c r="B84" i="2"/>
  <c r="B61" i="2"/>
  <c r="B53" i="2"/>
  <c r="B41" i="2"/>
  <c r="B29" i="2"/>
  <c r="B17" i="2"/>
  <c r="B5" i="2"/>
  <c r="B301" i="2"/>
  <c r="B199" i="2"/>
  <c r="B162" i="2"/>
  <c r="B139" i="2"/>
  <c r="B128" i="2"/>
  <c r="B117" i="2"/>
  <c r="B106" i="2"/>
  <c r="B95" i="2"/>
  <c r="B64" i="2"/>
  <c r="B48" i="2"/>
  <c r="B36" i="2"/>
  <c r="B24" i="2"/>
  <c r="B12" i="2"/>
  <c r="B293" i="2"/>
  <c r="B240" i="2"/>
  <c r="B230" i="2"/>
  <c r="B194" i="2"/>
  <c r="B168" i="2"/>
  <c r="B160" i="2"/>
  <c r="B155" i="2"/>
  <c r="B144" i="2"/>
  <c r="B122" i="2"/>
  <c r="B111" i="2"/>
  <c r="B100" i="2"/>
  <c r="B78" i="2"/>
  <c r="B72" i="2"/>
  <c r="B67" i="2"/>
  <c r="B55" i="2"/>
  <c r="B43" i="2"/>
  <c r="B31" i="2"/>
  <c r="B19" i="2"/>
  <c r="B7" i="2"/>
  <c r="B364" i="2"/>
  <c r="B203" i="2"/>
  <c r="B172" i="2"/>
  <c r="B127" i="2"/>
  <c r="B116" i="2"/>
  <c r="B105" i="2"/>
  <c r="B94" i="2"/>
  <c r="B83" i="2"/>
  <c r="B60" i="2"/>
  <c r="B50" i="2"/>
  <c r="B38" i="2"/>
  <c r="B26" i="2"/>
  <c r="B14" i="2"/>
  <c r="B2" i="2"/>
  <c r="B257" i="2"/>
  <c r="B196" i="2"/>
  <c r="B153" i="2"/>
  <c r="B138" i="2"/>
  <c r="B132" i="2"/>
  <c r="B110" i="2"/>
  <c r="B99" i="2"/>
  <c r="B88" i="2"/>
  <c r="B57" i="2"/>
  <c r="B45" i="2"/>
  <c r="B33" i="2"/>
  <c r="B21" i="2"/>
  <c r="B9" i="2"/>
  <c r="B292" i="2"/>
  <c r="B189" i="2"/>
  <c r="B174" i="2"/>
  <c r="B143" i="2"/>
  <c r="B115" i="2"/>
  <c r="B104" i="2"/>
  <c r="B93" i="2"/>
  <c r="B82" i="2"/>
  <c r="B71" i="2"/>
  <c r="B63" i="2"/>
  <c r="B52" i="2"/>
  <c r="B40" i="2"/>
  <c r="B28" i="2"/>
  <c r="B16" i="2"/>
  <c r="B4" i="2"/>
  <c r="B239" i="2"/>
  <c r="B180" i="2"/>
  <c r="B156" i="2"/>
  <c r="B148" i="2"/>
  <c r="B126" i="2"/>
  <c r="B120" i="2"/>
  <c r="B98" i="2"/>
  <c r="B87" i="2"/>
  <c r="B76" i="2"/>
  <c r="B66" i="2"/>
  <c r="B25" i="2"/>
  <c r="B103" i="2"/>
  <c r="B395" i="2"/>
  <c r="G26" i="4"/>
  <c r="F26" i="4"/>
  <c r="B43" i="4"/>
  <c r="AD19" i="4"/>
  <c r="AE19" i="4" s="1"/>
  <c r="J30" i="4"/>
  <c r="J23" i="4"/>
  <c r="C24" i="4"/>
  <c r="J25" i="4"/>
  <c r="J27" i="4"/>
  <c r="F24" i="4"/>
  <c r="B26" i="4"/>
  <c r="J28" i="4"/>
  <c r="C26" i="4"/>
  <c r="J706" i="2" l="1"/>
  <c r="P706" i="2"/>
  <c r="O706" i="2"/>
  <c r="A706" i="2"/>
  <c r="M706" i="2"/>
  <c r="H706" i="2"/>
  <c r="G706" i="2"/>
  <c r="F706" i="2"/>
  <c r="I706" i="2"/>
  <c r="D706" i="2"/>
  <c r="C706" i="2"/>
  <c r="Q706" i="2"/>
  <c r="N706" i="2"/>
  <c r="L706" i="2"/>
  <c r="K706" i="2" s="1"/>
  <c r="E706" i="2"/>
  <c r="P779" i="2"/>
  <c r="D779" i="2"/>
  <c r="N779" i="2"/>
  <c r="A779" i="2"/>
  <c r="M779" i="2"/>
  <c r="L779" i="2"/>
  <c r="K779" i="2" s="1"/>
  <c r="J779" i="2"/>
  <c r="G779" i="2"/>
  <c r="F779" i="2"/>
  <c r="Q779" i="2"/>
  <c r="O779" i="2"/>
  <c r="I779" i="2"/>
  <c r="H779" i="2"/>
  <c r="E779" i="2"/>
  <c r="C779" i="2"/>
  <c r="F767" i="2"/>
  <c r="Q767" i="2"/>
  <c r="E767" i="2"/>
  <c r="P767" i="2"/>
  <c r="D767" i="2"/>
  <c r="O767" i="2"/>
  <c r="C767" i="2"/>
  <c r="H767" i="2"/>
  <c r="G767" i="2"/>
  <c r="A767" i="2"/>
  <c r="N767" i="2"/>
  <c r="M767" i="2"/>
  <c r="L767" i="2"/>
  <c r="K767" i="2" s="1"/>
  <c r="I767" i="2"/>
  <c r="J767" i="2"/>
  <c r="F738" i="2"/>
  <c r="Q738" i="2"/>
  <c r="E738" i="2"/>
  <c r="P738" i="2"/>
  <c r="O738" i="2"/>
  <c r="A738" i="2"/>
  <c r="N738" i="2"/>
  <c r="M738" i="2"/>
  <c r="J738" i="2"/>
  <c r="I738" i="2"/>
  <c r="L738" i="2"/>
  <c r="K738" i="2" s="1"/>
  <c r="G738" i="2"/>
  <c r="C738" i="2"/>
  <c r="H738" i="2"/>
  <c r="D738" i="2"/>
  <c r="H831" i="2"/>
  <c r="Q831" i="2"/>
  <c r="E831" i="2"/>
  <c r="M831" i="2"/>
  <c r="L831" i="2"/>
  <c r="K831" i="2" s="1"/>
  <c r="J831" i="2"/>
  <c r="D831" i="2"/>
  <c r="C831" i="2"/>
  <c r="O831" i="2"/>
  <c r="P831" i="2"/>
  <c r="N831" i="2"/>
  <c r="F831" i="2"/>
  <c r="A831" i="2"/>
  <c r="I831" i="2"/>
  <c r="G831" i="2"/>
  <c r="P741" i="2"/>
  <c r="D741" i="2"/>
  <c r="O741" i="2"/>
  <c r="C741" i="2"/>
  <c r="N741" i="2"/>
  <c r="M741" i="2"/>
  <c r="L741" i="2"/>
  <c r="K741" i="2" s="1"/>
  <c r="J741" i="2"/>
  <c r="G741" i="2"/>
  <c r="F741" i="2"/>
  <c r="I741" i="2"/>
  <c r="H741" i="2"/>
  <c r="E741" i="2"/>
  <c r="Q741" i="2"/>
  <c r="A741" i="2"/>
  <c r="N763" i="2"/>
  <c r="M763" i="2"/>
  <c r="A763" i="2"/>
  <c r="L763" i="2"/>
  <c r="K763" i="2" s="1"/>
  <c r="D763" i="2"/>
  <c r="C763" i="2"/>
  <c r="Q763" i="2"/>
  <c r="J763" i="2"/>
  <c r="I763" i="2"/>
  <c r="P763" i="2"/>
  <c r="O763" i="2"/>
  <c r="H763" i="2"/>
  <c r="G763" i="2"/>
  <c r="E763" i="2"/>
  <c r="F763" i="2"/>
  <c r="I812" i="2"/>
  <c r="H812" i="2"/>
  <c r="F812" i="2"/>
  <c r="J812" i="2"/>
  <c r="O812" i="2"/>
  <c r="C812" i="2"/>
  <c r="A812" i="2"/>
  <c r="N812" i="2"/>
  <c r="M812" i="2"/>
  <c r="E812" i="2"/>
  <c r="D812" i="2"/>
  <c r="Q812" i="2"/>
  <c r="P812" i="2"/>
  <c r="G812" i="2"/>
  <c r="L812" i="2"/>
  <c r="K812" i="2" s="1"/>
  <c r="P839" i="2"/>
  <c r="D839" i="2"/>
  <c r="M839" i="2"/>
  <c r="A839" i="2"/>
  <c r="G839" i="2"/>
  <c r="F839" i="2"/>
  <c r="C839" i="2"/>
  <c r="Q839" i="2"/>
  <c r="O839" i="2"/>
  <c r="N839" i="2"/>
  <c r="L839" i="2"/>
  <c r="K839" i="2" s="1"/>
  <c r="J839" i="2"/>
  <c r="E839" i="2"/>
  <c r="H839" i="2"/>
  <c r="I839" i="2"/>
  <c r="F826" i="2"/>
  <c r="P826" i="2"/>
  <c r="C826" i="2"/>
  <c r="O826" i="2"/>
  <c r="M826" i="2"/>
  <c r="Q826" i="2"/>
  <c r="A826" i="2"/>
  <c r="J826" i="2"/>
  <c r="I826" i="2"/>
  <c r="H826" i="2"/>
  <c r="G826" i="2"/>
  <c r="E826" i="2"/>
  <c r="D826" i="2"/>
  <c r="L826" i="2"/>
  <c r="K826" i="2" s="1"/>
  <c r="N826" i="2"/>
  <c r="J874" i="2"/>
  <c r="I874" i="2"/>
  <c r="H874" i="2"/>
  <c r="G874" i="2"/>
  <c r="F874" i="2"/>
  <c r="Q874" i="2"/>
  <c r="E874" i="2"/>
  <c r="N874" i="2"/>
  <c r="L874" i="2"/>
  <c r="K874" i="2" s="1"/>
  <c r="P874" i="2"/>
  <c r="O874" i="2"/>
  <c r="M874" i="2"/>
  <c r="A874" i="2"/>
  <c r="D874" i="2"/>
  <c r="C874" i="2"/>
  <c r="P868" i="2"/>
  <c r="D868" i="2"/>
  <c r="O868" i="2"/>
  <c r="C868" i="2"/>
  <c r="N868" i="2"/>
  <c r="M868" i="2"/>
  <c r="A868" i="2"/>
  <c r="L868" i="2"/>
  <c r="K868" i="2" s="1"/>
  <c r="H868" i="2"/>
  <c r="F868" i="2"/>
  <c r="Q868" i="2"/>
  <c r="E868" i="2"/>
  <c r="G868" i="2"/>
  <c r="J868" i="2"/>
  <c r="I868" i="2"/>
  <c r="J69" i="2"/>
  <c r="F69" i="2"/>
  <c r="O69" i="2"/>
  <c r="A69" i="2"/>
  <c r="N69" i="2"/>
  <c r="M69" i="2"/>
  <c r="L69" i="2"/>
  <c r="K69" i="2" s="1"/>
  <c r="I69" i="2"/>
  <c r="H69" i="2"/>
  <c r="G69" i="2"/>
  <c r="E69" i="2"/>
  <c r="D69" i="2"/>
  <c r="C69" i="2"/>
  <c r="Q69" i="2"/>
  <c r="P69" i="2"/>
  <c r="J252" i="2"/>
  <c r="F252" i="2"/>
  <c r="G252" i="2"/>
  <c r="D252" i="2"/>
  <c r="E252" i="2"/>
  <c r="C252" i="2"/>
  <c r="A252" i="2"/>
  <c r="Q252" i="2"/>
  <c r="P252" i="2"/>
  <c r="O252" i="2"/>
  <c r="M252" i="2"/>
  <c r="L252" i="2"/>
  <c r="K252" i="2" s="1"/>
  <c r="N252" i="2"/>
  <c r="I252" i="2"/>
  <c r="H252" i="2"/>
  <c r="H91" i="2"/>
  <c r="P91" i="2"/>
  <c r="D91" i="2"/>
  <c r="O91" i="2"/>
  <c r="A91" i="2"/>
  <c r="N91" i="2"/>
  <c r="M91" i="2"/>
  <c r="L91" i="2"/>
  <c r="K91" i="2" s="1"/>
  <c r="J91" i="2"/>
  <c r="I91" i="2"/>
  <c r="G91" i="2"/>
  <c r="F91" i="2"/>
  <c r="Q91" i="2"/>
  <c r="E91" i="2"/>
  <c r="C91" i="2"/>
  <c r="M3" i="2"/>
  <c r="A3" i="2"/>
  <c r="L3" i="2"/>
  <c r="K3" i="2" s="1"/>
  <c r="H3" i="2"/>
  <c r="G3" i="2"/>
  <c r="I3" i="2" s="1"/>
  <c r="J3" i="2" s="1"/>
  <c r="Q3" i="2"/>
  <c r="P3" i="2"/>
  <c r="O3" i="2"/>
  <c r="N3" i="2"/>
  <c r="F3" i="2"/>
  <c r="E3" i="2"/>
  <c r="D3" i="2"/>
  <c r="C3" i="2"/>
  <c r="J725" i="2"/>
  <c r="N725" i="2"/>
  <c r="A725" i="2"/>
  <c r="M725" i="2"/>
  <c r="L725" i="2"/>
  <c r="K725" i="2" s="1"/>
  <c r="G725" i="2"/>
  <c r="Q725" i="2"/>
  <c r="I725" i="2"/>
  <c r="H725" i="2"/>
  <c r="F725" i="2"/>
  <c r="O725" i="2"/>
  <c r="E725" i="2"/>
  <c r="D725" i="2"/>
  <c r="P725" i="2"/>
  <c r="C725" i="2"/>
  <c r="J792" i="2"/>
  <c r="M792" i="2"/>
  <c r="L792" i="2"/>
  <c r="K792" i="2" s="1"/>
  <c r="P792" i="2"/>
  <c r="O792" i="2"/>
  <c r="N792" i="2"/>
  <c r="I792" i="2"/>
  <c r="F792" i="2"/>
  <c r="E792" i="2"/>
  <c r="Q792" i="2"/>
  <c r="H792" i="2"/>
  <c r="G792" i="2"/>
  <c r="A792" i="2"/>
  <c r="D792" i="2"/>
  <c r="C792" i="2"/>
  <c r="N799" i="2"/>
  <c r="M799" i="2"/>
  <c r="A799" i="2"/>
  <c r="G799" i="2"/>
  <c r="F799" i="2"/>
  <c r="L799" i="2"/>
  <c r="K799" i="2" s="1"/>
  <c r="H799" i="2"/>
  <c r="E799" i="2"/>
  <c r="D799" i="2"/>
  <c r="C799" i="2"/>
  <c r="Q799" i="2"/>
  <c r="J799" i="2"/>
  <c r="I799" i="2"/>
  <c r="P799" i="2"/>
  <c r="O799" i="2"/>
  <c r="J754" i="2"/>
  <c r="I754" i="2"/>
  <c r="Q754" i="2"/>
  <c r="P754" i="2"/>
  <c r="A754" i="2"/>
  <c r="O754" i="2"/>
  <c r="N754" i="2"/>
  <c r="H754" i="2"/>
  <c r="G754" i="2"/>
  <c r="M754" i="2"/>
  <c r="L754" i="2"/>
  <c r="K754" i="2" s="1"/>
  <c r="F754" i="2"/>
  <c r="D754" i="2"/>
  <c r="C754" i="2"/>
  <c r="E754" i="2"/>
  <c r="G810" i="2"/>
  <c r="F810" i="2"/>
  <c r="P810" i="2"/>
  <c r="D810" i="2"/>
  <c r="L810" i="2"/>
  <c r="K810" i="2" s="1"/>
  <c r="Q810" i="2"/>
  <c r="J810" i="2"/>
  <c r="N810" i="2"/>
  <c r="M810" i="2"/>
  <c r="I810" i="2"/>
  <c r="H810" i="2"/>
  <c r="A810" i="2"/>
  <c r="O810" i="2"/>
  <c r="E810" i="2"/>
  <c r="C810" i="2"/>
  <c r="P753" i="2"/>
  <c r="D753" i="2"/>
  <c r="O753" i="2"/>
  <c r="C753" i="2"/>
  <c r="N753" i="2"/>
  <c r="A753" i="2"/>
  <c r="Q753" i="2"/>
  <c r="M753" i="2"/>
  <c r="J753" i="2"/>
  <c r="I753" i="2"/>
  <c r="L753" i="2"/>
  <c r="K753" i="2" s="1"/>
  <c r="G753" i="2"/>
  <c r="E753" i="2"/>
  <c r="H753" i="2"/>
  <c r="F753" i="2"/>
  <c r="O771" i="2"/>
  <c r="C771" i="2"/>
  <c r="P771" i="2"/>
  <c r="N771" i="2"/>
  <c r="A771" i="2"/>
  <c r="M771" i="2"/>
  <c r="L771" i="2"/>
  <c r="K771" i="2" s="1"/>
  <c r="H771" i="2"/>
  <c r="E771" i="2"/>
  <c r="D771" i="2"/>
  <c r="Q771" i="2"/>
  <c r="J771" i="2"/>
  <c r="G771" i="2"/>
  <c r="F771" i="2"/>
  <c r="I771" i="2"/>
  <c r="I879" i="2"/>
  <c r="H879" i="2"/>
  <c r="G879" i="2"/>
  <c r="F879" i="2"/>
  <c r="Q879" i="2"/>
  <c r="E879" i="2"/>
  <c r="P879" i="2"/>
  <c r="D879" i="2"/>
  <c r="M879" i="2"/>
  <c r="A879" i="2"/>
  <c r="J879" i="2"/>
  <c r="N879" i="2"/>
  <c r="L879" i="2"/>
  <c r="K879" i="2" s="1"/>
  <c r="C879" i="2"/>
  <c r="O879" i="2"/>
  <c r="L864" i="2"/>
  <c r="K864" i="2" s="1"/>
  <c r="J864" i="2"/>
  <c r="I864" i="2"/>
  <c r="H864" i="2"/>
  <c r="G864" i="2"/>
  <c r="P864" i="2"/>
  <c r="D864" i="2"/>
  <c r="M864" i="2"/>
  <c r="A864" i="2"/>
  <c r="O864" i="2"/>
  <c r="N864" i="2"/>
  <c r="F864" i="2"/>
  <c r="E864" i="2"/>
  <c r="Q864" i="2"/>
  <c r="C864" i="2"/>
  <c r="L835" i="2"/>
  <c r="K835" i="2" s="1"/>
  <c r="I835" i="2"/>
  <c r="Q835" i="2"/>
  <c r="C835" i="2"/>
  <c r="P835" i="2"/>
  <c r="N835" i="2"/>
  <c r="M835" i="2"/>
  <c r="A835" i="2"/>
  <c r="J835" i="2"/>
  <c r="H835" i="2"/>
  <c r="G835" i="2"/>
  <c r="F835" i="2"/>
  <c r="O835" i="2"/>
  <c r="E835" i="2"/>
  <c r="D835" i="2"/>
  <c r="G853" i="2"/>
  <c r="F853" i="2"/>
  <c r="Q853" i="2"/>
  <c r="E853" i="2"/>
  <c r="P853" i="2"/>
  <c r="D853" i="2"/>
  <c r="O853" i="2"/>
  <c r="C853" i="2"/>
  <c r="N853" i="2"/>
  <c r="H853" i="2"/>
  <c r="M853" i="2"/>
  <c r="L853" i="2"/>
  <c r="K853" i="2" s="1"/>
  <c r="J853" i="2"/>
  <c r="I853" i="2"/>
  <c r="A853" i="2"/>
  <c r="P880" i="2"/>
  <c r="D880" i="2"/>
  <c r="O880" i="2"/>
  <c r="C880" i="2"/>
  <c r="N880" i="2"/>
  <c r="M880" i="2"/>
  <c r="A880" i="2"/>
  <c r="L880" i="2"/>
  <c r="K880" i="2" s="1"/>
  <c r="H880" i="2"/>
  <c r="F880" i="2"/>
  <c r="Q880" i="2"/>
  <c r="E880" i="2"/>
  <c r="J880" i="2"/>
  <c r="I880" i="2"/>
  <c r="G880" i="2"/>
  <c r="J35" i="2"/>
  <c r="I35" i="2"/>
  <c r="H35" i="2"/>
  <c r="G35" i="2"/>
  <c r="F35" i="2"/>
  <c r="Q35" i="2"/>
  <c r="E35" i="2"/>
  <c r="P35" i="2"/>
  <c r="D35" i="2"/>
  <c r="O35" i="2"/>
  <c r="C35" i="2"/>
  <c r="L35" i="2"/>
  <c r="K35" i="2" s="1"/>
  <c r="A35" i="2"/>
  <c r="N35" i="2"/>
  <c r="M35" i="2"/>
  <c r="L119" i="2"/>
  <c r="K119" i="2" s="1"/>
  <c r="H119" i="2"/>
  <c r="O119" i="2"/>
  <c r="A119" i="2"/>
  <c r="N119" i="2"/>
  <c r="M119" i="2"/>
  <c r="J119" i="2"/>
  <c r="I119" i="2"/>
  <c r="G119" i="2"/>
  <c r="F119" i="2"/>
  <c r="E119" i="2"/>
  <c r="Q119" i="2"/>
  <c r="P119" i="2"/>
  <c r="D119" i="2"/>
  <c r="C119" i="2"/>
  <c r="L49" i="2"/>
  <c r="K49" i="2" s="1"/>
  <c r="J49" i="2"/>
  <c r="I49" i="2"/>
  <c r="H49" i="2"/>
  <c r="G49" i="2"/>
  <c r="F49" i="2"/>
  <c r="Q49" i="2"/>
  <c r="E49" i="2"/>
  <c r="P49" i="2"/>
  <c r="O49" i="2"/>
  <c r="N49" i="2"/>
  <c r="M49" i="2"/>
  <c r="D49" i="2"/>
  <c r="C49" i="2"/>
  <c r="A49" i="2"/>
  <c r="L167" i="2"/>
  <c r="K167" i="2" s="1"/>
  <c r="J167" i="2"/>
  <c r="I167" i="2"/>
  <c r="H167" i="2"/>
  <c r="F167" i="2"/>
  <c r="Q167" i="2"/>
  <c r="E167" i="2"/>
  <c r="P167" i="2"/>
  <c r="D167" i="2"/>
  <c r="O167" i="2"/>
  <c r="N167" i="2"/>
  <c r="M167" i="2"/>
  <c r="G167" i="2"/>
  <c r="C167" i="2"/>
  <c r="A167" i="2"/>
  <c r="P705" i="2"/>
  <c r="D705" i="2"/>
  <c r="O705" i="2"/>
  <c r="C705" i="2"/>
  <c r="E705" i="2"/>
  <c r="N705" i="2"/>
  <c r="J705" i="2"/>
  <c r="I705" i="2"/>
  <c r="L705" i="2"/>
  <c r="K705" i="2" s="1"/>
  <c r="H705" i="2"/>
  <c r="G705" i="2"/>
  <c r="Q705" i="2"/>
  <c r="M705" i="2"/>
  <c r="A705" i="2"/>
  <c r="F705" i="2"/>
  <c r="J737" i="2"/>
  <c r="F737" i="2"/>
  <c r="E737" i="2"/>
  <c r="Q737" i="2"/>
  <c r="D737" i="2"/>
  <c r="P737" i="2"/>
  <c r="C737" i="2"/>
  <c r="M737" i="2"/>
  <c r="L737" i="2"/>
  <c r="K737" i="2" s="1"/>
  <c r="A737" i="2"/>
  <c r="O737" i="2"/>
  <c r="N737" i="2"/>
  <c r="I737" i="2"/>
  <c r="H737" i="2"/>
  <c r="G737" i="2"/>
  <c r="M734" i="2"/>
  <c r="A734" i="2"/>
  <c r="E734" i="2"/>
  <c r="Q734" i="2"/>
  <c r="D734" i="2"/>
  <c r="P734" i="2"/>
  <c r="C734" i="2"/>
  <c r="O734" i="2"/>
  <c r="J734" i="2"/>
  <c r="N734" i="2"/>
  <c r="L734" i="2"/>
  <c r="K734" i="2" s="1"/>
  <c r="I734" i="2"/>
  <c r="H734" i="2"/>
  <c r="G734" i="2"/>
  <c r="F734" i="2"/>
  <c r="L809" i="2"/>
  <c r="K809" i="2" s="1"/>
  <c r="I809" i="2"/>
  <c r="N809" i="2"/>
  <c r="M809" i="2"/>
  <c r="P809" i="2"/>
  <c r="G809" i="2"/>
  <c r="F809" i="2"/>
  <c r="E809" i="2"/>
  <c r="D809" i="2"/>
  <c r="C809" i="2"/>
  <c r="J809" i="2"/>
  <c r="H809" i="2"/>
  <c r="A809" i="2"/>
  <c r="Q809" i="2"/>
  <c r="O809" i="2"/>
  <c r="L761" i="2"/>
  <c r="K761" i="2" s="1"/>
  <c r="J761" i="2"/>
  <c r="I761" i="2"/>
  <c r="Q761" i="2"/>
  <c r="A761" i="2"/>
  <c r="P761" i="2"/>
  <c r="O761" i="2"/>
  <c r="H761" i="2"/>
  <c r="G761" i="2"/>
  <c r="N761" i="2"/>
  <c r="M761" i="2"/>
  <c r="E761" i="2"/>
  <c r="C761" i="2"/>
  <c r="F761" i="2"/>
  <c r="D761" i="2"/>
  <c r="F841" i="2"/>
  <c r="O841" i="2"/>
  <c r="C841" i="2"/>
  <c r="P841" i="2"/>
  <c r="A841" i="2"/>
  <c r="N841" i="2"/>
  <c r="L841" i="2"/>
  <c r="K841" i="2" s="1"/>
  <c r="H841" i="2"/>
  <c r="G841" i="2"/>
  <c r="M841" i="2"/>
  <c r="J841" i="2"/>
  <c r="I841" i="2"/>
  <c r="E841" i="2"/>
  <c r="Q841" i="2"/>
  <c r="D841" i="2"/>
  <c r="P765" i="2"/>
  <c r="D765" i="2"/>
  <c r="O765" i="2"/>
  <c r="C765" i="2"/>
  <c r="N765" i="2"/>
  <c r="M765" i="2"/>
  <c r="A765" i="2"/>
  <c r="F765" i="2"/>
  <c r="E765" i="2"/>
  <c r="L765" i="2"/>
  <c r="K765" i="2" s="1"/>
  <c r="Q765" i="2"/>
  <c r="J765" i="2"/>
  <c r="I765" i="2"/>
  <c r="H765" i="2"/>
  <c r="G765" i="2"/>
  <c r="I778" i="2"/>
  <c r="E778" i="2"/>
  <c r="P778" i="2"/>
  <c r="O778" i="2"/>
  <c r="A778" i="2"/>
  <c r="N778" i="2"/>
  <c r="M778" i="2"/>
  <c r="J778" i="2"/>
  <c r="H778" i="2"/>
  <c r="D778" i="2"/>
  <c r="C778" i="2"/>
  <c r="Q778" i="2"/>
  <c r="L778" i="2"/>
  <c r="K778" i="2" s="1"/>
  <c r="F778" i="2"/>
  <c r="G778" i="2"/>
  <c r="I867" i="2"/>
  <c r="H867" i="2"/>
  <c r="G867" i="2"/>
  <c r="F867" i="2"/>
  <c r="Q867" i="2"/>
  <c r="E867" i="2"/>
  <c r="P867" i="2"/>
  <c r="D867" i="2"/>
  <c r="M867" i="2"/>
  <c r="A867" i="2"/>
  <c r="J867" i="2"/>
  <c r="L867" i="2"/>
  <c r="K867" i="2" s="1"/>
  <c r="C867" i="2"/>
  <c r="O867" i="2"/>
  <c r="N867" i="2"/>
  <c r="N784" i="2"/>
  <c r="Q784" i="2"/>
  <c r="D784" i="2"/>
  <c r="I784" i="2"/>
  <c r="P784" i="2"/>
  <c r="O784" i="2"/>
  <c r="M784" i="2"/>
  <c r="L784" i="2"/>
  <c r="K784" i="2" s="1"/>
  <c r="H784" i="2"/>
  <c r="G784" i="2"/>
  <c r="J784" i="2"/>
  <c r="C784" i="2"/>
  <c r="A784" i="2"/>
  <c r="F784" i="2"/>
  <c r="E784" i="2"/>
  <c r="L852" i="2"/>
  <c r="K852" i="2" s="1"/>
  <c r="J852" i="2"/>
  <c r="I852" i="2"/>
  <c r="H852" i="2"/>
  <c r="G852" i="2"/>
  <c r="P852" i="2"/>
  <c r="D852" i="2"/>
  <c r="M852" i="2"/>
  <c r="A852" i="2"/>
  <c r="C852" i="2"/>
  <c r="N852" i="2"/>
  <c r="F852" i="2"/>
  <c r="E852" i="2"/>
  <c r="Q852" i="2"/>
  <c r="O852" i="2"/>
  <c r="G865" i="2"/>
  <c r="F865" i="2"/>
  <c r="Q865" i="2"/>
  <c r="E865" i="2"/>
  <c r="P865" i="2"/>
  <c r="D865" i="2"/>
  <c r="O865" i="2"/>
  <c r="C865" i="2"/>
  <c r="N865" i="2"/>
  <c r="H865" i="2"/>
  <c r="M865" i="2"/>
  <c r="L865" i="2"/>
  <c r="K865" i="2" s="1"/>
  <c r="A865" i="2"/>
  <c r="I865" i="2"/>
  <c r="J865" i="2"/>
  <c r="N837" i="2"/>
  <c r="L837" i="2"/>
  <c r="K837" i="2" s="1"/>
  <c r="J837" i="2"/>
  <c r="H837" i="2"/>
  <c r="Q837" i="2"/>
  <c r="M837" i="2"/>
  <c r="G837" i="2"/>
  <c r="F837" i="2"/>
  <c r="E837" i="2"/>
  <c r="P837" i="2"/>
  <c r="O837" i="2"/>
  <c r="I837" i="2"/>
  <c r="D837" i="2"/>
  <c r="C837" i="2"/>
  <c r="A837" i="2"/>
  <c r="O92" i="2"/>
  <c r="C92" i="2"/>
  <c r="M92" i="2"/>
  <c r="L92" i="2"/>
  <c r="K92" i="2" s="1"/>
  <c r="J92" i="2"/>
  <c r="I92" i="2"/>
  <c r="H92" i="2"/>
  <c r="G92" i="2"/>
  <c r="F92" i="2"/>
  <c r="E92" i="2"/>
  <c r="D92" i="2"/>
  <c r="Q92" i="2"/>
  <c r="P92" i="2"/>
  <c r="N92" i="2"/>
  <c r="A92" i="2"/>
  <c r="M56" i="2"/>
  <c r="A56" i="2"/>
  <c r="L56" i="2"/>
  <c r="K56" i="2" s="1"/>
  <c r="J56" i="2"/>
  <c r="I56" i="2"/>
  <c r="H56" i="2"/>
  <c r="G56" i="2"/>
  <c r="F56" i="2"/>
  <c r="Q56" i="2"/>
  <c r="E56" i="2"/>
  <c r="P56" i="2"/>
  <c r="O56" i="2"/>
  <c r="N56" i="2"/>
  <c r="D56" i="2"/>
  <c r="C56" i="2"/>
  <c r="M114" i="2"/>
  <c r="A114" i="2"/>
  <c r="I114" i="2"/>
  <c r="N114" i="2"/>
  <c r="L114" i="2"/>
  <c r="K114" i="2" s="1"/>
  <c r="J114" i="2"/>
  <c r="H114" i="2"/>
  <c r="G114" i="2"/>
  <c r="F114" i="2"/>
  <c r="E114" i="2"/>
  <c r="D114" i="2"/>
  <c r="Q114" i="2"/>
  <c r="P114" i="2"/>
  <c r="O114" i="2"/>
  <c r="C114" i="2"/>
  <c r="L715" i="2"/>
  <c r="K715" i="2" s="1"/>
  <c r="M715" i="2"/>
  <c r="C715" i="2"/>
  <c r="Q715" i="2"/>
  <c r="O715" i="2"/>
  <c r="I715" i="2"/>
  <c r="H715" i="2"/>
  <c r="G715" i="2"/>
  <c r="J715" i="2"/>
  <c r="E715" i="2"/>
  <c r="D715" i="2"/>
  <c r="P715" i="2"/>
  <c r="N715" i="2"/>
  <c r="A715" i="2"/>
  <c r="F715" i="2"/>
  <c r="P786" i="2"/>
  <c r="D786" i="2"/>
  <c r="J786" i="2"/>
  <c r="I786" i="2"/>
  <c r="C786" i="2"/>
  <c r="N786" i="2"/>
  <c r="M786" i="2"/>
  <c r="L786" i="2"/>
  <c r="K786" i="2" s="1"/>
  <c r="F786" i="2"/>
  <c r="E786" i="2"/>
  <c r="Q786" i="2"/>
  <c r="O786" i="2"/>
  <c r="H786" i="2"/>
  <c r="G786" i="2"/>
  <c r="A786" i="2"/>
  <c r="Q748" i="2"/>
  <c r="E748" i="2"/>
  <c r="P748" i="2"/>
  <c r="D748" i="2"/>
  <c r="O748" i="2"/>
  <c r="C748" i="2"/>
  <c r="H748" i="2"/>
  <c r="G748" i="2"/>
  <c r="F748" i="2"/>
  <c r="N748" i="2"/>
  <c r="M748" i="2"/>
  <c r="A748" i="2"/>
  <c r="L748" i="2"/>
  <c r="K748" i="2" s="1"/>
  <c r="J748" i="2"/>
  <c r="I748" i="2"/>
  <c r="N703" i="2"/>
  <c r="M703" i="2"/>
  <c r="A703" i="2"/>
  <c r="I703" i="2"/>
  <c r="H703" i="2"/>
  <c r="F703" i="2"/>
  <c r="Q703" i="2"/>
  <c r="C703" i="2"/>
  <c r="P703" i="2"/>
  <c r="O703" i="2"/>
  <c r="D703" i="2"/>
  <c r="L703" i="2"/>
  <c r="K703" i="2" s="1"/>
  <c r="J703" i="2"/>
  <c r="G703" i="2"/>
  <c r="E703" i="2"/>
  <c r="I785" i="2"/>
  <c r="M785" i="2"/>
  <c r="F785" i="2"/>
  <c r="O785" i="2"/>
  <c r="N785" i="2"/>
  <c r="L785" i="2"/>
  <c r="K785" i="2" s="1"/>
  <c r="G785" i="2"/>
  <c r="E785" i="2"/>
  <c r="A785" i="2"/>
  <c r="Q785" i="2"/>
  <c r="P785" i="2"/>
  <c r="J785" i="2"/>
  <c r="H785" i="2"/>
  <c r="D785" i="2"/>
  <c r="C785" i="2"/>
  <c r="Q760" i="2"/>
  <c r="E760" i="2"/>
  <c r="P760" i="2"/>
  <c r="D760" i="2"/>
  <c r="O760" i="2"/>
  <c r="C760" i="2"/>
  <c r="N760" i="2"/>
  <c r="M760" i="2"/>
  <c r="L760" i="2"/>
  <c r="K760" i="2" s="1"/>
  <c r="I760" i="2"/>
  <c r="H760" i="2"/>
  <c r="J760" i="2"/>
  <c r="G760" i="2"/>
  <c r="F760" i="2"/>
  <c r="A760" i="2"/>
  <c r="L774" i="2"/>
  <c r="Q774" i="2"/>
  <c r="D774" i="2"/>
  <c r="P774" i="2"/>
  <c r="C774" i="2"/>
  <c r="O774" i="2"/>
  <c r="N774" i="2"/>
  <c r="A774" i="2"/>
  <c r="I774" i="2"/>
  <c r="M774" i="2"/>
  <c r="H774" i="2"/>
  <c r="G774" i="2"/>
  <c r="K774" i="2"/>
  <c r="J774" i="2"/>
  <c r="F774" i="2"/>
  <c r="E774" i="2"/>
  <c r="O832" i="2"/>
  <c r="C832" i="2"/>
  <c r="L832" i="2"/>
  <c r="K832" i="2" s="1"/>
  <c r="J832" i="2"/>
  <c r="I832" i="2"/>
  <c r="G832" i="2"/>
  <c r="F832" i="2"/>
  <c r="E832" i="2"/>
  <c r="D832" i="2"/>
  <c r="A832" i="2"/>
  <c r="Q832" i="2"/>
  <c r="P832" i="2"/>
  <c r="N832" i="2"/>
  <c r="H832" i="2"/>
  <c r="M832" i="2"/>
  <c r="O791" i="2"/>
  <c r="C791" i="2"/>
  <c r="Q791" i="2"/>
  <c r="D791" i="2"/>
  <c r="P791" i="2"/>
  <c r="L791" i="2"/>
  <c r="K791" i="2" s="1"/>
  <c r="N791" i="2"/>
  <c r="M791" i="2"/>
  <c r="J791" i="2"/>
  <c r="G791" i="2"/>
  <c r="F791" i="2"/>
  <c r="I791" i="2"/>
  <c r="E791" i="2"/>
  <c r="H791" i="2"/>
  <c r="A791" i="2"/>
  <c r="P796" i="2"/>
  <c r="D796" i="2"/>
  <c r="N796" i="2"/>
  <c r="O796" i="2"/>
  <c r="M796" i="2"/>
  <c r="J796" i="2"/>
  <c r="C796" i="2"/>
  <c r="A796" i="2"/>
  <c r="I796" i="2"/>
  <c r="Q796" i="2"/>
  <c r="L796" i="2"/>
  <c r="K796" i="2" s="1"/>
  <c r="F796" i="2"/>
  <c r="E796" i="2"/>
  <c r="H796" i="2"/>
  <c r="G796" i="2"/>
  <c r="H872" i="2"/>
  <c r="G872" i="2"/>
  <c r="F872" i="2"/>
  <c r="Q872" i="2"/>
  <c r="E872" i="2"/>
  <c r="P872" i="2"/>
  <c r="D872" i="2"/>
  <c r="O872" i="2"/>
  <c r="C872" i="2"/>
  <c r="L872" i="2"/>
  <c r="K872" i="2" s="1"/>
  <c r="J872" i="2"/>
  <c r="I872" i="2"/>
  <c r="A872" i="2"/>
  <c r="N872" i="2"/>
  <c r="M872" i="2"/>
  <c r="G877" i="2"/>
  <c r="F877" i="2"/>
  <c r="Q877" i="2"/>
  <c r="E877" i="2"/>
  <c r="P877" i="2"/>
  <c r="D877" i="2"/>
  <c r="O877" i="2"/>
  <c r="C877" i="2"/>
  <c r="N877" i="2"/>
  <c r="I877" i="2"/>
  <c r="H877" i="2"/>
  <c r="M877" i="2"/>
  <c r="L877" i="2"/>
  <c r="K877" i="2" s="1"/>
  <c r="J877" i="2"/>
  <c r="A877" i="2"/>
  <c r="O849" i="2"/>
  <c r="C849" i="2"/>
  <c r="N849" i="2"/>
  <c r="L849" i="2"/>
  <c r="K849" i="2" s="1"/>
  <c r="J849" i="2"/>
  <c r="G849" i="2"/>
  <c r="Q849" i="2"/>
  <c r="P849" i="2"/>
  <c r="D849" i="2"/>
  <c r="A849" i="2"/>
  <c r="F849" i="2"/>
  <c r="E849" i="2"/>
  <c r="H849" i="2"/>
  <c r="M849" i="2"/>
  <c r="I849" i="2"/>
  <c r="H59" i="2"/>
  <c r="L59" i="2"/>
  <c r="K59" i="2" s="1"/>
  <c r="J59" i="2"/>
  <c r="I59" i="2"/>
  <c r="G59" i="2"/>
  <c r="F59" i="2"/>
  <c r="E59" i="2"/>
  <c r="Q59" i="2"/>
  <c r="D59" i="2"/>
  <c r="P59" i="2"/>
  <c r="C59" i="2"/>
  <c r="O59" i="2"/>
  <c r="N59" i="2"/>
  <c r="M59" i="2"/>
  <c r="A59" i="2"/>
  <c r="M20" i="2"/>
  <c r="A20" i="2"/>
  <c r="L20" i="2"/>
  <c r="K20" i="2" s="1"/>
  <c r="J20" i="2"/>
  <c r="I20" i="2"/>
  <c r="H20" i="2"/>
  <c r="G20" i="2"/>
  <c r="F20" i="2"/>
  <c r="O20" i="2"/>
  <c r="N20" i="2"/>
  <c r="E20" i="2"/>
  <c r="D20" i="2"/>
  <c r="C20" i="2"/>
  <c r="Q20" i="2"/>
  <c r="P20" i="2"/>
  <c r="J23" i="2"/>
  <c r="I23" i="2"/>
  <c r="H23" i="2"/>
  <c r="G23" i="2"/>
  <c r="F23" i="2"/>
  <c r="Q23" i="2"/>
  <c r="E23" i="2"/>
  <c r="P23" i="2"/>
  <c r="D23" i="2"/>
  <c r="O23" i="2"/>
  <c r="C23" i="2"/>
  <c r="N23" i="2"/>
  <c r="M23" i="2"/>
  <c r="L23" i="2"/>
  <c r="K23" i="2" s="1"/>
  <c r="A23" i="2"/>
  <c r="F768" i="2"/>
  <c r="N768" i="2"/>
  <c r="A768" i="2"/>
  <c r="M768" i="2"/>
  <c r="L768" i="2"/>
  <c r="K768" i="2" s="1"/>
  <c r="G768" i="2"/>
  <c r="I768" i="2"/>
  <c r="H768" i="2"/>
  <c r="E768" i="2"/>
  <c r="D768" i="2"/>
  <c r="C768" i="2"/>
  <c r="Q768" i="2"/>
  <c r="J768" i="2"/>
  <c r="P768" i="2"/>
  <c r="O768" i="2"/>
  <c r="Q726" i="2"/>
  <c r="E726" i="2"/>
  <c r="J726" i="2"/>
  <c r="I726" i="2"/>
  <c r="H726" i="2"/>
  <c r="G726" i="2"/>
  <c r="P726" i="2"/>
  <c r="C726" i="2"/>
  <c r="O726" i="2"/>
  <c r="F726" i="2"/>
  <c r="D726" i="2"/>
  <c r="N726" i="2"/>
  <c r="L726" i="2"/>
  <c r="K726" i="2" s="1"/>
  <c r="A726" i="2"/>
  <c r="M726" i="2"/>
  <c r="J766" i="2"/>
  <c r="I766" i="2"/>
  <c r="H766" i="2"/>
  <c r="E766" i="2"/>
  <c r="D766" i="2"/>
  <c r="C766" i="2"/>
  <c r="O766" i="2"/>
  <c r="N766" i="2"/>
  <c r="A766" i="2"/>
  <c r="Q766" i="2"/>
  <c r="P766" i="2"/>
  <c r="M766" i="2"/>
  <c r="L766" i="2"/>
  <c r="K766" i="2" s="1"/>
  <c r="G766" i="2"/>
  <c r="F766" i="2"/>
  <c r="H711" i="2"/>
  <c r="O711" i="2"/>
  <c r="N711" i="2"/>
  <c r="A711" i="2"/>
  <c r="G711" i="2"/>
  <c r="F711" i="2"/>
  <c r="D711" i="2"/>
  <c r="P711" i="2"/>
  <c r="M711" i="2"/>
  <c r="L711" i="2"/>
  <c r="K711" i="2" s="1"/>
  <c r="Q711" i="2"/>
  <c r="J711" i="2"/>
  <c r="I711" i="2"/>
  <c r="E711" i="2"/>
  <c r="C711" i="2"/>
  <c r="M789" i="2"/>
  <c r="A789" i="2"/>
  <c r="J789" i="2"/>
  <c r="P789" i="2"/>
  <c r="O789" i="2"/>
  <c r="N789" i="2"/>
  <c r="L789" i="2"/>
  <c r="K789" i="2" s="1"/>
  <c r="I789" i="2"/>
  <c r="F789" i="2"/>
  <c r="E789" i="2"/>
  <c r="Q789" i="2"/>
  <c r="H789" i="2"/>
  <c r="G789" i="2"/>
  <c r="D789" i="2"/>
  <c r="C789" i="2"/>
  <c r="N777" i="2"/>
  <c r="I777" i="2"/>
  <c r="E777" i="2"/>
  <c r="D777" i="2"/>
  <c r="Q777" i="2"/>
  <c r="C777" i="2"/>
  <c r="P777" i="2"/>
  <c r="L777" i="2"/>
  <c r="K777" i="2" s="1"/>
  <c r="O777" i="2"/>
  <c r="M777" i="2"/>
  <c r="G777" i="2"/>
  <c r="F777" i="2"/>
  <c r="J777" i="2"/>
  <c r="H777" i="2"/>
  <c r="A777" i="2"/>
  <c r="I797" i="2"/>
  <c r="M797" i="2"/>
  <c r="L797" i="2"/>
  <c r="K797" i="2" s="1"/>
  <c r="J797" i="2"/>
  <c r="D797" i="2"/>
  <c r="C797" i="2"/>
  <c r="A797" i="2"/>
  <c r="O797" i="2"/>
  <c r="N797" i="2"/>
  <c r="F797" i="2"/>
  <c r="E797" i="2"/>
  <c r="Q797" i="2"/>
  <c r="P797" i="2"/>
  <c r="H797" i="2"/>
  <c r="G797" i="2"/>
  <c r="J833" i="2"/>
  <c r="G833" i="2"/>
  <c r="H833" i="2"/>
  <c r="F833" i="2"/>
  <c r="D833" i="2"/>
  <c r="I833" i="2"/>
  <c r="M833" i="2"/>
  <c r="E833" i="2"/>
  <c r="P833" i="2"/>
  <c r="O833" i="2"/>
  <c r="N833" i="2"/>
  <c r="L833" i="2"/>
  <c r="K833" i="2" s="1"/>
  <c r="Q833" i="2"/>
  <c r="C833" i="2"/>
  <c r="A833" i="2"/>
  <c r="I795" i="2"/>
  <c r="G795" i="2"/>
  <c r="Q795" i="2"/>
  <c r="C795" i="2"/>
  <c r="P795" i="2"/>
  <c r="O795" i="2"/>
  <c r="N795" i="2"/>
  <c r="J795" i="2"/>
  <c r="H795" i="2"/>
  <c r="D795" i="2"/>
  <c r="A795" i="2"/>
  <c r="M795" i="2"/>
  <c r="L795" i="2"/>
  <c r="K795" i="2" s="1"/>
  <c r="F795" i="2"/>
  <c r="E795" i="2"/>
  <c r="Q808" i="2"/>
  <c r="E808" i="2"/>
  <c r="P808" i="2"/>
  <c r="D808" i="2"/>
  <c r="N808" i="2"/>
  <c r="M808" i="2"/>
  <c r="L808" i="2"/>
  <c r="K808" i="2" s="1"/>
  <c r="G808" i="2"/>
  <c r="A808" i="2"/>
  <c r="O808" i="2"/>
  <c r="J808" i="2"/>
  <c r="F808" i="2"/>
  <c r="C808" i="2"/>
  <c r="I808" i="2"/>
  <c r="H808" i="2"/>
  <c r="N811" i="2"/>
  <c r="M811" i="2"/>
  <c r="A811" i="2"/>
  <c r="J811" i="2"/>
  <c r="I811" i="2"/>
  <c r="O811" i="2"/>
  <c r="Q811" i="2"/>
  <c r="P811" i="2"/>
  <c r="G811" i="2"/>
  <c r="F811" i="2"/>
  <c r="L811" i="2"/>
  <c r="K811" i="2" s="1"/>
  <c r="H811" i="2"/>
  <c r="C811" i="2"/>
  <c r="E811" i="2"/>
  <c r="D811" i="2"/>
  <c r="Q834" i="2"/>
  <c r="E834" i="2"/>
  <c r="N834" i="2"/>
  <c r="F834" i="2"/>
  <c r="D834" i="2"/>
  <c r="P834" i="2"/>
  <c r="A834" i="2"/>
  <c r="J834" i="2"/>
  <c r="M834" i="2"/>
  <c r="I834" i="2"/>
  <c r="O834" i="2"/>
  <c r="L834" i="2"/>
  <c r="K834" i="2" s="1"/>
  <c r="H834" i="2"/>
  <c r="C834" i="2"/>
  <c r="G834" i="2"/>
  <c r="O861" i="2"/>
  <c r="C861" i="2"/>
  <c r="N861" i="2"/>
  <c r="M861" i="2"/>
  <c r="A861" i="2"/>
  <c r="L861" i="2"/>
  <c r="K861" i="2" s="1"/>
  <c r="J861" i="2"/>
  <c r="G861" i="2"/>
  <c r="P861" i="2"/>
  <c r="D861" i="2"/>
  <c r="E861" i="2"/>
  <c r="H861" i="2"/>
  <c r="F861" i="2"/>
  <c r="Q861" i="2"/>
  <c r="I861" i="2"/>
  <c r="J54" i="2"/>
  <c r="I54" i="2"/>
  <c r="H54" i="2"/>
  <c r="G54" i="2"/>
  <c r="F54" i="2"/>
  <c r="Q54" i="2"/>
  <c r="E54" i="2"/>
  <c r="P54" i="2"/>
  <c r="D54" i="2"/>
  <c r="M54" i="2"/>
  <c r="L54" i="2"/>
  <c r="K54" i="2" s="1"/>
  <c r="C54" i="2"/>
  <c r="A54" i="2"/>
  <c r="O54" i="2"/>
  <c r="N54" i="2"/>
  <c r="Q142" i="2"/>
  <c r="E142" i="2"/>
  <c r="M142" i="2"/>
  <c r="A142" i="2"/>
  <c r="L142" i="2"/>
  <c r="K142" i="2" s="1"/>
  <c r="J142" i="2"/>
  <c r="I142" i="2"/>
  <c r="H142" i="2"/>
  <c r="G142" i="2"/>
  <c r="F142" i="2"/>
  <c r="D142" i="2"/>
  <c r="C142" i="2"/>
  <c r="P142" i="2"/>
  <c r="O142" i="2"/>
  <c r="N142" i="2"/>
  <c r="I11" i="2"/>
  <c r="H11" i="2"/>
  <c r="G11" i="2"/>
  <c r="F11" i="2"/>
  <c r="Q11" i="2"/>
  <c r="E11" i="2"/>
  <c r="P11" i="2"/>
  <c r="D11" i="2"/>
  <c r="O11" i="2"/>
  <c r="C11" i="2"/>
  <c r="N11" i="2"/>
  <c r="M11" i="2"/>
  <c r="L11" i="2"/>
  <c r="K11" i="2" s="1"/>
  <c r="J11" i="2"/>
  <c r="A11" i="2"/>
  <c r="I16" i="2"/>
  <c r="H16" i="2"/>
  <c r="G16" i="2"/>
  <c r="F16" i="2"/>
  <c r="Q16" i="2"/>
  <c r="E16" i="2"/>
  <c r="P16" i="2"/>
  <c r="D16" i="2"/>
  <c r="O16" i="2"/>
  <c r="C16" i="2"/>
  <c r="N16" i="2"/>
  <c r="J16" i="2"/>
  <c r="A16" i="2"/>
  <c r="M16" i="2"/>
  <c r="L16" i="2"/>
  <c r="K16" i="2" s="1"/>
  <c r="J153" i="2"/>
  <c r="I153" i="2"/>
  <c r="G153" i="2"/>
  <c r="F153" i="2"/>
  <c r="P153" i="2"/>
  <c r="D153" i="2"/>
  <c r="O153" i="2"/>
  <c r="C153" i="2"/>
  <c r="N153" i="2"/>
  <c r="M153" i="2"/>
  <c r="L153" i="2"/>
  <c r="K153" i="2" s="1"/>
  <c r="H153" i="2"/>
  <c r="E153" i="2"/>
  <c r="A153" i="2"/>
  <c r="Q153" i="2"/>
  <c r="M78" i="2"/>
  <c r="A78" i="2"/>
  <c r="I78" i="2"/>
  <c r="F78" i="2"/>
  <c r="E78" i="2"/>
  <c r="D78" i="2"/>
  <c r="Q78" i="2"/>
  <c r="C78" i="2"/>
  <c r="P78" i="2"/>
  <c r="O78" i="2"/>
  <c r="N78" i="2"/>
  <c r="L78" i="2"/>
  <c r="K78" i="2" s="1"/>
  <c r="J78" i="2"/>
  <c r="H78" i="2"/>
  <c r="G78" i="2"/>
  <c r="M301" i="2"/>
  <c r="A301" i="2"/>
  <c r="E301" i="2"/>
  <c r="N301" i="2"/>
  <c r="I301" i="2"/>
  <c r="Q301" i="2"/>
  <c r="P301" i="2"/>
  <c r="L301" i="2"/>
  <c r="K301" i="2" s="1"/>
  <c r="J301" i="2"/>
  <c r="H301" i="2"/>
  <c r="G301" i="2"/>
  <c r="F301" i="2"/>
  <c r="O301" i="2"/>
  <c r="D301" i="2"/>
  <c r="C301" i="2"/>
  <c r="O140" i="2"/>
  <c r="C140" i="2"/>
  <c r="D140" i="2"/>
  <c r="Q140" i="2"/>
  <c r="P140" i="2"/>
  <c r="A140" i="2"/>
  <c r="N140" i="2"/>
  <c r="M140" i="2"/>
  <c r="L140" i="2"/>
  <c r="K140" i="2" s="1"/>
  <c r="J140" i="2"/>
  <c r="I140" i="2"/>
  <c r="H140" i="2"/>
  <c r="G140" i="2"/>
  <c r="F140" i="2"/>
  <c r="E140" i="2"/>
  <c r="Q233" i="2"/>
  <c r="E233" i="2"/>
  <c r="H233" i="2"/>
  <c r="F233" i="2"/>
  <c r="G233" i="2"/>
  <c r="D233" i="2"/>
  <c r="O233" i="2"/>
  <c r="N233" i="2"/>
  <c r="M233" i="2"/>
  <c r="L233" i="2"/>
  <c r="K233" i="2" s="1"/>
  <c r="I233" i="2"/>
  <c r="C233" i="2"/>
  <c r="P233" i="2"/>
  <c r="J233" i="2"/>
  <c r="A233" i="2"/>
  <c r="F228" i="2"/>
  <c r="L228" i="2"/>
  <c r="K228" i="2" s="1"/>
  <c r="O228" i="2"/>
  <c r="A228" i="2"/>
  <c r="N228" i="2"/>
  <c r="I228" i="2"/>
  <c r="H228" i="2"/>
  <c r="G228" i="2"/>
  <c r="E228" i="2"/>
  <c r="D228" i="2"/>
  <c r="Q228" i="2"/>
  <c r="P228" i="2"/>
  <c r="C228" i="2"/>
  <c r="M228" i="2"/>
  <c r="J228" i="2"/>
  <c r="I198" i="2"/>
  <c r="E198" i="2"/>
  <c r="Q198" i="2"/>
  <c r="D198" i="2"/>
  <c r="P198" i="2"/>
  <c r="C198" i="2"/>
  <c r="O198" i="2"/>
  <c r="N198" i="2"/>
  <c r="A198" i="2"/>
  <c r="L198" i="2"/>
  <c r="K198" i="2" s="1"/>
  <c r="J198" i="2"/>
  <c r="M198" i="2"/>
  <c r="H198" i="2"/>
  <c r="G198" i="2"/>
  <c r="F198" i="2"/>
  <c r="N73" i="2"/>
  <c r="J73" i="2"/>
  <c r="E73" i="2"/>
  <c r="D73" i="2"/>
  <c r="Q73" i="2"/>
  <c r="C73" i="2"/>
  <c r="P73" i="2"/>
  <c r="A73" i="2"/>
  <c r="O73" i="2"/>
  <c r="M73" i="2"/>
  <c r="L73" i="2"/>
  <c r="K73" i="2" s="1"/>
  <c r="I73" i="2"/>
  <c r="H73" i="2"/>
  <c r="G73" i="2"/>
  <c r="F73" i="2"/>
  <c r="G287" i="2"/>
  <c r="P287" i="2"/>
  <c r="C287" i="2"/>
  <c r="N287" i="2"/>
  <c r="L287" i="2"/>
  <c r="K287" i="2" s="1"/>
  <c r="I287" i="2"/>
  <c r="H287" i="2"/>
  <c r="E287" i="2"/>
  <c r="D287" i="2"/>
  <c r="A287" i="2"/>
  <c r="F287" i="2"/>
  <c r="Q287" i="2"/>
  <c r="O287" i="2"/>
  <c r="M287" i="2"/>
  <c r="J287" i="2"/>
  <c r="G335" i="2"/>
  <c r="N335" i="2"/>
  <c r="M335" i="2"/>
  <c r="I335" i="2"/>
  <c r="F335" i="2"/>
  <c r="H335" i="2"/>
  <c r="O335" i="2"/>
  <c r="J335" i="2"/>
  <c r="E335" i="2"/>
  <c r="D335" i="2"/>
  <c r="Q335" i="2"/>
  <c r="P335" i="2"/>
  <c r="L335" i="2"/>
  <c r="K335" i="2" s="1"/>
  <c r="C335" i="2"/>
  <c r="A335" i="2"/>
  <c r="H450" i="2"/>
  <c r="P450" i="2"/>
  <c r="D450" i="2"/>
  <c r="I450" i="2"/>
  <c r="E450" i="2"/>
  <c r="C450" i="2"/>
  <c r="O450" i="2"/>
  <c r="A450" i="2"/>
  <c r="N450" i="2"/>
  <c r="Q450" i="2"/>
  <c r="M450" i="2"/>
  <c r="L450" i="2"/>
  <c r="K450" i="2" s="1"/>
  <c r="J450" i="2"/>
  <c r="G450" i="2"/>
  <c r="F450" i="2"/>
  <c r="G383" i="2"/>
  <c r="Q383" i="2"/>
  <c r="D383" i="2"/>
  <c r="M383" i="2"/>
  <c r="E383" i="2"/>
  <c r="C383" i="2"/>
  <c r="P383" i="2"/>
  <c r="A383" i="2"/>
  <c r="O383" i="2"/>
  <c r="L383" i="2"/>
  <c r="K383" i="2" s="1"/>
  <c r="J383" i="2"/>
  <c r="I383" i="2"/>
  <c r="H383" i="2"/>
  <c r="N383" i="2"/>
  <c r="F383" i="2"/>
  <c r="M337" i="2"/>
  <c r="A337" i="2"/>
  <c r="I337" i="2"/>
  <c r="H337" i="2"/>
  <c r="G337" i="2"/>
  <c r="D337" i="2"/>
  <c r="P337" i="2"/>
  <c r="Q337" i="2"/>
  <c r="C337" i="2"/>
  <c r="N337" i="2"/>
  <c r="E337" i="2"/>
  <c r="L337" i="2"/>
  <c r="K337" i="2" s="1"/>
  <c r="J337" i="2"/>
  <c r="F337" i="2"/>
  <c r="O337" i="2"/>
  <c r="O439" i="2"/>
  <c r="C439" i="2"/>
  <c r="H439" i="2"/>
  <c r="E439" i="2"/>
  <c r="D439" i="2"/>
  <c r="P439" i="2"/>
  <c r="A439" i="2"/>
  <c r="N439" i="2"/>
  <c r="J439" i="2"/>
  <c r="I439" i="2"/>
  <c r="F439" i="2"/>
  <c r="Q439" i="2"/>
  <c r="M439" i="2"/>
  <c r="L439" i="2"/>
  <c r="K439" i="2" s="1"/>
  <c r="G439" i="2"/>
  <c r="Q305" i="2"/>
  <c r="E305" i="2"/>
  <c r="O305" i="2"/>
  <c r="I305" i="2"/>
  <c r="G305" i="2"/>
  <c r="D305" i="2"/>
  <c r="H305" i="2"/>
  <c r="F305" i="2"/>
  <c r="A305" i="2"/>
  <c r="P305" i="2"/>
  <c r="N305" i="2"/>
  <c r="M305" i="2"/>
  <c r="L305" i="2"/>
  <c r="K305" i="2" s="1"/>
  <c r="J305" i="2"/>
  <c r="C305" i="2"/>
  <c r="I433" i="2"/>
  <c r="Q433" i="2"/>
  <c r="E433" i="2"/>
  <c r="J433" i="2"/>
  <c r="F433" i="2"/>
  <c r="D433" i="2"/>
  <c r="P433" i="2"/>
  <c r="O433" i="2"/>
  <c r="A433" i="2"/>
  <c r="M433" i="2"/>
  <c r="L433" i="2"/>
  <c r="K433" i="2" s="1"/>
  <c r="H433" i="2"/>
  <c r="G433" i="2"/>
  <c r="N433" i="2"/>
  <c r="C433" i="2"/>
  <c r="L526" i="2"/>
  <c r="K526" i="2" s="1"/>
  <c r="I526" i="2"/>
  <c r="H526" i="2"/>
  <c r="F526" i="2"/>
  <c r="Q526" i="2"/>
  <c r="E526" i="2"/>
  <c r="P526" i="2"/>
  <c r="D526" i="2"/>
  <c r="M526" i="2"/>
  <c r="G526" i="2"/>
  <c r="C526" i="2"/>
  <c r="N526" i="2"/>
  <c r="J526" i="2"/>
  <c r="O526" i="2"/>
  <c r="A526" i="2"/>
  <c r="N344" i="2"/>
  <c r="J344" i="2"/>
  <c r="E344" i="2"/>
  <c r="D344" i="2"/>
  <c r="P344" i="2"/>
  <c r="A344" i="2"/>
  <c r="O344" i="2"/>
  <c r="L344" i="2"/>
  <c r="K344" i="2" s="1"/>
  <c r="Q344" i="2"/>
  <c r="M344" i="2"/>
  <c r="I344" i="2"/>
  <c r="G344" i="2"/>
  <c r="C344" i="2"/>
  <c r="H344" i="2"/>
  <c r="F344" i="2"/>
  <c r="G720" i="2"/>
  <c r="F720" i="2"/>
  <c r="E720" i="2"/>
  <c r="Q720" i="2"/>
  <c r="D720" i="2"/>
  <c r="A720" i="2"/>
  <c r="O720" i="2"/>
  <c r="L720" i="2"/>
  <c r="K720" i="2" s="1"/>
  <c r="J720" i="2"/>
  <c r="I720" i="2"/>
  <c r="M720" i="2"/>
  <c r="H720" i="2"/>
  <c r="C720" i="2"/>
  <c r="P720" i="2"/>
  <c r="N720" i="2"/>
  <c r="F540" i="2"/>
  <c r="G540" i="2"/>
  <c r="E540" i="2"/>
  <c r="P540" i="2"/>
  <c r="C540" i="2"/>
  <c r="O540" i="2"/>
  <c r="M540" i="2"/>
  <c r="L540" i="2"/>
  <c r="K540" i="2" s="1"/>
  <c r="Q540" i="2"/>
  <c r="N540" i="2"/>
  <c r="J540" i="2"/>
  <c r="H540" i="2"/>
  <c r="D540" i="2"/>
  <c r="A540" i="2"/>
  <c r="I540" i="2"/>
  <c r="N372" i="2"/>
  <c r="H372" i="2"/>
  <c r="Q372" i="2"/>
  <c r="D372" i="2"/>
  <c r="C372" i="2"/>
  <c r="A372" i="2"/>
  <c r="O372" i="2"/>
  <c r="M372" i="2"/>
  <c r="J372" i="2"/>
  <c r="P372" i="2"/>
  <c r="L372" i="2"/>
  <c r="K372" i="2" s="1"/>
  <c r="I372" i="2"/>
  <c r="G372" i="2"/>
  <c r="F372" i="2"/>
  <c r="E372" i="2"/>
  <c r="I586" i="2"/>
  <c r="J586" i="2"/>
  <c r="H586" i="2"/>
  <c r="F586" i="2"/>
  <c r="E586" i="2"/>
  <c r="O586" i="2"/>
  <c r="A586" i="2"/>
  <c r="Q586" i="2"/>
  <c r="P586" i="2"/>
  <c r="M586" i="2"/>
  <c r="L586" i="2"/>
  <c r="K586" i="2" s="1"/>
  <c r="C586" i="2"/>
  <c r="N586" i="2"/>
  <c r="G586" i="2"/>
  <c r="D586" i="2"/>
  <c r="H597" i="2"/>
  <c r="N597" i="2"/>
  <c r="A597" i="2"/>
  <c r="J597" i="2"/>
  <c r="F597" i="2"/>
  <c r="E597" i="2"/>
  <c r="C597" i="2"/>
  <c r="Q597" i="2"/>
  <c r="O597" i="2"/>
  <c r="M597" i="2"/>
  <c r="L597" i="2"/>
  <c r="K597" i="2" s="1"/>
  <c r="P597" i="2"/>
  <c r="I597" i="2"/>
  <c r="G597" i="2"/>
  <c r="D597" i="2"/>
  <c r="O660" i="2"/>
  <c r="C660" i="2"/>
  <c r="Q660" i="2"/>
  <c r="D660" i="2"/>
  <c r="L660" i="2"/>
  <c r="K660" i="2" s="1"/>
  <c r="I660" i="2"/>
  <c r="H660" i="2"/>
  <c r="F660" i="2"/>
  <c r="E660" i="2"/>
  <c r="A660" i="2"/>
  <c r="P660" i="2"/>
  <c r="N660" i="2"/>
  <c r="M660" i="2"/>
  <c r="J660" i="2"/>
  <c r="G660" i="2"/>
  <c r="G652" i="2"/>
  <c r="I652" i="2"/>
  <c r="E652" i="2"/>
  <c r="D652" i="2"/>
  <c r="P652" i="2"/>
  <c r="O652" i="2"/>
  <c r="A652" i="2"/>
  <c r="M652" i="2"/>
  <c r="L652" i="2"/>
  <c r="K652" i="2" s="1"/>
  <c r="C652" i="2"/>
  <c r="Q652" i="2"/>
  <c r="N652" i="2"/>
  <c r="J652" i="2"/>
  <c r="H652" i="2"/>
  <c r="F652" i="2"/>
  <c r="N603" i="2"/>
  <c r="Q603" i="2"/>
  <c r="D603" i="2"/>
  <c r="L603" i="2"/>
  <c r="K603" i="2" s="1"/>
  <c r="O603" i="2"/>
  <c r="M603" i="2"/>
  <c r="J603" i="2"/>
  <c r="I603" i="2"/>
  <c r="G603" i="2"/>
  <c r="F603" i="2"/>
  <c r="E603" i="2"/>
  <c r="A603" i="2"/>
  <c r="P603" i="2"/>
  <c r="H603" i="2"/>
  <c r="C603" i="2"/>
  <c r="F815" i="2"/>
  <c r="Q815" i="2"/>
  <c r="E815" i="2"/>
  <c r="O815" i="2"/>
  <c r="C815" i="2"/>
  <c r="H815" i="2"/>
  <c r="G815" i="2"/>
  <c r="J815" i="2"/>
  <c r="A815" i="2"/>
  <c r="P815" i="2"/>
  <c r="N815" i="2"/>
  <c r="I815" i="2"/>
  <c r="M815" i="2"/>
  <c r="D815" i="2"/>
  <c r="L815" i="2"/>
  <c r="K815" i="2" s="1"/>
  <c r="N653" i="2"/>
  <c r="E653" i="2"/>
  <c r="Q653" i="2"/>
  <c r="C653" i="2"/>
  <c r="P653" i="2"/>
  <c r="A653" i="2"/>
  <c r="M653" i="2"/>
  <c r="L653" i="2"/>
  <c r="K653" i="2" s="1"/>
  <c r="J653" i="2"/>
  <c r="I653" i="2"/>
  <c r="H653" i="2"/>
  <c r="G653" i="2"/>
  <c r="D653" i="2"/>
  <c r="O653" i="2"/>
  <c r="F653" i="2"/>
  <c r="I66" i="2"/>
  <c r="J66" i="2"/>
  <c r="H66" i="2"/>
  <c r="G66" i="2"/>
  <c r="F66" i="2"/>
  <c r="E66" i="2"/>
  <c r="Q66" i="2"/>
  <c r="D66" i="2"/>
  <c r="P66" i="2"/>
  <c r="C66" i="2"/>
  <c r="O66" i="2"/>
  <c r="A66" i="2"/>
  <c r="N66" i="2"/>
  <c r="M66" i="2"/>
  <c r="L66" i="2"/>
  <c r="K66" i="2" s="1"/>
  <c r="G196" i="2"/>
  <c r="M196" i="2"/>
  <c r="L196" i="2"/>
  <c r="K196" i="2" s="1"/>
  <c r="J196" i="2"/>
  <c r="I196" i="2"/>
  <c r="F196" i="2"/>
  <c r="E196" i="2"/>
  <c r="Q196" i="2"/>
  <c r="D196" i="2"/>
  <c r="P196" i="2"/>
  <c r="O196" i="2"/>
  <c r="N196" i="2"/>
  <c r="H196" i="2"/>
  <c r="C196" i="2"/>
  <c r="A196" i="2"/>
  <c r="G100" i="2"/>
  <c r="F100" i="2"/>
  <c r="E100" i="2"/>
  <c r="D100" i="2"/>
  <c r="Q100" i="2"/>
  <c r="C100" i="2"/>
  <c r="P100" i="2"/>
  <c r="O100" i="2"/>
  <c r="A100" i="2"/>
  <c r="N100" i="2"/>
  <c r="M100" i="2"/>
  <c r="L100" i="2"/>
  <c r="K100" i="2" s="1"/>
  <c r="J100" i="2"/>
  <c r="I100" i="2"/>
  <c r="H100" i="2"/>
  <c r="O5" i="2"/>
  <c r="C5" i="2"/>
  <c r="N5" i="2"/>
  <c r="M5" i="2"/>
  <c r="A5" i="2"/>
  <c r="L5" i="2"/>
  <c r="Q5" i="2"/>
  <c r="P5" i="2"/>
  <c r="H5" i="2"/>
  <c r="G5" i="2"/>
  <c r="F5" i="2"/>
  <c r="E5" i="2"/>
  <c r="D5" i="2"/>
  <c r="F213" i="2"/>
  <c r="L213" i="2"/>
  <c r="K213" i="2" s="1"/>
  <c r="J213" i="2"/>
  <c r="I213" i="2"/>
  <c r="H213" i="2"/>
  <c r="E213" i="2"/>
  <c r="Q213" i="2"/>
  <c r="D213" i="2"/>
  <c r="P213" i="2"/>
  <c r="C213" i="2"/>
  <c r="G213" i="2"/>
  <c r="A213" i="2"/>
  <c r="O213" i="2"/>
  <c r="N213" i="2"/>
  <c r="M213" i="2"/>
  <c r="H242" i="2"/>
  <c r="L242" i="2"/>
  <c r="K242" i="2" s="1"/>
  <c r="J242" i="2"/>
  <c r="I242" i="2"/>
  <c r="O242" i="2"/>
  <c r="N242" i="2"/>
  <c r="M242" i="2"/>
  <c r="G242" i="2"/>
  <c r="F242" i="2"/>
  <c r="D242" i="2"/>
  <c r="C242" i="2"/>
  <c r="Q242" i="2"/>
  <c r="P242" i="2"/>
  <c r="E242" i="2"/>
  <c r="A242" i="2"/>
  <c r="M229" i="2"/>
  <c r="A229" i="2"/>
  <c r="H229" i="2"/>
  <c r="L229" i="2"/>
  <c r="K229" i="2" s="1"/>
  <c r="I229" i="2"/>
  <c r="G229" i="2"/>
  <c r="F229" i="2"/>
  <c r="E229" i="2"/>
  <c r="D229" i="2"/>
  <c r="Q229" i="2"/>
  <c r="P229" i="2"/>
  <c r="O229" i="2"/>
  <c r="N229" i="2"/>
  <c r="J229" i="2"/>
  <c r="C229" i="2"/>
  <c r="F173" i="2"/>
  <c r="Q173" i="2"/>
  <c r="E173" i="2"/>
  <c r="P173" i="2"/>
  <c r="D173" i="2"/>
  <c r="O173" i="2"/>
  <c r="C173" i="2"/>
  <c r="N173" i="2"/>
  <c r="L173" i="2"/>
  <c r="K173" i="2" s="1"/>
  <c r="J173" i="2"/>
  <c r="A173" i="2"/>
  <c r="M173" i="2"/>
  <c r="I173" i="2"/>
  <c r="H173" i="2"/>
  <c r="G173" i="2"/>
  <c r="N85" i="2"/>
  <c r="J85" i="2"/>
  <c r="Q85" i="2"/>
  <c r="C85" i="2"/>
  <c r="P85" i="2"/>
  <c r="A85" i="2"/>
  <c r="O85" i="2"/>
  <c r="M85" i="2"/>
  <c r="L85" i="2"/>
  <c r="K85" i="2" s="1"/>
  <c r="I85" i="2"/>
  <c r="H85" i="2"/>
  <c r="G85" i="2"/>
  <c r="F85" i="2"/>
  <c r="E85" i="2"/>
  <c r="D85" i="2"/>
  <c r="H314" i="2"/>
  <c r="P314" i="2"/>
  <c r="D314" i="2"/>
  <c r="F314" i="2"/>
  <c r="A314" i="2"/>
  <c r="O314" i="2"/>
  <c r="N314" i="2"/>
  <c r="M314" i="2"/>
  <c r="J314" i="2"/>
  <c r="G314" i="2"/>
  <c r="Q314" i="2"/>
  <c r="I314" i="2"/>
  <c r="E314" i="2"/>
  <c r="C314" i="2"/>
  <c r="L314" i="2"/>
  <c r="K314" i="2" s="1"/>
  <c r="P262" i="2"/>
  <c r="D262" i="2"/>
  <c r="M262" i="2"/>
  <c r="I262" i="2"/>
  <c r="O262" i="2"/>
  <c r="L262" i="2"/>
  <c r="K262" i="2" s="1"/>
  <c r="N262" i="2"/>
  <c r="G262" i="2"/>
  <c r="F262" i="2"/>
  <c r="E262" i="2"/>
  <c r="C262" i="2"/>
  <c r="A262" i="2"/>
  <c r="Q262" i="2"/>
  <c r="J262" i="2"/>
  <c r="H262" i="2"/>
  <c r="Q341" i="2"/>
  <c r="E341" i="2"/>
  <c r="M341" i="2"/>
  <c r="A341" i="2"/>
  <c r="L341" i="2"/>
  <c r="K341" i="2" s="1"/>
  <c r="I341" i="2"/>
  <c r="H341" i="2"/>
  <c r="F341" i="2"/>
  <c r="D341" i="2"/>
  <c r="J341" i="2"/>
  <c r="C341" i="2"/>
  <c r="P341" i="2"/>
  <c r="O341" i="2"/>
  <c r="N341" i="2"/>
  <c r="G341" i="2"/>
  <c r="H402" i="2"/>
  <c r="I402" i="2"/>
  <c r="E402" i="2"/>
  <c r="Q402" i="2"/>
  <c r="D402" i="2"/>
  <c r="N402" i="2"/>
  <c r="A402" i="2"/>
  <c r="P402" i="2"/>
  <c r="M402" i="2"/>
  <c r="L402" i="2"/>
  <c r="K402" i="2" s="1"/>
  <c r="J402" i="2"/>
  <c r="G402" i="2"/>
  <c r="F402" i="2"/>
  <c r="C402" i="2"/>
  <c r="O402" i="2"/>
  <c r="O622" i="2"/>
  <c r="C622" i="2"/>
  <c r="H622" i="2"/>
  <c r="Q622" i="2"/>
  <c r="D622" i="2"/>
  <c r="F622" i="2"/>
  <c r="E622" i="2"/>
  <c r="A622" i="2"/>
  <c r="P622" i="2"/>
  <c r="M622" i="2"/>
  <c r="L622" i="2"/>
  <c r="K622" i="2" s="1"/>
  <c r="N622" i="2"/>
  <c r="J622" i="2"/>
  <c r="I622" i="2"/>
  <c r="G622" i="2"/>
  <c r="O267" i="2"/>
  <c r="C267" i="2"/>
  <c r="G267" i="2"/>
  <c r="P267" i="2"/>
  <c r="I267" i="2"/>
  <c r="F267" i="2"/>
  <c r="E267" i="2"/>
  <c r="D267" i="2"/>
  <c r="A267" i="2"/>
  <c r="J267" i="2"/>
  <c r="H267" i="2"/>
  <c r="Q267" i="2"/>
  <c r="N267" i="2"/>
  <c r="M267" i="2"/>
  <c r="L267" i="2"/>
  <c r="K267" i="2" s="1"/>
  <c r="O339" i="2"/>
  <c r="C339" i="2"/>
  <c r="D339" i="2"/>
  <c r="Q339" i="2"/>
  <c r="M339" i="2"/>
  <c r="J339" i="2"/>
  <c r="F339" i="2"/>
  <c r="P339" i="2"/>
  <c r="L339" i="2"/>
  <c r="K339" i="2" s="1"/>
  <c r="I339" i="2"/>
  <c r="H339" i="2"/>
  <c r="E339" i="2"/>
  <c r="N339" i="2"/>
  <c r="A339" i="2"/>
  <c r="G339" i="2"/>
  <c r="J635" i="2"/>
  <c r="I635" i="2"/>
  <c r="F635" i="2"/>
  <c r="E635" i="2"/>
  <c r="N635" i="2"/>
  <c r="A635" i="2"/>
  <c r="Q635" i="2"/>
  <c r="O635" i="2"/>
  <c r="M635" i="2"/>
  <c r="H635" i="2"/>
  <c r="G635" i="2"/>
  <c r="P635" i="2"/>
  <c r="L635" i="2"/>
  <c r="K635" i="2" s="1"/>
  <c r="D635" i="2"/>
  <c r="C635" i="2"/>
  <c r="F360" i="2"/>
  <c r="N360" i="2"/>
  <c r="G360" i="2"/>
  <c r="E360" i="2"/>
  <c r="Q360" i="2"/>
  <c r="C360" i="2"/>
  <c r="P360" i="2"/>
  <c r="A360" i="2"/>
  <c r="M360" i="2"/>
  <c r="L360" i="2"/>
  <c r="K360" i="2" s="1"/>
  <c r="O360" i="2"/>
  <c r="J360" i="2"/>
  <c r="I360" i="2"/>
  <c r="H360" i="2"/>
  <c r="D360" i="2"/>
  <c r="M485" i="2"/>
  <c r="A485" i="2"/>
  <c r="I485" i="2"/>
  <c r="D485" i="2"/>
  <c r="P485" i="2"/>
  <c r="O485" i="2"/>
  <c r="N485" i="2"/>
  <c r="J485" i="2"/>
  <c r="E485" i="2"/>
  <c r="C485" i="2"/>
  <c r="Q485" i="2"/>
  <c r="L485" i="2"/>
  <c r="K485" i="2" s="1"/>
  <c r="H485" i="2"/>
  <c r="G485" i="2"/>
  <c r="F485" i="2"/>
  <c r="J500" i="2"/>
  <c r="I500" i="2"/>
  <c r="G500" i="2"/>
  <c r="F500" i="2"/>
  <c r="P500" i="2"/>
  <c r="D500" i="2"/>
  <c r="O500" i="2"/>
  <c r="C500" i="2"/>
  <c r="N500" i="2"/>
  <c r="Q500" i="2"/>
  <c r="M500" i="2"/>
  <c r="L500" i="2"/>
  <c r="K500" i="2" s="1"/>
  <c r="H500" i="2"/>
  <c r="E500" i="2"/>
  <c r="A500" i="2"/>
  <c r="L583" i="2"/>
  <c r="K583" i="2" s="1"/>
  <c r="H583" i="2"/>
  <c r="G583" i="2"/>
  <c r="E583" i="2"/>
  <c r="Q583" i="2"/>
  <c r="D583" i="2"/>
  <c r="M583" i="2"/>
  <c r="J583" i="2"/>
  <c r="I583" i="2"/>
  <c r="F583" i="2"/>
  <c r="A583" i="2"/>
  <c r="O583" i="2"/>
  <c r="N583" i="2"/>
  <c r="P583" i="2"/>
  <c r="C583" i="2"/>
  <c r="M596" i="2"/>
  <c r="A596" i="2"/>
  <c r="E596" i="2"/>
  <c r="N596" i="2"/>
  <c r="H596" i="2"/>
  <c r="G596" i="2"/>
  <c r="D596" i="2"/>
  <c r="C596" i="2"/>
  <c r="P596" i="2"/>
  <c r="O596" i="2"/>
  <c r="L596" i="2"/>
  <c r="K596" i="2" s="1"/>
  <c r="I596" i="2"/>
  <c r="F596" i="2"/>
  <c r="J596" i="2"/>
  <c r="Q596" i="2"/>
  <c r="N528" i="2"/>
  <c r="M528" i="2"/>
  <c r="A528" i="2"/>
  <c r="J528" i="2"/>
  <c r="H528" i="2"/>
  <c r="G528" i="2"/>
  <c r="F528" i="2"/>
  <c r="E528" i="2"/>
  <c r="C528" i="2"/>
  <c r="Q528" i="2"/>
  <c r="I528" i="2"/>
  <c r="D528" i="2"/>
  <c r="P528" i="2"/>
  <c r="O528" i="2"/>
  <c r="L528" i="2"/>
  <c r="K528" i="2" s="1"/>
  <c r="H621" i="2"/>
  <c r="L621" i="2"/>
  <c r="K621" i="2" s="1"/>
  <c r="G621" i="2"/>
  <c r="F621" i="2"/>
  <c r="E621" i="2"/>
  <c r="C621" i="2"/>
  <c r="Q621" i="2"/>
  <c r="O621" i="2"/>
  <c r="N621" i="2"/>
  <c r="M621" i="2"/>
  <c r="P621" i="2"/>
  <c r="J621" i="2"/>
  <c r="A621" i="2"/>
  <c r="I621" i="2"/>
  <c r="D621" i="2"/>
  <c r="M756" i="2"/>
  <c r="A756" i="2"/>
  <c r="L756" i="2"/>
  <c r="K756" i="2" s="1"/>
  <c r="P756" i="2"/>
  <c r="O756" i="2"/>
  <c r="N756" i="2"/>
  <c r="J756" i="2"/>
  <c r="G756" i="2"/>
  <c r="F756" i="2"/>
  <c r="I756" i="2"/>
  <c r="H756" i="2"/>
  <c r="E756" i="2"/>
  <c r="Q756" i="2"/>
  <c r="D756" i="2"/>
  <c r="C756" i="2"/>
  <c r="L668" i="2"/>
  <c r="K668" i="2" s="1"/>
  <c r="E668" i="2"/>
  <c r="D668" i="2"/>
  <c r="P668" i="2"/>
  <c r="O668" i="2"/>
  <c r="A668" i="2"/>
  <c r="M668" i="2"/>
  <c r="J668" i="2"/>
  <c r="I668" i="2"/>
  <c r="F668" i="2"/>
  <c r="C668" i="2"/>
  <c r="Q668" i="2"/>
  <c r="G668" i="2"/>
  <c r="N668" i="2"/>
  <c r="H668" i="2"/>
  <c r="N615" i="2"/>
  <c r="I615" i="2"/>
  <c r="E615" i="2"/>
  <c r="O615" i="2"/>
  <c r="M615" i="2"/>
  <c r="J615" i="2"/>
  <c r="G615" i="2"/>
  <c r="F615" i="2"/>
  <c r="D615" i="2"/>
  <c r="Q615" i="2"/>
  <c r="P615" i="2"/>
  <c r="L615" i="2"/>
  <c r="K615" i="2" s="1"/>
  <c r="C615" i="2"/>
  <c r="A615" i="2"/>
  <c r="H615" i="2"/>
  <c r="G702" i="2"/>
  <c r="F702" i="2"/>
  <c r="L702" i="2"/>
  <c r="K702" i="2" s="1"/>
  <c r="I702" i="2"/>
  <c r="D702" i="2"/>
  <c r="Q702" i="2"/>
  <c r="C702" i="2"/>
  <c r="P702" i="2"/>
  <c r="N702" i="2"/>
  <c r="M702" i="2"/>
  <c r="E702" i="2"/>
  <c r="A702" i="2"/>
  <c r="J702" i="2"/>
  <c r="H702" i="2"/>
  <c r="O702" i="2"/>
  <c r="N665" i="2"/>
  <c r="J665" i="2"/>
  <c r="M665" i="2"/>
  <c r="L665" i="2"/>
  <c r="K665" i="2" s="1"/>
  <c r="I665" i="2"/>
  <c r="H665" i="2"/>
  <c r="F665" i="2"/>
  <c r="E665" i="2"/>
  <c r="D665" i="2"/>
  <c r="Q665" i="2"/>
  <c r="O665" i="2"/>
  <c r="C665" i="2"/>
  <c r="A665" i="2"/>
  <c r="P665" i="2"/>
  <c r="G665" i="2"/>
  <c r="G76" i="2"/>
  <c r="L76" i="2"/>
  <c r="K76" i="2" s="1"/>
  <c r="J76" i="2"/>
  <c r="I76" i="2"/>
  <c r="H76" i="2"/>
  <c r="F76" i="2"/>
  <c r="E76" i="2"/>
  <c r="D76" i="2"/>
  <c r="Q76" i="2"/>
  <c r="C76" i="2"/>
  <c r="P76" i="2"/>
  <c r="A76" i="2"/>
  <c r="O76" i="2"/>
  <c r="N76" i="2"/>
  <c r="M76" i="2"/>
  <c r="G9" i="2"/>
  <c r="F9" i="2"/>
  <c r="Q9" i="2"/>
  <c r="E9" i="2"/>
  <c r="P9" i="2"/>
  <c r="D9" i="2"/>
  <c r="O9" i="2"/>
  <c r="C9" i="2"/>
  <c r="N9" i="2"/>
  <c r="M9" i="2"/>
  <c r="A9" i="2"/>
  <c r="H9" i="2"/>
  <c r="L9" i="2"/>
  <c r="K9" i="2" s="1"/>
  <c r="J9" i="2"/>
  <c r="I9" i="2"/>
  <c r="J172" i="2"/>
  <c r="I172" i="2"/>
  <c r="H172" i="2"/>
  <c r="G172" i="2"/>
  <c r="Q172" i="2"/>
  <c r="E172" i="2"/>
  <c r="P172" i="2"/>
  <c r="D172" i="2"/>
  <c r="O172" i="2"/>
  <c r="C172" i="2"/>
  <c r="N172" i="2"/>
  <c r="M172" i="2"/>
  <c r="L172" i="2"/>
  <c r="K172" i="2" s="1"/>
  <c r="F172" i="2"/>
  <c r="A172" i="2"/>
  <c r="Q36" i="2"/>
  <c r="E36" i="2"/>
  <c r="P36" i="2"/>
  <c r="D36" i="2"/>
  <c r="O36" i="2"/>
  <c r="C36" i="2"/>
  <c r="N36" i="2"/>
  <c r="M36" i="2"/>
  <c r="A36" i="2"/>
  <c r="L36" i="2"/>
  <c r="K36" i="2" s="1"/>
  <c r="J36" i="2"/>
  <c r="I36" i="2"/>
  <c r="H36" i="2"/>
  <c r="G36" i="2"/>
  <c r="F36" i="2"/>
  <c r="P17" i="2"/>
  <c r="D17" i="2"/>
  <c r="O17" i="2"/>
  <c r="C17" i="2"/>
  <c r="N17" i="2"/>
  <c r="M17" i="2"/>
  <c r="A17" i="2"/>
  <c r="L17" i="2"/>
  <c r="K17" i="2" s="1"/>
  <c r="J17" i="2"/>
  <c r="I17" i="2"/>
  <c r="Q17" i="2"/>
  <c r="H17" i="2"/>
  <c r="G17" i="2"/>
  <c r="F17" i="2"/>
  <c r="E17" i="2"/>
  <c r="I225" i="2"/>
  <c r="M225" i="2"/>
  <c r="L225" i="2"/>
  <c r="K225" i="2" s="1"/>
  <c r="N225" i="2"/>
  <c r="J225" i="2"/>
  <c r="H225" i="2"/>
  <c r="G225" i="2"/>
  <c r="E225" i="2"/>
  <c r="D225" i="2"/>
  <c r="C225" i="2"/>
  <c r="F225" i="2"/>
  <c r="A225" i="2"/>
  <c r="Q225" i="2"/>
  <c r="P225" i="2"/>
  <c r="O225" i="2"/>
  <c r="O243" i="2"/>
  <c r="C243" i="2"/>
  <c r="H243" i="2"/>
  <c r="F243" i="2"/>
  <c r="J243" i="2"/>
  <c r="I243" i="2"/>
  <c r="P243" i="2"/>
  <c r="N243" i="2"/>
  <c r="M243" i="2"/>
  <c r="L243" i="2"/>
  <c r="K243" i="2" s="1"/>
  <c r="E243" i="2"/>
  <c r="D243" i="2"/>
  <c r="Q243" i="2"/>
  <c r="G243" i="2"/>
  <c r="A243" i="2"/>
  <c r="M249" i="2"/>
  <c r="A249" i="2"/>
  <c r="I249" i="2"/>
  <c r="O249" i="2"/>
  <c r="L249" i="2"/>
  <c r="K249" i="2" s="1"/>
  <c r="E249" i="2"/>
  <c r="D249" i="2"/>
  <c r="J249" i="2"/>
  <c r="H249" i="2"/>
  <c r="G249" i="2"/>
  <c r="F249" i="2"/>
  <c r="Q249" i="2"/>
  <c r="P249" i="2"/>
  <c r="N249" i="2"/>
  <c r="C249" i="2"/>
  <c r="Q218" i="2"/>
  <c r="E218" i="2"/>
  <c r="F218" i="2"/>
  <c r="D218" i="2"/>
  <c r="P218" i="2"/>
  <c r="C218" i="2"/>
  <c r="O218" i="2"/>
  <c r="N218" i="2"/>
  <c r="A218" i="2"/>
  <c r="L218" i="2"/>
  <c r="K218" i="2" s="1"/>
  <c r="J218" i="2"/>
  <c r="M218" i="2"/>
  <c r="I218" i="2"/>
  <c r="H218" i="2"/>
  <c r="G218" i="2"/>
  <c r="M289" i="2"/>
  <c r="A289" i="2"/>
  <c r="L289" i="2"/>
  <c r="K289" i="2" s="1"/>
  <c r="H289" i="2"/>
  <c r="I289" i="2"/>
  <c r="O289" i="2"/>
  <c r="N289" i="2"/>
  <c r="G289" i="2"/>
  <c r="F289" i="2"/>
  <c r="E289" i="2"/>
  <c r="D289" i="2"/>
  <c r="J289" i="2"/>
  <c r="C289" i="2"/>
  <c r="Q289" i="2"/>
  <c r="P289" i="2"/>
  <c r="I261" i="2"/>
  <c r="Q261" i="2"/>
  <c r="D261" i="2"/>
  <c r="M261" i="2"/>
  <c r="P261" i="2"/>
  <c r="A261" i="2"/>
  <c r="N261" i="2"/>
  <c r="J261" i="2"/>
  <c r="L261" i="2"/>
  <c r="K261" i="2" s="1"/>
  <c r="H261" i="2"/>
  <c r="G261" i="2"/>
  <c r="O261" i="2"/>
  <c r="F261" i="2"/>
  <c r="E261" i="2"/>
  <c r="C261" i="2"/>
  <c r="L306" i="2"/>
  <c r="K306" i="2" s="1"/>
  <c r="G306" i="2"/>
  <c r="H306" i="2"/>
  <c r="E306" i="2"/>
  <c r="D306" i="2"/>
  <c r="C306" i="2"/>
  <c r="N306" i="2"/>
  <c r="M306" i="2"/>
  <c r="I306" i="2"/>
  <c r="F306" i="2"/>
  <c r="A306" i="2"/>
  <c r="J306" i="2"/>
  <c r="Q306" i="2"/>
  <c r="P306" i="2"/>
  <c r="O306" i="2"/>
  <c r="O487" i="2"/>
  <c r="C487" i="2"/>
  <c r="M487" i="2"/>
  <c r="J487" i="2"/>
  <c r="I487" i="2"/>
  <c r="H487" i="2"/>
  <c r="F487" i="2"/>
  <c r="E487" i="2"/>
  <c r="Q487" i="2"/>
  <c r="N487" i="2"/>
  <c r="L487" i="2"/>
  <c r="K487" i="2" s="1"/>
  <c r="G487" i="2"/>
  <c r="D487" i="2"/>
  <c r="A487" i="2"/>
  <c r="P487" i="2"/>
  <c r="I481" i="2"/>
  <c r="Q481" i="2"/>
  <c r="E481" i="2"/>
  <c r="N481" i="2"/>
  <c r="L481" i="2"/>
  <c r="K481" i="2" s="1"/>
  <c r="J481" i="2"/>
  <c r="G481" i="2"/>
  <c r="F481" i="2"/>
  <c r="O481" i="2"/>
  <c r="M481" i="2"/>
  <c r="H481" i="2"/>
  <c r="D481" i="2"/>
  <c r="C481" i="2"/>
  <c r="A481" i="2"/>
  <c r="P481" i="2"/>
  <c r="F424" i="2"/>
  <c r="N424" i="2"/>
  <c r="A424" i="2"/>
  <c r="J424" i="2"/>
  <c r="H424" i="2"/>
  <c r="G424" i="2"/>
  <c r="D424" i="2"/>
  <c r="C424" i="2"/>
  <c r="P424" i="2"/>
  <c r="O424" i="2"/>
  <c r="M424" i="2"/>
  <c r="L424" i="2"/>
  <c r="K424" i="2" s="1"/>
  <c r="E424" i="2"/>
  <c r="Q424" i="2"/>
  <c r="I424" i="2"/>
  <c r="O367" i="2"/>
  <c r="C367" i="2"/>
  <c r="N367" i="2"/>
  <c r="A367" i="2"/>
  <c r="J367" i="2"/>
  <c r="I367" i="2"/>
  <c r="H367" i="2"/>
  <c r="F367" i="2"/>
  <c r="E367" i="2"/>
  <c r="Q367" i="2"/>
  <c r="M367" i="2"/>
  <c r="G367" i="2"/>
  <c r="D367" i="2"/>
  <c r="P367" i="2"/>
  <c r="L367" i="2"/>
  <c r="K367" i="2" s="1"/>
  <c r="J476" i="2"/>
  <c r="F476" i="2"/>
  <c r="M476" i="2"/>
  <c r="I476" i="2"/>
  <c r="H476" i="2"/>
  <c r="E476" i="2"/>
  <c r="D476" i="2"/>
  <c r="N476" i="2"/>
  <c r="L476" i="2"/>
  <c r="K476" i="2" s="1"/>
  <c r="G476" i="2"/>
  <c r="C476" i="2"/>
  <c r="Q476" i="2"/>
  <c r="P476" i="2"/>
  <c r="O476" i="2"/>
  <c r="A476" i="2"/>
  <c r="P334" i="2"/>
  <c r="D334" i="2"/>
  <c r="L334" i="2"/>
  <c r="K334" i="2" s="1"/>
  <c r="Q334" i="2"/>
  <c r="O334" i="2"/>
  <c r="A334" i="2"/>
  <c r="I334" i="2"/>
  <c r="E334" i="2"/>
  <c r="G334" i="2"/>
  <c r="C334" i="2"/>
  <c r="N334" i="2"/>
  <c r="H334" i="2"/>
  <c r="F334" i="2"/>
  <c r="M334" i="2"/>
  <c r="J334" i="2"/>
  <c r="M461" i="2"/>
  <c r="A461" i="2"/>
  <c r="I461" i="2"/>
  <c r="H461" i="2"/>
  <c r="F461" i="2"/>
  <c r="E461" i="2"/>
  <c r="D461" i="2"/>
  <c r="P461" i="2"/>
  <c r="O461" i="2"/>
  <c r="J461" i="2"/>
  <c r="G461" i="2"/>
  <c r="C461" i="2"/>
  <c r="Q461" i="2"/>
  <c r="N461" i="2"/>
  <c r="L461" i="2"/>
  <c r="K461" i="2" s="1"/>
  <c r="M377" i="2"/>
  <c r="A377" i="2"/>
  <c r="O377" i="2"/>
  <c r="J377" i="2"/>
  <c r="L377" i="2"/>
  <c r="K377" i="2" s="1"/>
  <c r="H377" i="2"/>
  <c r="G377" i="2"/>
  <c r="E377" i="2"/>
  <c r="D377" i="2"/>
  <c r="I377" i="2"/>
  <c r="F377" i="2"/>
  <c r="P377" i="2"/>
  <c r="N377" i="2"/>
  <c r="C377" i="2"/>
  <c r="Q377" i="2"/>
  <c r="J524" i="2"/>
  <c r="I524" i="2"/>
  <c r="G524" i="2"/>
  <c r="F524" i="2"/>
  <c r="P524" i="2"/>
  <c r="D524" i="2"/>
  <c r="O524" i="2"/>
  <c r="C524" i="2"/>
  <c r="N524" i="2"/>
  <c r="Q524" i="2"/>
  <c r="L524" i="2"/>
  <c r="K524" i="2" s="1"/>
  <c r="H524" i="2"/>
  <c r="A524" i="2"/>
  <c r="M524" i="2"/>
  <c r="E524" i="2"/>
  <c r="F436" i="2"/>
  <c r="N436" i="2"/>
  <c r="P436" i="2"/>
  <c r="A436" i="2"/>
  <c r="L436" i="2"/>
  <c r="K436" i="2" s="1"/>
  <c r="I436" i="2"/>
  <c r="H436" i="2"/>
  <c r="M436" i="2"/>
  <c r="J436" i="2"/>
  <c r="E436" i="2"/>
  <c r="D436" i="2"/>
  <c r="Q436" i="2"/>
  <c r="O436" i="2"/>
  <c r="G436" i="2"/>
  <c r="C436" i="2"/>
  <c r="G640" i="2"/>
  <c r="P640" i="2"/>
  <c r="C640" i="2"/>
  <c r="J640" i="2"/>
  <c r="F640" i="2"/>
  <c r="E640" i="2"/>
  <c r="N640" i="2"/>
  <c r="O640" i="2"/>
  <c r="M640" i="2"/>
  <c r="I640" i="2"/>
  <c r="H640" i="2"/>
  <c r="L640" i="2"/>
  <c r="K640" i="2" s="1"/>
  <c r="D640" i="2"/>
  <c r="A640" i="2"/>
  <c r="Q640" i="2"/>
  <c r="P546" i="2"/>
  <c r="D546" i="2"/>
  <c r="L546" i="2"/>
  <c r="K546" i="2" s="1"/>
  <c r="Q546" i="2"/>
  <c r="O546" i="2"/>
  <c r="A546" i="2"/>
  <c r="N546" i="2"/>
  <c r="M546" i="2"/>
  <c r="I546" i="2"/>
  <c r="H546" i="2"/>
  <c r="G546" i="2"/>
  <c r="J546" i="2"/>
  <c r="E546" i="2"/>
  <c r="C546" i="2"/>
  <c r="F546" i="2"/>
  <c r="M632" i="2"/>
  <c r="A632" i="2"/>
  <c r="H632" i="2"/>
  <c r="E632" i="2"/>
  <c r="Q632" i="2"/>
  <c r="D632" i="2"/>
  <c r="L632" i="2"/>
  <c r="K632" i="2" s="1"/>
  <c r="J632" i="2"/>
  <c r="G632" i="2"/>
  <c r="F632" i="2"/>
  <c r="P632" i="2"/>
  <c r="O632" i="2"/>
  <c r="I632" i="2"/>
  <c r="C632" i="2"/>
  <c r="N632" i="2"/>
  <c r="M578" i="2"/>
  <c r="A578" i="2"/>
  <c r="O578" i="2"/>
  <c r="N578" i="2"/>
  <c r="J578" i="2"/>
  <c r="Q578" i="2"/>
  <c r="P578" i="2"/>
  <c r="L578" i="2"/>
  <c r="K578" i="2" s="1"/>
  <c r="H578" i="2"/>
  <c r="G578" i="2"/>
  <c r="F578" i="2"/>
  <c r="I578" i="2"/>
  <c r="D578" i="2"/>
  <c r="C578" i="2"/>
  <c r="E578" i="2"/>
  <c r="N585" i="2"/>
  <c r="M585" i="2"/>
  <c r="L585" i="2"/>
  <c r="K585" i="2" s="1"/>
  <c r="J585" i="2"/>
  <c r="I585" i="2"/>
  <c r="Q585" i="2"/>
  <c r="P585" i="2"/>
  <c r="O585" i="2"/>
  <c r="G585" i="2"/>
  <c r="F585" i="2"/>
  <c r="E585" i="2"/>
  <c r="H585" i="2"/>
  <c r="C585" i="2"/>
  <c r="A585" i="2"/>
  <c r="D585" i="2"/>
  <c r="I718" i="2"/>
  <c r="O718" i="2"/>
  <c r="N718" i="2"/>
  <c r="A718" i="2"/>
  <c r="M718" i="2"/>
  <c r="L718" i="2"/>
  <c r="K718" i="2" s="1"/>
  <c r="Q718" i="2"/>
  <c r="P718" i="2"/>
  <c r="J718" i="2"/>
  <c r="F718" i="2"/>
  <c r="E718" i="2"/>
  <c r="D718" i="2"/>
  <c r="G718" i="2"/>
  <c r="C718" i="2"/>
  <c r="H718" i="2"/>
  <c r="J637" i="2"/>
  <c r="O637" i="2"/>
  <c r="D637" i="2"/>
  <c r="N637" i="2"/>
  <c r="M637" i="2"/>
  <c r="H637" i="2"/>
  <c r="G637" i="2"/>
  <c r="F637" i="2"/>
  <c r="C637" i="2"/>
  <c r="A637" i="2"/>
  <c r="Q637" i="2"/>
  <c r="P637" i="2"/>
  <c r="I637" i="2"/>
  <c r="E637" i="2"/>
  <c r="L637" i="2"/>
  <c r="K637" i="2" s="1"/>
  <c r="I690" i="2"/>
  <c r="H690" i="2"/>
  <c r="F690" i="2"/>
  <c r="N690" i="2"/>
  <c r="O690" i="2"/>
  <c r="L690" i="2"/>
  <c r="K690" i="2" s="1"/>
  <c r="E690" i="2"/>
  <c r="D690" i="2"/>
  <c r="A690" i="2"/>
  <c r="Q690" i="2"/>
  <c r="P690" i="2"/>
  <c r="J690" i="2"/>
  <c r="G690" i="2"/>
  <c r="M690" i="2"/>
  <c r="C690" i="2"/>
  <c r="N689" i="2"/>
  <c r="M689" i="2"/>
  <c r="A689" i="2"/>
  <c r="G689" i="2"/>
  <c r="O689" i="2"/>
  <c r="J689" i="2"/>
  <c r="I689" i="2"/>
  <c r="Q689" i="2"/>
  <c r="L689" i="2"/>
  <c r="K689" i="2" s="1"/>
  <c r="H689" i="2"/>
  <c r="F689" i="2"/>
  <c r="P689" i="2"/>
  <c r="E689" i="2"/>
  <c r="C689" i="2"/>
  <c r="D689" i="2"/>
  <c r="I98" i="2"/>
  <c r="Q98" i="2"/>
  <c r="E98" i="2"/>
  <c r="L98" i="2"/>
  <c r="K98" i="2" s="1"/>
  <c r="J98" i="2"/>
  <c r="H98" i="2"/>
  <c r="G98" i="2"/>
  <c r="F98" i="2"/>
  <c r="D98" i="2"/>
  <c r="C98" i="2"/>
  <c r="P98" i="2"/>
  <c r="O98" i="2"/>
  <c r="N98" i="2"/>
  <c r="M98" i="2"/>
  <c r="A98" i="2"/>
  <c r="H33" i="2"/>
  <c r="G33" i="2"/>
  <c r="F33" i="2"/>
  <c r="Q33" i="2"/>
  <c r="E33" i="2"/>
  <c r="P33" i="2"/>
  <c r="D33" i="2"/>
  <c r="O33" i="2"/>
  <c r="C33" i="2"/>
  <c r="N33" i="2"/>
  <c r="M33" i="2"/>
  <c r="A33" i="2"/>
  <c r="J33" i="2"/>
  <c r="I33" i="2"/>
  <c r="L33" i="2"/>
  <c r="K33" i="2" s="1"/>
  <c r="F364" i="2"/>
  <c r="M364" i="2"/>
  <c r="I364" i="2"/>
  <c r="N364" i="2"/>
  <c r="L364" i="2"/>
  <c r="K364" i="2" s="1"/>
  <c r="J364" i="2"/>
  <c r="H364" i="2"/>
  <c r="E364" i="2"/>
  <c r="D364" i="2"/>
  <c r="G364" i="2"/>
  <c r="P364" i="2"/>
  <c r="O364" i="2"/>
  <c r="Q364" i="2"/>
  <c r="C364" i="2"/>
  <c r="A364" i="2"/>
  <c r="G64" i="2"/>
  <c r="E64" i="2"/>
  <c r="Q64" i="2"/>
  <c r="D64" i="2"/>
  <c r="P64" i="2"/>
  <c r="C64" i="2"/>
  <c r="O64" i="2"/>
  <c r="N64" i="2"/>
  <c r="A64" i="2"/>
  <c r="M64" i="2"/>
  <c r="L64" i="2"/>
  <c r="K64" i="2" s="1"/>
  <c r="J64" i="2"/>
  <c r="I64" i="2"/>
  <c r="H64" i="2"/>
  <c r="F64" i="2"/>
  <c r="O34" i="2"/>
  <c r="C34" i="2"/>
  <c r="N34" i="2"/>
  <c r="M34" i="2"/>
  <c r="A34" i="2"/>
  <c r="L34" i="2"/>
  <c r="K34" i="2" s="1"/>
  <c r="J34" i="2"/>
  <c r="I34" i="2"/>
  <c r="H34" i="2"/>
  <c r="Q34" i="2"/>
  <c r="P34" i="2"/>
  <c r="G34" i="2"/>
  <c r="F34" i="2"/>
  <c r="E34" i="2"/>
  <c r="D34" i="2"/>
  <c r="L282" i="2"/>
  <c r="K282" i="2" s="1"/>
  <c r="N282" i="2"/>
  <c r="A282" i="2"/>
  <c r="I282" i="2"/>
  <c r="E282" i="2"/>
  <c r="C282" i="2"/>
  <c r="Q282" i="2"/>
  <c r="O282" i="2"/>
  <c r="M282" i="2"/>
  <c r="J282" i="2"/>
  <c r="P282" i="2"/>
  <c r="H282" i="2"/>
  <c r="G282" i="2"/>
  <c r="F282" i="2"/>
  <c r="D282" i="2"/>
  <c r="H302" i="2"/>
  <c r="N302" i="2"/>
  <c r="A302" i="2"/>
  <c r="J302" i="2"/>
  <c r="G302" i="2"/>
  <c r="Q302" i="2"/>
  <c r="O302" i="2"/>
  <c r="M302" i="2"/>
  <c r="L302" i="2"/>
  <c r="K302" i="2" s="1"/>
  <c r="I302" i="2"/>
  <c r="F302" i="2"/>
  <c r="P302" i="2"/>
  <c r="E302" i="2"/>
  <c r="C302" i="2"/>
  <c r="D302" i="2"/>
  <c r="F201" i="2"/>
  <c r="G201" i="2"/>
  <c r="E201" i="2"/>
  <c r="Q201" i="2"/>
  <c r="D201" i="2"/>
  <c r="P201" i="2"/>
  <c r="C201" i="2"/>
  <c r="O201" i="2"/>
  <c r="M201" i="2"/>
  <c r="L201" i="2"/>
  <c r="K201" i="2" s="1"/>
  <c r="N201" i="2"/>
  <c r="J201" i="2"/>
  <c r="I201" i="2"/>
  <c r="H201" i="2"/>
  <c r="A201" i="2"/>
  <c r="O303" i="2"/>
  <c r="C303" i="2"/>
  <c r="J303" i="2"/>
  <c r="F303" i="2"/>
  <c r="I303" i="2"/>
  <c r="G303" i="2"/>
  <c r="A303" i="2"/>
  <c r="P303" i="2"/>
  <c r="N303" i="2"/>
  <c r="M303" i="2"/>
  <c r="L303" i="2"/>
  <c r="K303" i="2" s="1"/>
  <c r="E303" i="2"/>
  <c r="D303" i="2"/>
  <c r="Q303" i="2"/>
  <c r="H303" i="2"/>
  <c r="P274" i="2"/>
  <c r="D274" i="2"/>
  <c r="F274" i="2"/>
  <c r="N274" i="2"/>
  <c r="A274" i="2"/>
  <c r="O274" i="2"/>
  <c r="L274" i="2"/>
  <c r="K274" i="2" s="1"/>
  <c r="E274" i="2"/>
  <c r="C274" i="2"/>
  <c r="Q274" i="2"/>
  <c r="M274" i="2"/>
  <c r="J274" i="2"/>
  <c r="I274" i="2"/>
  <c r="H274" i="2"/>
  <c r="G274" i="2"/>
  <c r="H266" i="2"/>
  <c r="F266" i="2"/>
  <c r="J266" i="2"/>
  <c r="G266" i="2"/>
  <c r="I266" i="2"/>
  <c r="C266" i="2"/>
  <c r="A266" i="2"/>
  <c r="Q266" i="2"/>
  <c r="P266" i="2"/>
  <c r="O266" i="2"/>
  <c r="N266" i="2"/>
  <c r="L266" i="2"/>
  <c r="K266" i="2" s="1"/>
  <c r="E266" i="2"/>
  <c r="D266" i="2"/>
  <c r="M266" i="2"/>
  <c r="J244" i="2"/>
  <c r="Q244" i="2"/>
  <c r="D244" i="2"/>
  <c r="O244" i="2"/>
  <c r="H244" i="2"/>
  <c r="G244" i="2"/>
  <c r="P244" i="2"/>
  <c r="N244" i="2"/>
  <c r="M244" i="2"/>
  <c r="L244" i="2"/>
  <c r="K244" i="2" s="1"/>
  <c r="I244" i="2"/>
  <c r="F244" i="2"/>
  <c r="E244" i="2"/>
  <c r="C244" i="2"/>
  <c r="A244" i="2"/>
  <c r="P310" i="2"/>
  <c r="D310" i="2"/>
  <c r="I310" i="2"/>
  <c r="E310" i="2"/>
  <c r="O310" i="2"/>
  <c r="N310" i="2"/>
  <c r="M310" i="2"/>
  <c r="Q310" i="2"/>
  <c r="L310" i="2"/>
  <c r="K310" i="2" s="1"/>
  <c r="J310" i="2"/>
  <c r="H310" i="2"/>
  <c r="C310" i="2"/>
  <c r="A310" i="2"/>
  <c r="G310" i="2"/>
  <c r="F310" i="2"/>
  <c r="P482" i="2"/>
  <c r="D482" i="2"/>
  <c r="L482" i="2"/>
  <c r="K482" i="2" s="1"/>
  <c r="I482" i="2"/>
  <c r="H482" i="2"/>
  <c r="G482" i="2"/>
  <c r="E482" i="2"/>
  <c r="C482" i="2"/>
  <c r="Q482" i="2"/>
  <c r="O482" i="2"/>
  <c r="M482" i="2"/>
  <c r="J482" i="2"/>
  <c r="F482" i="2"/>
  <c r="A482" i="2"/>
  <c r="N482" i="2"/>
  <c r="G443" i="2"/>
  <c r="O443" i="2"/>
  <c r="C443" i="2"/>
  <c r="L443" i="2"/>
  <c r="K443" i="2" s="1"/>
  <c r="I443" i="2"/>
  <c r="H443" i="2"/>
  <c r="E443" i="2"/>
  <c r="D443" i="2"/>
  <c r="P443" i="2"/>
  <c r="N443" i="2"/>
  <c r="M443" i="2"/>
  <c r="J443" i="2"/>
  <c r="A443" i="2"/>
  <c r="Q443" i="2"/>
  <c r="F443" i="2"/>
  <c r="P538" i="2"/>
  <c r="D538" i="2"/>
  <c r="N538" i="2"/>
  <c r="A538" i="2"/>
  <c r="M538" i="2"/>
  <c r="J538" i="2"/>
  <c r="H538" i="2"/>
  <c r="G538" i="2"/>
  <c r="F538" i="2"/>
  <c r="Q538" i="2"/>
  <c r="O538" i="2"/>
  <c r="I538" i="2"/>
  <c r="E538" i="2"/>
  <c r="L538" i="2"/>
  <c r="K538" i="2" s="1"/>
  <c r="C538" i="2"/>
  <c r="I373" i="2"/>
  <c r="Q373" i="2"/>
  <c r="D373" i="2"/>
  <c r="M373" i="2"/>
  <c r="P373" i="2"/>
  <c r="A373" i="2"/>
  <c r="N373" i="2"/>
  <c r="L373" i="2"/>
  <c r="K373" i="2" s="1"/>
  <c r="J373" i="2"/>
  <c r="H373" i="2"/>
  <c r="G373" i="2"/>
  <c r="F373" i="2"/>
  <c r="E373" i="2"/>
  <c r="O373" i="2"/>
  <c r="C373" i="2"/>
  <c r="M497" i="2"/>
  <c r="A497" i="2"/>
  <c r="L497" i="2"/>
  <c r="K497" i="2" s="1"/>
  <c r="J497" i="2"/>
  <c r="I497" i="2"/>
  <c r="G497" i="2"/>
  <c r="F497" i="2"/>
  <c r="Q497" i="2"/>
  <c r="E497" i="2"/>
  <c r="O497" i="2"/>
  <c r="H497" i="2"/>
  <c r="D497" i="2"/>
  <c r="P497" i="2"/>
  <c r="N497" i="2"/>
  <c r="C497" i="2"/>
  <c r="M413" i="2"/>
  <c r="A413" i="2"/>
  <c r="E413" i="2"/>
  <c r="O413" i="2"/>
  <c r="N413" i="2"/>
  <c r="J413" i="2"/>
  <c r="L413" i="2"/>
  <c r="K413" i="2" s="1"/>
  <c r="I413" i="2"/>
  <c r="G413" i="2"/>
  <c r="F413" i="2"/>
  <c r="C413" i="2"/>
  <c r="P413" i="2"/>
  <c r="H413" i="2"/>
  <c r="D413" i="2"/>
  <c r="Q413" i="2"/>
  <c r="I397" i="2"/>
  <c r="O397" i="2"/>
  <c r="C397" i="2"/>
  <c r="Q397" i="2"/>
  <c r="A397" i="2"/>
  <c r="N397" i="2"/>
  <c r="M397" i="2"/>
  <c r="J397" i="2"/>
  <c r="H397" i="2"/>
  <c r="P397" i="2"/>
  <c r="L397" i="2"/>
  <c r="K397" i="2" s="1"/>
  <c r="F397" i="2"/>
  <c r="E397" i="2"/>
  <c r="D397" i="2"/>
  <c r="G397" i="2"/>
  <c r="L554" i="2"/>
  <c r="K554" i="2" s="1"/>
  <c r="H554" i="2"/>
  <c r="J554" i="2"/>
  <c r="I554" i="2"/>
  <c r="G554" i="2"/>
  <c r="F554" i="2"/>
  <c r="E554" i="2"/>
  <c r="Q554" i="2"/>
  <c r="C554" i="2"/>
  <c r="P554" i="2"/>
  <c r="O554" i="2"/>
  <c r="A554" i="2"/>
  <c r="M554" i="2"/>
  <c r="D554" i="2"/>
  <c r="N554" i="2"/>
  <c r="J685" i="2"/>
  <c r="I685" i="2"/>
  <c r="G685" i="2"/>
  <c r="M685" i="2"/>
  <c r="H685" i="2"/>
  <c r="A685" i="2"/>
  <c r="P685" i="2"/>
  <c r="O685" i="2"/>
  <c r="L685" i="2"/>
  <c r="K685" i="2" s="1"/>
  <c r="F685" i="2"/>
  <c r="E685" i="2"/>
  <c r="N685" i="2"/>
  <c r="D685" i="2"/>
  <c r="C685" i="2"/>
  <c r="Q685" i="2"/>
  <c r="N420" i="2"/>
  <c r="Q420" i="2"/>
  <c r="D420" i="2"/>
  <c r="M420" i="2"/>
  <c r="L420" i="2"/>
  <c r="K420" i="2" s="1"/>
  <c r="J420" i="2"/>
  <c r="I420" i="2"/>
  <c r="F420" i="2"/>
  <c r="E420" i="2"/>
  <c r="A420" i="2"/>
  <c r="P420" i="2"/>
  <c r="H420" i="2"/>
  <c r="G420" i="2"/>
  <c r="O420" i="2"/>
  <c r="C420" i="2"/>
  <c r="Q638" i="2"/>
  <c r="E638" i="2"/>
  <c r="O638" i="2"/>
  <c r="A638" i="2"/>
  <c r="L638" i="2"/>
  <c r="K638" i="2" s="1"/>
  <c r="J638" i="2"/>
  <c r="F638" i="2"/>
  <c r="M638" i="2"/>
  <c r="I638" i="2"/>
  <c r="G638" i="2"/>
  <c r="D638" i="2"/>
  <c r="P638" i="2"/>
  <c r="N638" i="2"/>
  <c r="C638" i="2"/>
  <c r="H638" i="2"/>
  <c r="O588" i="2"/>
  <c r="N588" i="2"/>
  <c r="A588" i="2"/>
  <c r="L588" i="2"/>
  <c r="K588" i="2" s="1"/>
  <c r="J588" i="2"/>
  <c r="G588" i="2"/>
  <c r="M588" i="2"/>
  <c r="I588" i="2"/>
  <c r="H588" i="2"/>
  <c r="F588" i="2"/>
  <c r="E588" i="2"/>
  <c r="C588" i="2"/>
  <c r="Q588" i="2"/>
  <c r="P588" i="2"/>
  <c r="D588" i="2"/>
  <c r="J599" i="2"/>
  <c r="F599" i="2"/>
  <c r="O599" i="2"/>
  <c r="D599" i="2"/>
  <c r="C599" i="2"/>
  <c r="P599" i="2"/>
  <c r="N599" i="2"/>
  <c r="L599" i="2"/>
  <c r="K599" i="2" s="1"/>
  <c r="I599" i="2"/>
  <c r="M599" i="2"/>
  <c r="H599" i="2"/>
  <c r="G599" i="2"/>
  <c r="Q599" i="2"/>
  <c r="A599" i="2"/>
  <c r="E599" i="2"/>
  <c r="H805" i="2"/>
  <c r="G805" i="2"/>
  <c r="Q805" i="2"/>
  <c r="E805" i="2"/>
  <c r="P805" i="2"/>
  <c r="A805" i="2"/>
  <c r="O805" i="2"/>
  <c r="F805" i="2"/>
  <c r="J805" i="2"/>
  <c r="I805" i="2"/>
  <c r="D805" i="2"/>
  <c r="M805" i="2"/>
  <c r="L805" i="2"/>
  <c r="K805" i="2" s="1"/>
  <c r="N805" i="2"/>
  <c r="C805" i="2"/>
  <c r="H647" i="2"/>
  <c r="O647" i="2"/>
  <c r="E647" i="2"/>
  <c r="D647" i="2"/>
  <c r="P647" i="2"/>
  <c r="A647" i="2"/>
  <c r="N647" i="2"/>
  <c r="L647" i="2"/>
  <c r="K647" i="2" s="1"/>
  <c r="J647" i="2"/>
  <c r="Q647" i="2"/>
  <c r="I647" i="2"/>
  <c r="G647" i="2"/>
  <c r="C647" i="2"/>
  <c r="M647" i="2"/>
  <c r="F647" i="2"/>
  <c r="H770" i="2"/>
  <c r="F770" i="2"/>
  <c r="E770" i="2"/>
  <c r="Q770" i="2"/>
  <c r="D770" i="2"/>
  <c r="P770" i="2"/>
  <c r="C770" i="2"/>
  <c r="L770" i="2"/>
  <c r="K770" i="2" s="1"/>
  <c r="O770" i="2"/>
  <c r="N770" i="2"/>
  <c r="J770" i="2"/>
  <c r="I770" i="2"/>
  <c r="M770" i="2"/>
  <c r="G770" i="2"/>
  <c r="A770" i="2"/>
  <c r="Q773" i="2"/>
  <c r="E773" i="2"/>
  <c r="H773" i="2"/>
  <c r="G773" i="2"/>
  <c r="F773" i="2"/>
  <c r="D773" i="2"/>
  <c r="M773" i="2"/>
  <c r="N773" i="2"/>
  <c r="L773" i="2"/>
  <c r="K773" i="2" s="1"/>
  <c r="J773" i="2"/>
  <c r="A773" i="2"/>
  <c r="I773" i="2"/>
  <c r="C773" i="2"/>
  <c r="O773" i="2"/>
  <c r="P773" i="2"/>
  <c r="G728" i="2"/>
  <c r="O728" i="2"/>
  <c r="N728" i="2"/>
  <c r="A728" i="2"/>
  <c r="M728" i="2"/>
  <c r="L728" i="2"/>
  <c r="K728" i="2" s="1"/>
  <c r="I728" i="2"/>
  <c r="H728" i="2"/>
  <c r="J728" i="2"/>
  <c r="F728" i="2"/>
  <c r="P728" i="2"/>
  <c r="E728" i="2"/>
  <c r="D728" i="2"/>
  <c r="Q728" i="2"/>
  <c r="C728" i="2"/>
  <c r="N729" i="2"/>
  <c r="J729" i="2"/>
  <c r="I729" i="2"/>
  <c r="H729" i="2"/>
  <c r="E729" i="2"/>
  <c r="Q729" i="2"/>
  <c r="D729" i="2"/>
  <c r="G729" i="2"/>
  <c r="F729" i="2"/>
  <c r="A729" i="2"/>
  <c r="P729" i="2"/>
  <c r="M729" i="2"/>
  <c r="L729" i="2"/>
  <c r="K729" i="2" s="1"/>
  <c r="C729" i="2"/>
  <c r="O729" i="2"/>
  <c r="M827" i="2"/>
  <c r="A827" i="2"/>
  <c r="L827" i="2"/>
  <c r="K827" i="2" s="1"/>
  <c r="I827" i="2"/>
  <c r="Q827" i="2"/>
  <c r="D827" i="2"/>
  <c r="P827" i="2"/>
  <c r="G827" i="2"/>
  <c r="F827" i="2"/>
  <c r="E827" i="2"/>
  <c r="C827" i="2"/>
  <c r="O827" i="2"/>
  <c r="N827" i="2"/>
  <c r="J827" i="2"/>
  <c r="H827" i="2"/>
  <c r="M186" i="2"/>
  <c r="A186" i="2"/>
  <c r="L186" i="2"/>
  <c r="K186" i="2" s="1"/>
  <c r="J186" i="2"/>
  <c r="I186" i="2"/>
  <c r="G186" i="2"/>
  <c r="F186" i="2"/>
  <c r="Q186" i="2"/>
  <c r="E186" i="2"/>
  <c r="P186" i="2"/>
  <c r="O186" i="2"/>
  <c r="N186" i="2"/>
  <c r="H186" i="2"/>
  <c r="D186" i="2"/>
  <c r="C186" i="2"/>
  <c r="O736" i="2"/>
  <c r="C736" i="2"/>
  <c r="J736" i="2"/>
  <c r="I736" i="2"/>
  <c r="H736" i="2"/>
  <c r="G736" i="2"/>
  <c r="Q736" i="2"/>
  <c r="D736" i="2"/>
  <c r="P736" i="2"/>
  <c r="M736" i="2"/>
  <c r="F736" i="2"/>
  <c r="E736" i="2"/>
  <c r="A736" i="2"/>
  <c r="N736" i="2"/>
  <c r="L736" i="2"/>
  <c r="K736" i="2" s="1"/>
  <c r="F781" i="2"/>
  <c r="G781" i="2"/>
  <c r="I781" i="2"/>
  <c r="H781" i="2"/>
  <c r="E781" i="2"/>
  <c r="D781" i="2"/>
  <c r="O781" i="2"/>
  <c r="A781" i="2"/>
  <c r="N781" i="2"/>
  <c r="J781" i="2"/>
  <c r="C781" i="2"/>
  <c r="Q781" i="2"/>
  <c r="P781" i="2"/>
  <c r="M781" i="2"/>
  <c r="L781" i="2"/>
  <c r="K781" i="2" s="1"/>
  <c r="F721" i="2"/>
  <c r="P721" i="2"/>
  <c r="C721" i="2"/>
  <c r="O721" i="2"/>
  <c r="N721" i="2"/>
  <c r="A721" i="2"/>
  <c r="M721" i="2"/>
  <c r="E721" i="2"/>
  <c r="D721" i="2"/>
  <c r="L721" i="2"/>
  <c r="K721" i="2" s="1"/>
  <c r="J721" i="2"/>
  <c r="Q721" i="2"/>
  <c r="H721" i="2"/>
  <c r="G721" i="2"/>
  <c r="I721" i="2"/>
  <c r="J802" i="2"/>
  <c r="H802" i="2"/>
  <c r="D802" i="2"/>
  <c r="C802" i="2"/>
  <c r="Q802" i="2"/>
  <c r="P802" i="2"/>
  <c r="O802" i="2"/>
  <c r="N802" i="2"/>
  <c r="I802" i="2"/>
  <c r="G802" i="2"/>
  <c r="A802" i="2"/>
  <c r="M802" i="2"/>
  <c r="L802" i="2"/>
  <c r="K802" i="2" s="1"/>
  <c r="E802" i="2"/>
  <c r="F802" i="2"/>
  <c r="M782" i="2"/>
  <c r="A782" i="2"/>
  <c r="P782" i="2"/>
  <c r="C782" i="2"/>
  <c r="F782" i="2"/>
  <c r="E782" i="2"/>
  <c r="D782" i="2"/>
  <c r="Q782" i="2"/>
  <c r="L782" i="2"/>
  <c r="K782" i="2" s="1"/>
  <c r="O782" i="2"/>
  <c r="N782" i="2"/>
  <c r="H782" i="2"/>
  <c r="G782" i="2"/>
  <c r="J782" i="2"/>
  <c r="I782" i="2"/>
  <c r="F798" i="2"/>
  <c r="P798" i="2"/>
  <c r="D798" i="2"/>
  <c r="J798" i="2"/>
  <c r="I798" i="2"/>
  <c r="L798" i="2"/>
  <c r="K798" i="2" s="1"/>
  <c r="E798" i="2"/>
  <c r="C798" i="2"/>
  <c r="A798" i="2"/>
  <c r="O798" i="2"/>
  <c r="N798" i="2"/>
  <c r="Q798" i="2"/>
  <c r="H798" i="2"/>
  <c r="G798" i="2"/>
  <c r="M798" i="2"/>
  <c r="H848" i="2"/>
  <c r="G848" i="2"/>
  <c r="Q848" i="2"/>
  <c r="E848" i="2"/>
  <c r="P848" i="2"/>
  <c r="D848" i="2"/>
  <c r="O848" i="2"/>
  <c r="C848" i="2"/>
  <c r="L848" i="2"/>
  <c r="K848" i="2" s="1"/>
  <c r="M848" i="2"/>
  <c r="J848" i="2"/>
  <c r="I848" i="2"/>
  <c r="N848" i="2"/>
  <c r="F848" i="2"/>
  <c r="A848" i="2"/>
  <c r="M804" i="2"/>
  <c r="A804" i="2"/>
  <c r="L804" i="2"/>
  <c r="J804" i="2"/>
  <c r="C804" i="2"/>
  <c r="Q804" i="2"/>
  <c r="E804" i="2"/>
  <c r="G804" i="2"/>
  <c r="F804" i="2"/>
  <c r="D804" i="2"/>
  <c r="P804" i="2"/>
  <c r="O804" i="2"/>
  <c r="I804" i="2"/>
  <c r="H804" i="2"/>
  <c r="K804" i="2"/>
  <c r="N804" i="2"/>
  <c r="Q820" i="2"/>
  <c r="E820" i="2"/>
  <c r="P820" i="2"/>
  <c r="D820" i="2"/>
  <c r="N820" i="2"/>
  <c r="A820" i="2"/>
  <c r="L820" i="2"/>
  <c r="K820" i="2" s="1"/>
  <c r="G820" i="2"/>
  <c r="F820" i="2"/>
  <c r="C820" i="2"/>
  <c r="O820" i="2"/>
  <c r="M820" i="2"/>
  <c r="I820" i="2"/>
  <c r="H820" i="2"/>
  <c r="J820" i="2"/>
  <c r="I823" i="2"/>
  <c r="O823" i="2"/>
  <c r="N823" i="2"/>
  <c r="A823" i="2"/>
  <c r="L823" i="2"/>
  <c r="K823" i="2" s="1"/>
  <c r="Q823" i="2"/>
  <c r="P823" i="2"/>
  <c r="G823" i="2"/>
  <c r="C823" i="2"/>
  <c r="J823" i="2"/>
  <c r="E823" i="2"/>
  <c r="D823" i="2"/>
  <c r="M823" i="2"/>
  <c r="H823" i="2"/>
  <c r="F823" i="2"/>
  <c r="F846" i="2"/>
  <c r="Q846" i="2"/>
  <c r="E846" i="2"/>
  <c r="O846" i="2"/>
  <c r="C846" i="2"/>
  <c r="N846" i="2"/>
  <c r="M846" i="2"/>
  <c r="A846" i="2"/>
  <c r="J846" i="2"/>
  <c r="P846" i="2"/>
  <c r="L846" i="2"/>
  <c r="K846" i="2" s="1"/>
  <c r="I846" i="2"/>
  <c r="H846" i="2"/>
  <c r="G846" i="2"/>
  <c r="D846" i="2"/>
  <c r="O873" i="2"/>
  <c r="C873" i="2"/>
  <c r="N873" i="2"/>
  <c r="M873" i="2"/>
  <c r="A873" i="2"/>
  <c r="L873" i="2"/>
  <c r="K873" i="2" s="1"/>
  <c r="J873" i="2"/>
  <c r="G873" i="2"/>
  <c r="Q873" i="2"/>
  <c r="E873" i="2"/>
  <c r="P873" i="2"/>
  <c r="D873" i="2"/>
  <c r="I873" i="2"/>
  <c r="H873" i="2"/>
  <c r="F873" i="2"/>
  <c r="J18" i="2"/>
  <c r="I18" i="2"/>
  <c r="H18" i="2"/>
  <c r="G18" i="2"/>
  <c r="F18" i="2"/>
  <c r="Q18" i="2"/>
  <c r="E18" i="2"/>
  <c r="P18" i="2"/>
  <c r="D18" i="2"/>
  <c r="M18" i="2"/>
  <c r="L18" i="2"/>
  <c r="K18" i="2" s="1"/>
  <c r="C18" i="2"/>
  <c r="A18" i="2"/>
  <c r="O18" i="2"/>
  <c r="N18" i="2"/>
  <c r="J81" i="2"/>
  <c r="F81" i="2"/>
  <c r="M81" i="2"/>
  <c r="L81" i="2"/>
  <c r="K81" i="2" s="1"/>
  <c r="I81" i="2"/>
  <c r="H81" i="2"/>
  <c r="G81" i="2"/>
  <c r="E81" i="2"/>
  <c r="D81" i="2"/>
  <c r="Q81" i="2"/>
  <c r="C81" i="2"/>
  <c r="P81" i="2"/>
  <c r="O81" i="2"/>
  <c r="N81" i="2"/>
  <c r="A81" i="2"/>
  <c r="J193" i="2"/>
  <c r="L193" i="2"/>
  <c r="K193" i="2" s="1"/>
  <c r="I193" i="2"/>
  <c r="H193" i="2"/>
  <c r="G193" i="2"/>
  <c r="E193" i="2"/>
  <c r="Q193" i="2"/>
  <c r="D193" i="2"/>
  <c r="P193" i="2"/>
  <c r="C193" i="2"/>
  <c r="O193" i="2"/>
  <c r="N193" i="2"/>
  <c r="M193" i="2"/>
  <c r="F193" i="2"/>
  <c r="A193" i="2"/>
  <c r="H6" i="2"/>
  <c r="G6" i="2"/>
  <c r="F6" i="2"/>
  <c r="Q6" i="2"/>
  <c r="E6" i="2"/>
  <c r="P6" i="2"/>
  <c r="D6" i="2"/>
  <c r="O6" i="2"/>
  <c r="N6" i="2"/>
  <c r="M6" i="2"/>
  <c r="L6" i="2"/>
  <c r="C6" i="2"/>
  <c r="A6" i="2"/>
  <c r="L25" i="2"/>
  <c r="K25" i="2" s="1"/>
  <c r="J25" i="2"/>
  <c r="I25" i="2"/>
  <c r="H25" i="2"/>
  <c r="G25" i="2"/>
  <c r="F25" i="2"/>
  <c r="Q25" i="2"/>
  <c r="E25" i="2"/>
  <c r="A25" i="2"/>
  <c r="P25" i="2"/>
  <c r="O25" i="2"/>
  <c r="N25" i="2"/>
  <c r="M25" i="2"/>
  <c r="D25" i="2"/>
  <c r="C25" i="2"/>
  <c r="F189" i="2"/>
  <c r="N189" i="2"/>
  <c r="A189" i="2"/>
  <c r="M189" i="2"/>
  <c r="L189" i="2"/>
  <c r="K189" i="2" s="1"/>
  <c r="J189" i="2"/>
  <c r="H189" i="2"/>
  <c r="G189" i="2"/>
  <c r="E189" i="2"/>
  <c r="Q189" i="2"/>
  <c r="P189" i="2"/>
  <c r="O189" i="2"/>
  <c r="I189" i="2"/>
  <c r="D189" i="2"/>
  <c r="C189" i="2"/>
  <c r="O116" i="2"/>
  <c r="C116" i="2"/>
  <c r="H116" i="2"/>
  <c r="G116" i="2"/>
  <c r="F116" i="2"/>
  <c r="E116" i="2"/>
  <c r="D116" i="2"/>
  <c r="Q116" i="2"/>
  <c r="P116" i="2"/>
  <c r="A116" i="2"/>
  <c r="N116" i="2"/>
  <c r="M116" i="2"/>
  <c r="L116" i="2"/>
  <c r="K116" i="2" s="1"/>
  <c r="J116" i="2"/>
  <c r="I116" i="2"/>
  <c r="P12" i="2"/>
  <c r="D12" i="2"/>
  <c r="O12" i="2"/>
  <c r="C12" i="2"/>
  <c r="N12" i="2"/>
  <c r="M12" i="2"/>
  <c r="A12" i="2"/>
  <c r="L12" i="2"/>
  <c r="K12" i="2" s="1"/>
  <c r="J12" i="2"/>
  <c r="I12" i="2"/>
  <c r="H12" i="2"/>
  <c r="G12" i="2"/>
  <c r="F12" i="2"/>
  <c r="E12" i="2"/>
  <c r="Q12" i="2"/>
  <c r="L179" i="2"/>
  <c r="K179" i="2" s="1"/>
  <c r="J179" i="2"/>
  <c r="I179" i="2"/>
  <c r="H179" i="2"/>
  <c r="F179" i="2"/>
  <c r="Q179" i="2"/>
  <c r="E179" i="2"/>
  <c r="P179" i="2"/>
  <c r="D179" i="2"/>
  <c r="G179" i="2"/>
  <c r="C179" i="2"/>
  <c r="A179" i="2"/>
  <c r="O179" i="2"/>
  <c r="N179" i="2"/>
  <c r="M179" i="2"/>
  <c r="G124" i="2"/>
  <c r="P124" i="2"/>
  <c r="O124" i="2"/>
  <c r="A124" i="2"/>
  <c r="N124" i="2"/>
  <c r="M124" i="2"/>
  <c r="L124" i="2"/>
  <c r="K124" i="2" s="1"/>
  <c r="J124" i="2"/>
  <c r="I124" i="2"/>
  <c r="H124" i="2"/>
  <c r="F124" i="2"/>
  <c r="Q124" i="2"/>
  <c r="E124" i="2"/>
  <c r="D124" i="2"/>
  <c r="C124" i="2"/>
  <c r="M241" i="2"/>
  <c r="A241" i="2"/>
  <c r="P241" i="2"/>
  <c r="C241" i="2"/>
  <c r="N241" i="2"/>
  <c r="J241" i="2"/>
  <c r="L241" i="2"/>
  <c r="K241" i="2" s="1"/>
  <c r="I241" i="2"/>
  <c r="H241" i="2"/>
  <c r="G241" i="2"/>
  <c r="F241" i="2"/>
  <c r="D241" i="2"/>
  <c r="E241" i="2"/>
  <c r="Q241" i="2"/>
  <c r="O241" i="2"/>
  <c r="F161" i="2"/>
  <c r="Q161" i="2"/>
  <c r="E161" i="2"/>
  <c r="P161" i="2"/>
  <c r="D161" i="2"/>
  <c r="O161" i="2"/>
  <c r="C161" i="2"/>
  <c r="N161" i="2"/>
  <c r="L161" i="2"/>
  <c r="K161" i="2" s="1"/>
  <c r="M161" i="2"/>
  <c r="J161" i="2"/>
  <c r="I161" i="2"/>
  <c r="H161" i="2"/>
  <c r="G161" i="2"/>
  <c r="A161" i="2"/>
  <c r="I237" i="2"/>
  <c r="E237" i="2"/>
  <c r="P237" i="2"/>
  <c r="C237" i="2"/>
  <c r="Q237" i="2"/>
  <c r="A237" i="2"/>
  <c r="O237" i="2"/>
  <c r="F237" i="2"/>
  <c r="D237" i="2"/>
  <c r="M237" i="2"/>
  <c r="L237" i="2"/>
  <c r="K237" i="2" s="1"/>
  <c r="N237" i="2"/>
  <c r="J237" i="2"/>
  <c r="H237" i="2"/>
  <c r="G237" i="2"/>
  <c r="L246" i="2"/>
  <c r="K246" i="2" s="1"/>
  <c r="I246" i="2"/>
  <c r="G246" i="2"/>
  <c r="E246" i="2"/>
  <c r="D246" i="2"/>
  <c r="A246" i="2"/>
  <c r="Q246" i="2"/>
  <c r="P246" i="2"/>
  <c r="O246" i="2"/>
  <c r="M246" i="2"/>
  <c r="J246" i="2"/>
  <c r="N246" i="2"/>
  <c r="H246" i="2"/>
  <c r="F246" i="2"/>
  <c r="C246" i="2"/>
  <c r="P298" i="2"/>
  <c r="D298" i="2"/>
  <c r="Q298" i="2"/>
  <c r="C298" i="2"/>
  <c r="L298" i="2"/>
  <c r="K298" i="2" s="1"/>
  <c r="O298" i="2"/>
  <c r="M298" i="2"/>
  <c r="J298" i="2"/>
  <c r="I298" i="2"/>
  <c r="G298" i="2"/>
  <c r="F298" i="2"/>
  <c r="E298" i="2"/>
  <c r="H298" i="2"/>
  <c r="A298" i="2"/>
  <c r="N298" i="2"/>
  <c r="I273" i="2"/>
  <c r="J273" i="2"/>
  <c r="E273" i="2"/>
  <c r="P273" i="2"/>
  <c r="A273" i="2"/>
  <c r="N273" i="2"/>
  <c r="C273" i="2"/>
  <c r="Q273" i="2"/>
  <c r="O273" i="2"/>
  <c r="M273" i="2"/>
  <c r="L273" i="2"/>
  <c r="K273" i="2" s="1"/>
  <c r="H273" i="2"/>
  <c r="G273" i="2"/>
  <c r="F273" i="2"/>
  <c r="D273" i="2"/>
  <c r="G307" i="2"/>
  <c r="H307" i="2"/>
  <c r="P307" i="2"/>
  <c r="C307" i="2"/>
  <c r="F307" i="2"/>
  <c r="D307" i="2"/>
  <c r="Q307" i="2"/>
  <c r="A307" i="2"/>
  <c r="N307" i="2"/>
  <c r="M307" i="2"/>
  <c r="L307" i="2"/>
  <c r="K307" i="2" s="1"/>
  <c r="J307" i="2"/>
  <c r="I307" i="2"/>
  <c r="O307" i="2"/>
  <c r="E307" i="2"/>
  <c r="M389" i="2"/>
  <c r="A389" i="2"/>
  <c r="G389" i="2"/>
  <c r="P389" i="2"/>
  <c r="C389" i="2"/>
  <c r="L389" i="2"/>
  <c r="K389" i="2" s="1"/>
  <c r="I389" i="2"/>
  <c r="H389" i="2"/>
  <c r="E389" i="2"/>
  <c r="D389" i="2"/>
  <c r="Q389" i="2"/>
  <c r="O389" i="2"/>
  <c r="N389" i="2"/>
  <c r="J389" i="2"/>
  <c r="F389" i="2"/>
  <c r="L430" i="2"/>
  <c r="K430" i="2" s="1"/>
  <c r="Q430" i="2"/>
  <c r="D430" i="2"/>
  <c r="N430" i="2"/>
  <c r="A430" i="2"/>
  <c r="M430" i="2"/>
  <c r="J430" i="2"/>
  <c r="I430" i="2"/>
  <c r="P430" i="2"/>
  <c r="O430" i="2"/>
  <c r="H430" i="2"/>
  <c r="G430" i="2"/>
  <c r="E430" i="2"/>
  <c r="C430" i="2"/>
  <c r="F430" i="2"/>
  <c r="F248" i="2"/>
  <c r="N248" i="2"/>
  <c r="Q248" i="2"/>
  <c r="C248" i="2"/>
  <c r="O248" i="2"/>
  <c r="E248" i="2"/>
  <c r="D248" i="2"/>
  <c r="I248" i="2"/>
  <c r="H248" i="2"/>
  <c r="G248" i="2"/>
  <c r="A248" i="2"/>
  <c r="P248" i="2"/>
  <c r="M248" i="2"/>
  <c r="L248" i="2"/>
  <c r="K248" i="2" s="1"/>
  <c r="J248" i="2"/>
  <c r="L514" i="2"/>
  <c r="K514" i="2" s="1"/>
  <c r="I514" i="2"/>
  <c r="H514" i="2"/>
  <c r="F514" i="2"/>
  <c r="Q514" i="2"/>
  <c r="E514" i="2"/>
  <c r="P514" i="2"/>
  <c r="D514" i="2"/>
  <c r="N514" i="2"/>
  <c r="J514" i="2"/>
  <c r="G514" i="2"/>
  <c r="C514" i="2"/>
  <c r="A514" i="2"/>
  <c r="O514" i="2"/>
  <c r="M514" i="2"/>
  <c r="O563" i="2"/>
  <c r="C563" i="2"/>
  <c r="P563" i="2"/>
  <c r="A563" i="2"/>
  <c r="N563" i="2"/>
  <c r="M563" i="2"/>
  <c r="L563" i="2"/>
  <c r="K563" i="2" s="1"/>
  <c r="J563" i="2"/>
  <c r="H563" i="2"/>
  <c r="G563" i="2"/>
  <c r="F563" i="2"/>
  <c r="Q563" i="2"/>
  <c r="E563" i="2"/>
  <c r="D563" i="2"/>
  <c r="I563" i="2"/>
  <c r="F348" i="2"/>
  <c r="N348" i="2"/>
  <c r="I348" i="2"/>
  <c r="H348" i="2"/>
  <c r="E348" i="2"/>
  <c r="D348" i="2"/>
  <c r="P348" i="2"/>
  <c r="A348" i="2"/>
  <c r="O348" i="2"/>
  <c r="Q348" i="2"/>
  <c r="M348" i="2"/>
  <c r="J348" i="2"/>
  <c r="G348" i="2"/>
  <c r="L348" i="2"/>
  <c r="K348" i="2" s="1"/>
  <c r="C348" i="2"/>
  <c r="G479" i="2"/>
  <c r="O479" i="2"/>
  <c r="C479" i="2"/>
  <c r="E479" i="2"/>
  <c r="Q479" i="2"/>
  <c r="P479" i="2"/>
  <c r="A479" i="2"/>
  <c r="N479" i="2"/>
  <c r="L479" i="2"/>
  <c r="K479" i="2" s="1"/>
  <c r="M479" i="2"/>
  <c r="J479" i="2"/>
  <c r="I479" i="2"/>
  <c r="F479" i="2"/>
  <c r="D479" i="2"/>
  <c r="H479" i="2"/>
  <c r="Q582" i="2"/>
  <c r="E582" i="2"/>
  <c r="L582" i="2"/>
  <c r="K582" i="2" s="1"/>
  <c r="I582" i="2"/>
  <c r="H582" i="2"/>
  <c r="J582" i="2"/>
  <c r="G582" i="2"/>
  <c r="F582" i="2"/>
  <c r="D582" i="2"/>
  <c r="C582" i="2"/>
  <c r="A582" i="2"/>
  <c r="P582" i="2"/>
  <c r="O582" i="2"/>
  <c r="M582" i="2"/>
  <c r="N582" i="2"/>
  <c r="G571" i="2"/>
  <c r="I571" i="2"/>
  <c r="H571" i="2"/>
  <c r="F571" i="2"/>
  <c r="E571" i="2"/>
  <c r="D571" i="2"/>
  <c r="P571" i="2"/>
  <c r="O571" i="2"/>
  <c r="A571" i="2"/>
  <c r="N571" i="2"/>
  <c r="Q571" i="2"/>
  <c r="L571" i="2"/>
  <c r="K571" i="2" s="1"/>
  <c r="J571" i="2"/>
  <c r="M571" i="2"/>
  <c r="C571" i="2"/>
  <c r="M573" i="2"/>
  <c r="A573" i="2"/>
  <c r="I573" i="2"/>
  <c r="D573" i="2"/>
  <c r="Q573" i="2"/>
  <c r="C573" i="2"/>
  <c r="P573" i="2"/>
  <c r="O573" i="2"/>
  <c r="N573" i="2"/>
  <c r="J573" i="2"/>
  <c r="H573" i="2"/>
  <c r="E573" i="2"/>
  <c r="L573" i="2"/>
  <c r="K573" i="2" s="1"/>
  <c r="F573" i="2"/>
  <c r="G573" i="2"/>
  <c r="N516" i="2"/>
  <c r="M516" i="2"/>
  <c r="A516" i="2"/>
  <c r="J516" i="2"/>
  <c r="H516" i="2"/>
  <c r="G516" i="2"/>
  <c r="F516" i="2"/>
  <c r="I516" i="2"/>
  <c r="D516" i="2"/>
  <c r="C516" i="2"/>
  <c r="Q516" i="2"/>
  <c r="P516" i="2"/>
  <c r="L516" i="2"/>
  <c r="K516" i="2" s="1"/>
  <c r="E516" i="2"/>
  <c r="O516" i="2"/>
  <c r="Q793" i="2"/>
  <c r="E793" i="2"/>
  <c r="I793" i="2"/>
  <c r="H793" i="2"/>
  <c r="O793" i="2"/>
  <c r="N793" i="2"/>
  <c r="M793" i="2"/>
  <c r="L793" i="2"/>
  <c r="K793" i="2" s="1"/>
  <c r="F793" i="2"/>
  <c r="D793" i="2"/>
  <c r="A793" i="2"/>
  <c r="P793" i="2"/>
  <c r="J793" i="2"/>
  <c r="G793" i="2"/>
  <c r="C793" i="2"/>
  <c r="N544" i="2"/>
  <c r="J544" i="2"/>
  <c r="G544" i="2"/>
  <c r="F544" i="2"/>
  <c r="D544" i="2"/>
  <c r="Q544" i="2"/>
  <c r="C544" i="2"/>
  <c r="O544" i="2"/>
  <c r="M544" i="2"/>
  <c r="L544" i="2"/>
  <c r="K544" i="2" s="1"/>
  <c r="P544" i="2"/>
  <c r="I544" i="2"/>
  <c r="E544" i="2"/>
  <c r="A544" i="2"/>
  <c r="H544" i="2"/>
  <c r="H683" i="2"/>
  <c r="G683" i="2"/>
  <c r="Q683" i="2"/>
  <c r="E683" i="2"/>
  <c r="N683" i="2"/>
  <c r="L683" i="2"/>
  <c r="K683" i="2" s="1"/>
  <c r="M683" i="2"/>
  <c r="J683" i="2"/>
  <c r="F683" i="2"/>
  <c r="D683" i="2"/>
  <c r="A683" i="2"/>
  <c r="P683" i="2"/>
  <c r="I683" i="2"/>
  <c r="C683" i="2"/>
  <c r="O683" i="2"/>
  <c r="F669" i="2"/>
  <c r="H669" i="2"/>
  <c r="Q669" i="2"/>
  <c r="D669" i="2"/>
  <c r="P669" i="2"/>
  <c r="A669" i="2"/>
  <c r="N669" i="2"/>
  <c r="M669" i="2"/>
  <c r="J669" i="2"/>
  <c r="I669" i="2"/>
  <c r="O669" i="2"/>
  <c r="L669" i="2"/>
  <c r="K669" i="2" s="1"/>
  <c r="E669" i="2"/>
  <c r="C669" i="2"/>
  <c r="G669" i="2"/>
  <c r="J699" i="2"/>
  <c r="I699" i="2"/>
  <c r="E699" i="2"/>
  <c r="D699" i="2"/>
  <c r="P699" i="2"/>
  <c r="M699" i="2"/>
  <c r="L699" i="2"/>
  <c r="K699" i="2" s="1"/>
  <c r="Q699" i="2"/>
  <c r="N699" i="2"/>
  <c r="C699" i="2"/>
  <c r="H699" i="2"/>
  <c r="G699" i="2"/>
  <c r="A699" i="2"/>
  <c r="O699" i="2"/>
  <c r="F699" i="2"/>
  <c r="I28" i="2"/>
  <c r="H28" i="2"/>
  <c r="G28" i="2"/>
  <c r="F28" i="2"/>
  <c r="Q28" i="2"/>
  <c r="E28" i="2"/>
  <c r="P28" i="2"/>
  <c r="D28" i="2"/>
  <c r="O28" i="2"/>
  <c r="C28" i="2"/>
  <c r="N28" i="2"/>
  <c r="M28" i="2"/>
  <c r="L28" i="2"/>
  <c r="K28" i="2" s="1"/>
  <c r="J28" i="2"/>
  <c r="A28" i="2"/>
  <c r="J292" i="2"/>
  <c r="N292" i="2"/>
  <c r="A292" i="2"/>
  <c r="I292" i="2"/>
  <c r="G292" i="2"/>
  <c r="E292" i="2"/>
  <c r="Q292" i="2"/>
  <c r="O292" i="2"/>
  <c r="M292" i="2"/>
  <c r="L292" i="2"/>
  <c r="K292" i="2" s="1"/>
  <c r="P292" i="2"/>
  <c r="H292" i="2"/>
  <c r="F292" i="2"/>
  <c r="D292" i="2"/>
  <c r="C292" i="2"/>
  <c r="H127" i="2"/>
  <c r="P127" i="2"/>
  <c r="D127" i="2"/>
  <c r="I127" i="2"/>
  <c r="G127" i="2"/>
  <c r="F127" i="2"/>
  <c r="E127" i="2"/>
  <c r="C127" i="2"/>
  <c r="Q127" i="2"/>
  <c r="O127" i="2"/>
  <c r="A127" i="2"/>
  <c r="N127" i="2"/>
  <c r="M127" i="2"/>
  <c r="L127" i="2"/>
  <c r="K127" i="2" s="1"/>
  <c r="J127" i="2"/>
  <c r="Q24" i="2"/>
  <c r="E24" i="2"/>
  <c r="P24" i="2"/>
  <c r="D24" i="2"/>
  <c r="O24" i="2"/>
  <c r="C24" i="2"/>
  <c r="N24" i="2"/>
  <c r="M24" i="2"/>
  <c r="A24" i="2"/>
  <c r="L24" i="2"/>
  <c r="K24" i="2" s="1"/>
  <c r="J24" i="2"/>
  <c r="I24" i="2"/>
  <c r="H24" i="2"/>
  <c r="G24" i="2"/>
  <c r="F24" i="2"/>
  <c r="Q206" i="2"/>
  <c r="E206" i="2"/>
  <c r="M206" i="2"/>
  <c r="L206" i="2"/>
  <c r="K206" i="2" s="1"/>
  <c r="J206" i="2"/>
  <c r="I206" i="2"/>
  <c r="G206" i="2"/>
  <c r="F206" i="2"/>
  <c r="D206" i="2"/>
  <c r="H206" i="2"/>
  <c r="C206" i="2"/>
  <c r="A206" i="2"/>
  <c r="P206" i="2"/>
  <c r="O206" i="2"/>
  <c r="N206" i="2"/>
  <c r="P135" i="2"/>
  <c r="D135" i="2"/>
  <c r="L135" i="2"/>
  <c r="K135" i="2" s="1"/>
  <c r="Q135" i="2"/>
  <c r="O135" i="2"/>
  <c r="A135" i="2"/>
  <c r="N135" i="2"/>
  <c r="M135" i="2"/>
  <c r="J135" i="2"/>
  <c r="I135" i="2"/>
  <c r="H135" i="2"/>
  <c r="G135" i="2"/>
  <c r="F135" i="2"/>
  <c r="E135" i="2"/>
  <c r="C135" i="2"/>
  <c r="H250" i="2"/>
  <c r="P250" i="2"/>
  <c r="D250" i="2"/>
  <c r="L250" i="2"/>
  <c r="K250" i="2" s="1"/>
  <c r="J250" i="2"/>
  <c r="E250" i="2"/>
  <c r="C250" i="2"/>
  <c r="O250" i="2"/>
  <c r="N250" i="2"/>
  <c r="M250" i="2"/>
  <c r="I250" i="2"/>
  <c r="F250" i="2"/>
  <c r="A250" i="2"/>
  <c r="Q250" i="2"/>
  <c r="G250" i="2"/>
  <c r="G208" i="2"/>
  <c r="E208" i="2"/>
  <c r="Q208" i="2"/>
  <c r="D208" i="2"/>
  <c r="P208" i="2"/>
  <c r="C208" i="2"/>
  <c r="O208" i="2"/>
  <c r="N208" i="2"/>
  <c r="A208" i="2"/>
  <c r="L208" i="2"/>
  <c r="K208" i="2" s="1"/>
  <c r="J208" i="2"/>
  <c r="M208" i="2"/>
  <c r="I208" i="2"/>
  <c r="H208" i="2"/>
  <c r="F208" i="2"/>
  <c r="J280" i="2"/>
  <c r="H280" i="2"/>
  <c r="Q280" i="2"/>
  <c r="D280" i="2"/>
  <c r="G280" i="2"/>
  <c r="E280" i="2"/>
  <c r="O280" i="2"/>
  <c r="N280" i="2"/>
  <c r="L280" i="2"/>
  <c r="K280" i="2" s="1"/>
  <c r="I280" i="2"/>
  <c r="F280" i="2"/>
  <c r="M280" i="2"/>
  <c r="C280" i="2"/>
  <c r="A280" i="2"/>
  <c r="P280" i="2"/>
  <c r="P258" i="2"/>
  <c r="D258" i="2"/>
  <c r="L258" i="2"/>
  <c r="K258" i="2" s="1"/>
  <c r="F258" i="2"/>
  <c r="C258" i="2"/>
  <c r="H258" i="2"/>
  <c r="G258" i="2"/>
  <c r="A258" i="2"/>
  <c r="Q258" i="2"/>
  <c r="N258" i="2"/>
  <c r="M258" i="2"/>
  <c r="O258" i="2"/>
  <c r="J258" i="2"/>
  <c r="I258" i="2"/>
  <c r="E258" i="2"/>
  <c r="I297" i="2"/>
  <c r="G297" i="2"/>
  <c r="P297" i="2"/>
  <c r="C297" i="2"/>
  <c r="Q297" i="2"/>
  <c r="A297" i="2"/>
  <c r="N297" i="2"/>
  <c r="J297" i="2"/>
  <c r="H297" i="2"/>
  <c r="E297" i="2"/>
  <c r="D297" i="2"/>
  <c r="O297" i="2"/>
  <c r="M297" i="2"/>
  <c r="L297" i="2"/>
  <c r="K297" i="2" s="1"/>
  <c r="F297" i="2"/>
  <c r="M361" i="2"/>
  <c r="A361" i="2"/>
  <c r="I361" i="2"/>
  <c r="D361" i="2"/>
  <c r="Q361" i="2"/>
  <c r="C361" i="2"/>
  <c r="O361" i="2"/>
  <c r="N361" i="2"/>
  <c r="J361" i="2"/>
  <c r="P361" i="2"/>
  <c r="H361" i="2"/>
  <c r="G361" i="2"/>
  <c r="F361" i="2"/>
  <c r="L361" i="2"/>
  <c r="K361" i="2" s="1"/>
  <c r="E361" i="2"/>
  <c r="Q465" i="2"/>
  <c r="E465" i="2"/>
  <c r="M465" i="2"/>
  <c r="A465" i="2"/>
  <c r="L465" i="2"/>
  <c r="K465" i="2" s="1"/>
  <c r="J465" i="2"/>
  <c r="I465" i="2"/>
  <c r="H465" i="2"/>
  <c r="F465" i="2"/>
  <c r="D465" i="2"/>
  <c r="P465" i="2"/>
  <c r="N465" i="2"/>
  <c r="O465" i="2"/>
  <c r="G465" i="2"/>
  <c r="C465" i="2"/>
  <c r="J404" i="2"/>
  <c r="N404" i="2"/>
  <c r="A404" i="2"/>
  <c r="I404" i="2"/>
  <c r="F404" i="2"/>
  <c r="D404" i="2"/>
  <c r="C404" i="2"/>
  <c r="Q404" i="2"/>
  <c r="O404" i="2"/>
  <c r="M404" i="2"/>
  <c r="L404" i="2"/>
  <c r="K404" i="2" s="1"/>
  <c r="H404" i="2"/>
  <c r="E404" i="2"/>
  <c r="P404" i="2"/>
  <c r="G404" i="2"/>
  <c r="G359" i="2"/>
  <c r="I359" i="2"/>
  <c r="H359" i="2"/>
  <c r="E359" i="2"/>
  <c r="D359" i="2"/>
  <c r="P359" i="2"/>
  <c r="O359" i="2"/>
  <c r="A359" i="2"/>
  <c r="C359" i="2"/>
  <c r="Q359" i="2"/>
  <c r="M359" i="2"/>
  <c r="L359" i="2"/>
  <c r="K359" i="2" s="1"/>
  <c r="J359" i="2"/>
  <c r="N359" i="2"/>
  <c r="F359" i="2"/>
  <c r="L442" i="2"/>
  <c r="K442" i="2" s="1"/>
  <c r="H442" i="2"/>
  <c r="O442" i="2"/>
  <c r="A442" i="2"/>
  <c r="J442" i="2"/>
  <c r="G442" i="2"/>
  <c r="F442" i="2"/>
  <c r="I442" i="2"/>
  <c r="E442" i="2"/>
  <c r="D442" i="2"/>
  <c r="C442" i="2"/>
  <c r="Q442" i="2"/>
  <c r="P442" i="2"/>
  <c r="N442" i="2"/>
  <c r="M442" i="2"/>
  <c r="G323" i="2"/>
  <c r="P323" i="2"/>
  <c r="L323" i="2"/>
  <c r="K323" i="2" s="1"/>
  <c r="D323" i="2"/>
  <c r="A323" i="2"/>
  <c r="Q323" i="2"/>
  <c r="O323" i="2"/>
  <c r="M323" i="2"/>
  <c r="I323" i="2"/>
  <c r="E323" i="2"/>
  <c r="C323" i="2"/>
  <c r="J323" i="2"/>
  <c r="H323" i="2"/>
  <c r="F323" i="2"/>
  <c r="N323" i="2"/>
  <c r="G455" i="2"/>
  <c r="O455" i="2"/>
  <c r="C455" i="2"/>
  <c r="J455" i="2"/>
  <c r="F455" i="2"/>
  <c r="E455" i="2"/>
  <c r="Q455" i="2"/>
  <c r="P455" i="2"/>
  <c r="A455" i="2"/>
  <c r="I455" i="2"/>
  <c r="H455" i="2"/>
  <c r="D455" i="2"/>
  <c r="N455" i="2"/>
  <c r="M455" i="2"/>
  <c r="L455" i="2"/>
  <c r="K455" i="2" s="1"/>
  <c r="G535" i="2"/>
  <c r="M535" i="2"/>
  <c r="L535" i="2"/>
  <c r="K535" i="2" s="1"/>
  <c r="J535" i="2"/>
  <c r="I535" i="2"/>
  <c r="F535" i="2"/>
  <c r="E535" i="2"/>
  <c r="Q535" i="2"/>
  <c r="D535" i="2"/>
  <c r="N535" i="2"/>
  <c r="H535" i="2"/>
  <c r="C535" i="2"/>
  <c r="O535" i="2"/>
  <c r="A535" i="2"/>
  <c r="P535" i="2"/>
  <c r="N356" i="2"/>
  <c r="J356" i="2"/>
  <c r="Q356" i="2"/>
  <c r="C356" i="2"/>
  <c r="P356" i="2"/>
  <c r="A356" i="2"/>
  <c r="M356" i="2"/>
  <c r="L356" i="2"/>
  <c r="K356" i="2" s="1"/>
  <c r="I356" i="2"/>
  <c r="H356" i="2"/>
  <c r="F356" i="2"/>
  <c r="D356" i="2"/>
  <c r="O356" i="2"/>
  <c r="G356" i="2"/>
  <c r="E356" i="2"/>
  <c r="I493" i="2"/>
  <c r="H493" i="2"/>
  <c r="Q493" i="2"/>
  <c r="E493" i="2"/>
  <c r="O493" i="2"/>
  <c r="C493" i="2"/>
  <c r="N493" i="2"/>
  <c r="M493" i="2"/>
  <c r="A493" i="2"/>
  <c r="P493" i="2"/>
  <c r="J493" i="2"/>
  <c r="L493" i="2"/>
  <c r="K493" i="2" s="1"/>
  <c r="G493" i="2"/>
  <c r="F493" i="2"/>
  <c r="D493" i="2"/>
  <c r="G555" i="2"/>
  <c r="O555" i="2"/>
  <c r="C555" i="2"/>
  <c r="H555" i="2"/>
  <c r="F555" i="2"/>
  <c r="E555" i="2"/>
  <c r="D555" i="2"/>
  <c r="Q555" i="2"/>
  <c r="N555" i="2"/>
  <c r="M555" i="2"/>
  <c r="L555" i="2"/>
  <c r="K555" i="2" s="1"/>
  <c r="A555" i="2"/>
  <c r="P555" i="2"/>
  <c r="I555" i="2"/>
  <c r="J555" i="2"/>
  <c r="N384" i="2"/>
  <c r="M384" i="2"/>
  <c r="I384" i="2"/>
  <c r="D384" i="2"/>
  <c r="C384" i="2"/>
  <c r="P384" i="2"/>
  <c r="O384" i="2"/>
  <c r="J384" i="2"/>
  <c r="Q384" i="2"/>
  <c r="L384" i="2"/>
  <c r="K384" i="2" s="1"/>
  <c r="H384" i="2"/>
  <c r="F384" i="2"/>
  <c r="E384" i="2"/>
  <c r="A384" i="2"/>
  <c r="G384" i="2"/>
  <c r="P593" i="2"/>
  <c r="D593" i="2"/>
  <c r="Q593" i="2"/>
  <c r="C593" i="2"/>
  <c r="L593" i="2"/>
  <c r="K593" i="2" s="1"/>
  <c r="J593" i="2"/>
  <c r="H593" i="2"/>
  <c r="G593" i="2"/>
  <c r="O593" i="2"/>
  <c r="N593" i="2"/>
  <c r="I593" i="2"/>
  <c r="F593" i="2"/>
  <c r="E593" i="2"/>
  <c r="M593" i="2"/>
  <c r="A593" i="2"/>
  <c r="F607" i="2"/>
  <c r="N607" i="2"/>
  <c r="A607" i="2"/>
  <c r="J607" i="2"/>
  <c r="I607" i="2"/>
  <c r="H607" i="2"/>
  <c r="E607" i="2"/>
  <c r="D607" i="2"/>
  <c r="Q607" i="2"/>
  <c r="P607" i="2"/>
  <c r="O607" i="2"/>
  <c r="G607" i="2"/>
  <c r="C607" i="2"/>
  <c r="L607" i="2"/>
  <c r="K607" i="2" s="1"/>
  <c r="M607" i="2"/>
  <c r="N556" i="2"/>
  <c r="J556" i="2"/>
  <c r="E556" i="2"/>
  <c r="D556" i="2"/>
  <c r="Q556" i="2"/>
  <c r="C556" i="2"/>
  <c r="P556" i="2"/>
  <c r="A556" i="2"/>
  <c r="O556" i="2"/>
  <c r="L556" i="2"/>
  <c r="K556" i="2" s="1"/>
  <c r="I556" i="2"/>
  <c r="M556" i="2"/>
  <c r="G556" i="2"/>
  <c r="F556" i="2"/>
  <c r="H556" i="2"/>
  <c r="P691" i="2"/>
  <c r="D691" i="2"/>
  <c r="O691" i="2"/>
  <c r="C691" i="2"/>
  <c r="M691" i="2"/>
  <c r="A691" i="2"/>
  <c r="I691" i="2"/>
  <c r="Q691" i="2"/>
  <c r="L691" i="2"/>
  <c r="K691" i="2" s="1"/>
  <c r="N691" i="2"/>
  <c r="J691" i="2"/>
  <c r="G691" i="2"/>
  <c r="F691" i="2"/>
  <c r="H691" i="2"/>
  <c r="E691" i="2"/>
  <c r="O672" i="2"/>
  <c r="C672" i="2"/>
  <c r="I672" i="2"/>
  <c r="G672" i="2"/>
  <c r="F672" i="2"/>
  <c r="A672" i="2"/>
  <c r="P672" i="2"/>
  <c r="N672" i="2"/>
  <c r="L672" i="2"/>
  <c r="K672" i="2" s="1"/>
  <c r="J672" i="2"/>
  <c r="Q672" i="2"/>
  <c r="M672" i="2"/>
  <c r="E672" i="2"/>
  <c r="D672" i="2"/>
  <c r="H672" i="2"/>
  <c r="O712" i="2"/>
  <c r="C712" i="2"/>
  <c r="J712" i="2"/>
  <c r="F712" i="2"/>
  <c r="E712" i="2"/>
  <c r="N712" i="2"/>
  <c r="M712" i="2"/>
  <c r="L712" i="2"/>
  <c r="K712" i="2" s="1"/>
  <c r="P712" i="2"/>
  <c r="I712" i="2"/>
  <c r="H712" i="2"/>
  <c r="Q712" i="2"/>
  <c r="D712" i="2"/>
  <c r="A712" i="2"/>
  <c r="G712" i="2"/>
  <c r="I40" i="2"/>
  <c r="H40" i="2"/>
  <c r="G40" i="2"/>
  <c r="F40" i="2"/>
  <c r="Q40" i="2"/>
  <c r="E40" i="2"/>
  <c r="P40" i="2"/>
  <c r="D40" i="2"/>
  <c r="O40" i="2"/>
  <c r="C40" i="2"/>
  <c r="N40" i="2"/>
  <c r="M40" i="2"/>
  <c r="L40" i="2"/>
  <c r="K40" i="2" s="1"/>
  <c r="J40" i="2"/>
  <c r="A40" i="2"/>
  <c r="I257" i="2"/>
  <c r="Q257" i="2"/>
  <c r="E257" i="2"/>
  <c r="H257" i="2"/>
  <c r="F257" i="2"/>
  <c r="G257" i="2"/>
  <c r="D257" i="2"/>
  <c r="P257" i="2"/>
  <c r="O257" i="2"/>
  <c r="N257" i="2"/>
  <c r="L257" i="2"/>
  <c r="K257" i="2" s="1"/>
  <c r="J257" i="2"/>
  <c r="M257" i="2"/>
  <c r="C257" i="2"/>
  <c r="A257" i="2"/>
  <c r="P111" i="2"/>
  <c r="D111" i="2"/>
  <c r="L111" i="2"/>
  <c r="K111" i="2" s="1"/>
  <c r="G111" i="2"/>
  <c r="F111" i="2"/>
  <c r="E111" i="2"/>
  <c r="C111" i="2"/>
  <c r="Q111" i="2"/>
  <c r="O111" i="2"/>
  <c r="A111" i="2"/>
  <c r="N111" i="2"/>
  <c r="M111" i="2"/>
  <c r="J111" i="2"/>
  <c r="I111" i="2"/>
  <c r="H111" i="2"/>
  <c r="N10" i="2"/>
  <c r="M10" i="2"/>
  <c r="A10" i="2"/>
  <c r="L10" i="2"/>
  <c r="K10" i="2" s="1"/>
  <c r="J10" i="2"/>
  <c r="I10" i="2"/>
  <c r="H10" i="2"/>
  <c r="Q10" i="2"/>
  <c r="P10" i="2"/>
  <c r="O10" i="2"/>
  <c r="G10" i="2"/>
  <c r="F10" i="2"/>
  <c r="E10" i="2"/>
  <c r="D10" i="2"/>
  <c r="C10" i="2"/>
  <c r="I146" i="2"/>
  <c r="Q146" i="2"/>
  <c r="E146" i="2"/>
  <c r="P146" i="2"/>
  <c r="O146" i="2"/>
  <c r="A146" i="2"/>
  <c r="N146" i="2"/>
  <c r="M146" i="2"/>
  <c r="L146" i="2"/>
  <c r="K146" i="2" s="1"/>
  <c r="J146" i="2"/>
  <c r="H146" i="2"/>
  <c r="G146" i="2"/>
  <c r="F146" i="2"/>
  <c r="D146" i="2"/>
  <c r="C146" i="2"/>
  <c r="I263" i="2"/>
  <c r="E263" i="2"/>
  <c r="N263" i="2"/>
  <c r="L263" i="2"/>
  <c r="K263" i="2" s="1"/>
  <c r="C263" i="2"/>
  <c r="Q263" i="2"/>
  <c r="P263" i="2"/>
  <c r="O263" i="2"/>
  <c r="M263" i="2"/>
  <c r="J263" i="2"/>
  <c r="H263" i="2"/>
  <c r="G263" i="2"/>
  <c r="D263" i="2"/>
  <c r="A263" i="2"/>
  <c r="F263" i="2"/>
  <c r="F185" i="2"/>
  <c r="Q185" i="2"/>
  <c r="E185" i="2"/>
  <c r="P185" i="2"/>
  <c r="D185" i="2"/>
  <c r="O185" i="2"/>
  <c r="C185" i="2"/>
  <c r="N185" i="2"/>
  <c r="L185" i="2"/>
  <c r="K185" i="2" s="1"/>
  <c r="J185" i="2"/>
  <c r="M185" i="2"/>
  <c r="I185" i="2"/>
  <c r="H185" i="2"/>
  <c r="G185" i="2"/>
  <c r="A185" i="2"/>
  <c r="N97" i="2"/>
  <c r="J97" i="2"/>
  <c r="O97" i="2"/>
  <c r="M97" i="2"/>
  <c r="L97" i="2"/>
  <c r="K97" i="2" s="1"/>
  <c r="I97" i="2"/>
  <c r="H97" i="2"/>
  <c r="G97" i="2"/>
  <c r="F97" i="2"/>
  <c r="E97" i="2"/>
  <c r="Q97" i="2"/>
  <c r="P97" i="2"/>
  <c r="D97" i="2"/>
  <c r="C97" i="2"/>
  <c r="A97" i="2"/>
  <c r="I333" i="2"/>
  <c r="Q333" i="2"/>
  <c r="E333" i="2"/>
  <c r="D333" i="2"/>
  <c r="C333" i="2"/>
  <c r="N333" i="2"/>
  <c r="L333" i="2"/>
  <c r="K333" i="2" s="1"/>
  <c r="A333" i="2"/>
  <c r="P333" i="2"/>
  <c r="O333" i="2"/>
  <c r="H333" i="2"/>
  <c r="J333" i="2"/>
  <c r="G333" i="2"/>
  <c r="F333" i="2"/>
  <c r="M333" i="2"/>
  <c r="G283" i="2"/>
  <c r="J283" i="2"/>
  <c r="E283" i="2"/>
  <c r="C283" i="2"/>
  <c r="P283" i="2"/>
  <c r="A283" i="2"/>
  <c r="O283" i="2"/>
  <c r="N283" i="2"/>
  <c r="M283" i="2"/>
  <c r="L283" i="2"/>
  <c r="K283" i="2" s="1"/>
  <c r="Q283" i="2"/>
  <c r="I283" i="2"/>
  <c r="H283" i="2"/>
  <c r="F283" i="2"/>
  <c r="D283" i="2"/>
  <c r="J352" i="2"/>
  <c r="F352" i="2"/>
  <c r="M352" i="2"/>
  <c r="L352" i="2"/>
  <c r="K352" i="2" s="1"/>
  <c r="I352" i="2"/>
  <c r="H352" i="2"/>
  <c r="E352" i="2"/>
  <c r="D352" i="2"/>
  <c r="G352" i="2"/>
  <c r="N352" i="2"/>
  <c r="C352" i="2"/>
  <c r="A352" i="2"/>
  <c r="Q352" i="2"/>
  <c r="P352" i="2"/>
  <c r="O352" i="2"/>
  <c r="P410" i="2"/>
  <c r="D410" i="2"/>
  <c r="Q410" i="2"/>
  <c r="C410" i="2"/>
  <c r="M410" i="2"/>
  <c r="L410" i="2"/>
  <c r="K410" i="2" s="1"/>
  <c r="I410" i="2"/>
  <c r="A410" i="2"/>
  <c r="O410" i="2"/>
  <c r="N410" i="2"/>
  <c r="J410" i="2"/>
  <c r="H410" i="2"/>
  <c r="G410" i="2"/>
  <c r="F410" i="2"/>
  <c r="E410" i="2"/>
  <c r="M682" i="2"/>
  <c r="A682" i="2"/>
  <c r="L682" i="2"/>
  <c r="K682" i="2" s="1"/>
  <c r="J682" i="2"/>
  <c r="P682" i="2"/>
  <c r="N682" i="2"/>
  <c r="G682" i="2"/>
  <c r="F682" i="2"/>
  <c r="D682" i="2"/>
  <c r="C682" i="2"/>
  <c r="Q682" i="2"/>
  <c r="I682" i="2"/>
  <c r="H682" i="2"/>
  <c r="E682" i="2"/>
  <c r="O682" i="2"/>
  <c r="L294" i="2"/>
  <c r="K294" i="2" s="1"/>
  <c r="F294" i="2"/>
  <c r="O294" i="2"/>
  <c r="E294" i="2"/>
  <c r="C294" i="2"/>
  <c r="D294" i="2"/>
  <c r="A294" i="2"/>
  <c r="Q294" i="2"/>
  <c r="P294" i="2"/>
  <c r="N294" i="2"/>
  <c r="M294" i="2"/>
  <c r="J294" i="2"/>
  <c r="I294" i="2"/>
  <c r="H294" i="2"/>
  <c r="G294" i="2"/>
  <c r="H350" i="2"/>
  <c r="P350" i="2"/>
  <c r="D350" i="2"/>
  <c r="C350" i="2"/>
  <c r="Q350" i="2"/>
  <c r="N350" i="2"/>
  <c r="M350" i="2"/>
  <c r="J350" i="2"/>
  <c r="L350" i="2"/>
  <c r="K350" i="2" s="1"/>
  <c r="O350" i="2"/>
  <c r="G350" i="2"/>
  <c r="F350" i="2"/>
  <c r="E350" i="2"/>
  <c r="I350" i="2"/>
  <c r="A350" i="2"/>
  <c r="Q405" i="2"/>
  <c r="E405" i="2"/>
  <c r="J405" i="2"/>
  <c r="G405" i="2"/>
  <c r="F405" i="2"/>
  <c r="O405" i="2"/>
  <c r="H405" i="2"/>
  <c r="D405" i="2"/>
  <c r="A405" i="2"/>
  <c r="P405" i="2"/>
  <c r="N405" i="2"/>
  <c r="L405" i="2"/>
  <c r="K405" i="2" s="1"/>
  <c r="I405" i="2"/>
  <c r="C405" i="2"/>
  <c r="M405" i="2"/>
  <c r="Q369" i="2"/>
  <c r="E369" i="2"/>
  <c r="G369" i="2"/>
  <c r="O369" i="2"/>
  <c r="H369" i="2"/>
  <c r="F369" i="2"/>
  <c r="C369" i="2"/>
  <c r="A369" i="2"/>
  <c r="N369" i="2"/>
  <c r="M369" i="2"/>
  <c r="P369" i="2"/>
  <c r="L369" i="2"/>
  <c r="K369" i="2" s="1"/>
  <c r="J369" i="2"/>
  <c r="I369" i="2"/>
  <c r="D369" i="2"/>
  <c r="I592" i="2"/>
  <c r="P592" i="2"/>
  <c r="C592" i="2"/>
  <c r="M592" i="2"/>
  <c r="L592" i="2"/>
  <c r="K592" i="2" s="1"/>
  <c r="J592" i="2"/>
  <c r="H592" i="2"/>
  <c r="E592" i="2"/>
  <c r="N592" i="2"/>
  <c r="G592" i="2"/>
  <c r="F592" i="2"/>
  <c r="D592" i="2"/>
  <c r="A592" i="2"/>
  <c r="Q592" i="2"/>
  <c r="O592" i="2"/>
  <c r="P506" i="2"/>
  <c r="D506" i="2"/>
  <c r="O506" i="2"/>
  <c r="C506" i="2"/>
  <c r="M506" i="2"/>
  <c r="A506" i="2"/>
  <c r="L506" i="2"/>
  <c r="K506" i="2" s="1"/>
  <c r="J506" i="2"/>
  <c r="I506" i="2"/>
  <c r="H506" i="2"/>
  <c r="F506" i="2"/>
  <c r="Q506" i="2"/>
  <c r="N506" i="2"/>
  <c r="G506" i="2"/>
  <c r="E506" i="2"/>
  <c r="J512" i="2"/>
  <c r="I512" i="2"/>
  <c r="G512" i="2"/>
  <c r="F512" i="2"/>
  <c r="P512" i="2"/>
  <c r="D512" i="2"/>
  <c r="O512" i="2"/>
  <c r="C512" i="2"/>
  <c r="N512" i="2"/>
  <c r="M512" i="2"/>
  <c r="L512" i="2"/>
  <c r="K512" i="2" s="1"/>
  <c r="E512" i="2"/>
  <c r="A512" i="2"/>
  <c r="Q512" i="2"/>
  <c r="H512" i="2"/>
  <c r="I505" i="2"/>
  <c r="H505" i="2"/>
  <c r="F505" i="2"/>
  <c r="Q505" i="2"/>
  <c r="E505" i="2"/>
  <c r="O505" i="2"/>
  <c r="C505" i="2"/>
  <c r="N505" i="2"/>
  <c r="M505" i="2"/>
  <c r="A505" i="2"/>
  <c r="P505" i="2"/>
  <c r="L505" i="2"/>
  <c r="K505" i="2" s="1"/>
  <c r="J505" i="2"/>
  <c r="G505" i="2"/>
  <c r="D505" i="2"/>
  <c r="I604" i="2"/>
  <c r="M604" i="2"/>
  <c r="H604" i="2"/>
  <c r="N604" i="2"/>
  <c r="L604" i="2"/>
  <c r="K604" i="2" s="1"/>
  <c r="J604" i="2"/>
  <c r="G604" i="2"/>
  <c r="E604" i="2"/>
  <c r="D604" i="2"/>
  <c r="C604" i="2"/>
  <c r="Q604" i="2"/>
  <c r="P604" i="2"/>
  <c r="O604" i="2"/>
  <c r="A604" i="2"/>
  <c r="F604" i="2"/>
  <c r="M561" i="2"/>
  <c r="A561" i="2"/>
  <c r="I561" i="2"/>
  <c r="F561" i="2"/>
  <c r="E561" i="2"/>
  <c r="D561" i="2"/>
  <c r="Q561" i="2"/>
  <c r="C561" i="2"/>
  <c r="P561" i="2"/>
  <c r="N561" i="2"/>
  <c r="L561" i="2"/>
  <c r="K561" i="2" s="1"/>
  <c r="O561" i="2"/>
  <c r="H561" i="2"/>
  <c r="G561" i="2"/>
  <c r="J561" i="2"/>
  <c r="O634" i="2"/>
  <c r="C634" i="2"/>
  <c r="M634" i="2"/>
  <c r="J634" i="2"/>
  <c r="I634" i="2"/>
  <c r="E634" i="2"/>
  <c r="Q634" i="2"/>
  <c r="P634" i="2"/>
  <c r="L634" i="2"/>
  <c r="K634" i="2" s="1"/>
  <c r="G634" i="2"/>
  <c r="F634" i="2"/>
  <c r="D634" i="2"/>
  <c r="N634" i="2"/>
  <c r="H634" i="2"/>
  <c r="A634" i="2"/>
  <c r="N396" i="2"/>
  <c r="F396" i="2"/>
  <c r="O396" i="2"/>
  <c r="A396" i="2"/>
  <c r="D396" i="2"/>
  <c r="C396" i="2"/>
  <c r="P396" i="2"/>
  <c r="M396" i="2"/>
  <c r="J396" i="2"/>
  <c r="I396" i="2"/>
  <c r="H396" i="2"/>
  <c r="E396" i="2"/>
  <c r="Q396" i="2"/>
  <c r="L396" i="2"/>
  <c r="K396" i="2" s="1"/>
  <c r="G396" i="2"/>
  <c r="O531" i="2"/>
  <c r="C531" i="2"/>
  <c r="P531" i="2"/>
  <c r="N531" i="2"/>
  <c r="A531" i="2"/>
  <c r="L531" i="2"/>
  <c r="K531" i="2" s="1"/>
  <c r="I531" i="2"/>
  <c r="H531" i="2"/>
  <c r="G531" i="2"/>
  <c r="M531" i="2"/>
  <c r="J531" i="2"/>
  <c r="F531" i="2"/>
  <c r="D531" i="2"/>
  <c r="Q531" i="2"/>
  <c r="E531" i="2"/>
  <c r="M594" i="2"/>
  <c r="H594" i="2"/>
  <c r="J594" i="2"/>
  <c r="I594" i="2"/>
  <c r="F594" i="2"/>
  <c r="E594" i="2"/>
  <c r="Q594" i="2"/>
  <c r="P594" i="2"/>
  <c r="D594" i="2"/>
  <c r="C594" i="2"/>
  <c r="A594" i="2"/>
  <c r="O594" i="2"/>
  <c r="G594" i="2"/>
  <c r="L594" i="2"/>
  <c r="K594" i="2" s="1"/>
  <c r="N594" i="2"/>
  <c r="F631" i="2"/>
  <c r="L631" i="2"/>
  <c r="K631" i="2" s="1"/>
  <c r="H631" i="2"/>
  <c r="P631" i="2"/>
  <c r="J631" i="2"/>
  <c r="I631" i="2"/>
  <c r="E631" i="2"/>
  <c r="D631" i="2"/>
  <c r="Q631" i="2"/>
  <c r="A631" i="2"/>
  <c r="O631" i="2"/>
  <c r="N631" i="2"/>
  <c r="M631" i="2"/>
  <c r="G631" i="2"/>
  <c r="C631" i="2"/>
  <c r="I642" i="2"/>
  <c r="H642" i="2"/>
  <c r="D642" i="2"/>
  <c r="Q642" i="2"/>
  <c r="C642" i="2"/>
  <c r="O642" i="2"/>
  <c r="A642" i="2"/>
  <c r="N642" i="2"/>
  <c r="J642" i="2"/>
  <c r="G642" i="2"/>
  <c r="E642" i="2"/>
  <c r="P642" i="2"/>
  <c r="M642" i="2"/>
  <c r="F642" i="2"/>
  <c r="L642" i="2"/>
  <c r="K642" i="2" s="1"/>
  <c r="N568" i="2"/>
  <c r="J568" i="2"/>
  <c r="Q568" i="2"/>
  <c r="C568" i="2"/>
  <c r="P568" i="2"/>
  <c r="A568" i="2"/>
  <c r="O568" i="2"/>
  <c r="M568" i="2"/>
  <c r="L568" i="2"/>
  <c r="K568" i="2" s="1"/>
  <c r="I568" i="2"/>
  <c r="H568" i="2"/>
  <c r="G568" i="2"/>
  <c r="D568" i="2"/>
  <c r="F568" i="2"/>
  <c r="E568" i="2"/>
  <c r="F645" i="2"/>
  <c r="J645" i="2"/>
  <c r="I645" i="2"/>
  <c r="G645" i="2"/>
  <c r="E645" i="2"/>
  <c r="Q645" i="2"/>
  <c r="C645" i="2"/>
  <c r="P645" i="2"/>
  <c r="O645" i="2"/>
  <c r="A645" i="2"/>
  <c r="N645" i="2"/>
  <c r="L645" i="2"/>
  <c r="K645" i="2" s="1"/>
  <c r="H645" i="2"/>
  <c r="M645" i="2"/>
  <c r="D645" i="2"/>
  <c r="H697" i="2"/>
  <c r="J697" i="2"/>
  <c r="G697" i="2"/>
  <c r="Q697" i="2"/>
  <c r="P697" i="2"/>
  <c r="C697" i="2"/>
  <c r="D697" i="2"/>
  <c r="A697" i="2"/>
  <c r="M697" i="2"/>
  <c r="O697" i="2"/>
  <c r="N697" i="2"/>
  <c r="I697" i="2"/>
  <c r="F697" i="2"/>
  <c r="L697" i="2"/>
  <c r="K697" i="2" s="1"/>
  <c r="E697" i="2"/>
  <c r="M744" i="2"/>
  <c r="A744" i="2"/>
  <c r="L744" i="2"/>
  <c r="K744" i="2" s="1"/>
  <c r="J744" i="2"/>
  <c r="I744" i="2"/>
  <c r="H744" i="2"/>
  <c r="G744" i="2"/>
  <c r="D744" i="2"/>
  <c r="C744" i="2"/>
  <c r="F744" i="2"/>
  <c r="E744" i="2"/>
  <c r="Q744" i="2"/>
  <c r="P744" i="2"/>
  <c r="O744" i="2"/>
  <c r="N744" i="2"/>
  <c r="J713" i="2"/>
  <c r="G713" i="2"/>
  <c r="F713" i="2"/>
  <c r="D713" i="2"/>
  <c r="C713" i="2"/>
  <c r="P713" i="2"/>
  <c r="A713" i="2"/>
  <c r="M713" i="2"/>
  <c r="L713" i="2"/>
  <c r="K713" i="2" s="1"/>
  <c r="N713" i="2"/>
  <c r="H713" i="2"/>
  <c r="E713" i="2"/>
  <c r="I713" i="2"/>
  <c r="Q713" i="2"/>
  <c r="O713" i="2"/>
  <c r="N627" i="2"/>
  <c r="O627" i="2"/>
  <c r="A627" i="2"/>
  <c r="J627" i="2"/>
  <c r="P627" i="2"/>
  <c r="M627" i="2"/>
  <c r="I627" i="2"/>
  <c r="G627" i="2"/>
  <c r="F627" i="2"/>
  <c r="E627" i="2"/>
  <c r="H627" i="2"/>
  <c r="D627" i="2"/>
  <c r="C627" i="2"/>
  <c r="L627" i="2"/>
  <c r="K627" i="2" s="1"/>
  <c r="Q627" i="2"/>
  <c r="N708" i="2"/>
  <c r="A708" i="2"/>
  <c r="M708" i="2"/>
  <c r="J708" i="2"/>
  <c r="I708" i="2"/>
  <c r="G708" i="2"/>
  <c r="D708" i="2"/>
  <c r="C708" i="2"/>
  <c r="Q708" i="2"/>
  <c r="E708" i="2"/>
  <c r="P708" i="2"/>
  <c r="O708" i="2"/>
  <c r="H708" i="2"/>
  <c r="F708" i="2"/>
  <c r="L708" i="2"/>
  <c r="K708" i="2" s="1"/>
  <c r="J742" i="2"/>
  <c r="I742" i="2"/>
  <c r="N742" i="2"/>
  <c r="M742" i="2"/>
  <c r="L742" i="2"/>
  <c r="K742" i="2" s="1"/>
  <c r="H742" i="2"/>
  <c r="E742" i="2"/>
  <c r="D742" i="2"/>
  <c r="G742" i="2"/>
  <c r="F742" i="2"/>
  <c r="P742" i="2"/>
  <c r="O742" i="2"/>
  <c r="C742" i="2"/>
  <c r="A742" i="2"/>
  <c r="Q742" i="2"/>
  <c r="N677" i="2"/>
  <c r="M677" i="2"/>
  <c r="A677" i="2"/>
  <c r="E677" i="2"/>
  <c r="C677" i="2"/>
  <c r="Q677" i="2"/>
  <c r="H677" i="2"/>
  <c r="G677" i="2"/>
  <c r="D677" i="2"/>
  <c r="P677" i="2"/>
  <c r="O677" i="2"/>
  <c r="L677" i="2"/>
  <c r="K677" i="2" s="1"/>
  <c r="I677" i="2"/>
  <c r="F677" i="2"/>
  <c r="J677" i="2"/>
  <c r="P87" i="2"/>
  <c r="D87" i="2"/>
  <c r="L87" i="2"/>
  <c r="K87" i="2" s="1"/>
  <c r="J87" i="2"/>
  <c r="I87" i="2"/>
  <c r="H87" i="2"/>
  <c r="G87" i="2"/>
  <c r="F87" i="2"/>
  <c r="E87" i="2"/>
  <c r="C87" i="2"/>
  <c r="Q87" i="2"/>
  <c r="O87" i="2"/>
  <c r="N87" i="2"/>
  <c r="M87" i="2"/>
  <c r="A87" i="2"/>
  <c r="I52" i="2"/>
  <c r="H52" i="2"/>
  <c r="G52" i="2"/>
  <c r="F52" i="2"/>
  <c r="Q52" i="2"/>
  <c r="E52" i="2"/>
  <c r="P52" i="2"/>
  <c r="D52" i="2"/>
  <c r="O52" i="2"/>
  <c r="C52" i="2"/>
  <c r="N52" i="2"/>
  <c r="J52" i="2"/>
  <c r="A52" i="2"/>
  <c r="M52" i="2"/>
  <c r="L52" i="2"/>
  <c r="K52" i="2" s="1"/>
  <c r="H21" i="2"/>
  <c r="G21" i="2"/>
  <c r="F21" i="2"/>
  <c r="Q21" i="2"/>
  <c r="E21" i="2"/>
  <c r="P21" i="2"/>
  <c r="D21" i="2"/>
  <c r="O21" i="2"/>
  <c r="C21" i="2"/>
  <c r="N21" i="2"/>
  <c r="M21" i="2"/>
  <c r="A21" i="2"/>
  <c r="L21" i="2"/>
  <c r="K21" i="2" s="1"/>
  <c r="J21" i="2"/>
  <c r="I21" i="2"/>
  <c r="F2" i="2"/>
  <c r="Q2" i="2"/>
  <c r="E2" i="2"/>
  <c r="P2" i="2"/>
  <c r="D2" i="2"/>
  <c r="O2" i="2"/>
  <c r="C2" i="2"/>
  <c r="N2" i="2"/>
  <c r="M2" i="2"/>
  <c r="A2" i="2"/>
  <c r="L2" i="2"/>
  <c r="H2" i="2"/>
  <c r="G2" i="2"/>
  <c r="H203" i="2"/>
  <c r="L203" i="2"/>
  <c r="K203" i="2" s="1"/>
  <c r="J203" i="2"/>
  <c r="I203" i="2"/>
  <c r="G203" i="2"/>
  <c r="E203" i="2"/>
  <c r="Q203" i="2"/>
  <c r="D203" i="2"/>
  <c r="P203" i="2"/>
  <c r="C203" i="2"/>
  <c r="O203" i="2"/>
  <c r="N203" i="2"/>
  <c r="M203" i="2"/>
  <c r="F203" i="2"/>
  <c r="A203" i="2"/>
  <c r="I122" i="2"/>
  <c r="Q122" i="2"/>
  <c r="E122" i="2"/>
  <c r="G122" i="2"/>
  <c r="F122" i="2"/>
  <c r="D122" i="2"/>
  <c r="C122" i="2"/>
  <c r="P122" i="2"/>
  <c r="O122" i="2"/>
  <c r="A122" i="2"/>
  <c r="N122" i="2"/>
  <c r="M122" i="2"/>
  <c r="L122" i="2"/>
  <c r="K122" i="2" s="1"/>
  <c r="J122" i="2"/>
  <c r="H122" i="2"/>
  <c r="Q48" i="2"/>
  <c r="E48" i="2"/>
  <c r="P48" i="2"/>
  <c r="D48" i="2"/>
  <c r="O48" i="2"/>
  <c r="C48" i="2"/>
  <c r="N48" i="2"/>
  <c r="M48" i="2"/>
  <c r="A48" i="2"/>
  <c r="L48" i="2"/>
  <c r="K48" i="2" s="1"/>
  <c r="J48" i="2"/>
  <c r="G48" i="2"/>
  <c r="F48" i="2"/>
  <c r="I48" i="2"/>
  <c r="H48" i="2"/>
  <c r="P29" i="2"/>
  <c r="D29" i="2"/>
  <c r="O29" i="2"/>
  <c r="C29" i="2"/>
  <c r="N29" i="2"/>
  <c r="M29" i="2"/>
  <c r="A29" i="2"/>
  <c r="L29" i="2"/>
  <c r="K29" i="2" s="1"/>
  <c r="J29" i="2"/>
  <c r="I29" i="2"/>
  <c r="F29" i="2"/>
  <c r="E29" i="2"/>
  <c r="Q29" i="2"/>
  <c r="H29" i="2"/>
  <c r="G29" i="2"/>
  <c r="O22" i="2"/>
  <c r="C22" i="2"/>
  <c r="N22" i="2"/>
  <c r="M22" i="2"/>
  <c r="A22" i="2"/>
  <c r="L22" i="2"/>
  <c r="K22" i="2" s="1"/>
  <c r="J22" i="2"/>
  <c r="I22" i="2"/>
  <c r="H22" i="2"/>
  <c r="Q22" i="2"/>
  <c r="P22" i="2"/>
  <c r="G22" i="2"/>
  <c r="F22" i="2"/>
  <c r="E22" i="2"/>
  <c r="D22" i="2"/>
  <c r="O251" i="2"/>
  <c r="C251" i="2"/>
  <c r="I251" i="2"/>
  <c r="G251" i="2"/>
  <c r="E251" i="2"/>
  <c r="D251" i="2"/>
  <c r="Q251" i="2"/>
  <c r="P251" i="2"/>
  <c r="N251" i="2"/>
  <c r="M251" i="2"/>
  <c r="J251" i="2"/>
  <c r="H251" i="2"/>
  <c r="F251" i="2"/>
  <c r="L251" i="2"/>
  <c r="K251" i="2" s="1"/>
  <c r="A251" i="2"/>
  <c r="O204" i="2"/>
  <c r="C204" i="2"/>
  <c r="H204" i="2"/>
  <c r="G204" i="2"/>
  <c r="F204" i="2"/>
  <c r="E204" i="2"/>
  <c r="Q204" i="2"/>
  <c r="D204" i="2"/>
  <c r="N204" i="2"/>
  <c r="A204" i="2"/>
  <c r="M204" i="2"/>
  <c r="L204" i="2"/>
  <c r="K204" i="2" s="1"/>
  <c r="P204" i="2"/>
  <c r="J204" i="2"/>
  <c r="I204" i="2"/>
  <c r="H290" i="2"/>
  <c r="I290" i="2"/>
  <c r="Q290" i="2"/>
  <c r="D290" i="2"/>
  <c r="G290" i="2"/>
  <c r="O290" i="2"/>
  <c r="N290" i="2"/>
  <c r="L290" i="2"/>
  <c r="K290" i="2" s="1"/>
  <c r="J290" i="2"/>
  <c r="F290" i="2"/>
  <c r="E290" i="2"/>
  <c r="M290" i="2"/>
  <c r="C290" i="2"/>
  <c r="P290" i="2"/>
  <c r="A290" i="2"/>
  <c r="O279" i="2"/>
  <c r="C279" i="2"/>
  <c r="L279" i="2"/>
  <c r="K279" i="2" s="1"/>
  <c r="H279" i="2"/>
  <c r="I279" i="2"/>
  <c r="F279" i="2"/>
  <c r="N279" i="2"/>
  <c r="M279" i="2"/>
  <c r="J279" i="2"/>
  <c r="G279" i="2"/>
  <c r="E279" i="2"/>
  <c r="D279" i="2"/>
  <c r="Q279" i="2"/>
  <c r="A279" i="2"/>
  <c r="P279" i="2"/>
  <c r="G255" i="2"/>
  <c r="O255" i="2"/>
  <c r="C255" i="2"/>
  <c r="M255" i="2"/>
  <c r="F255" i="2"/>
  <c r="E255" i="2"/>
  <c r="N255" i="2"/>
  <c r="L255" i="2"/>
  <c r="K255" i="2" s="1"/>
  <c r="J255" i="2"/>
  <c r="I255" i="2"/>
  <c r="H255" i="2"/>
  <c r="A255" i="2"/>
  <c r="D255" i="2"/>
  <c r="Q255" i="2"/>
  <c r="P255" i="2"/>
  <c r="H191" i="2"/>
  <c r="F191" i="2"/>
  <c r="E191" i="2"/>
  <c r="Q191" i="2"/>
  <c r="D191" i="2"/>
  <c r="P191" i="2"/>
  <c r="C191" i="2"/>
  <c r="O191" i="2"/>
  <c r="M191" i="2"/>
  <c r="L191" i="2"/>
  <c r="K191" i="2" s="1"/>
  <c r="N191" i="2"/>
  <c r="J191" i="2"/>
  <c r="I191" i="2"/>
  <c r="G191" i="2"/>
  <c r="A191" i="2"/>
  <c r="G259" i="2"/>
  <c r="L259" i="2"/>
  <c r="K259" i="2" s="1"/>
  <c r="H259" i="2"/>
  <c r="C259" i="2"/>
  <c r="P259" i="2"/>
  <c r="A259" i="2"/>
  <c r="N259" i="2"/>
  <c r="I259" i="2"/>
  <c r="F259" i="2"/>
  <c r="J259" i="2"/>
  <c r="E259" i="2"/>
  <c r="D259" i="2"/>
  <c r="Q259" i="2"/>
  <c r="O259" i="2"/>
  <c r="M259" i="2"/>
  <c r="F300" i="2"/>
  <c r="I300" i="2"/>
  <c r="Q300" i="2"/>
  <c r="D300" i="2"/>
  <c r="M300" i="2"/>
  <c r="O300" i="2"/>
  <c r="N300" i="2"/>
  <c r="J300" i="2"/>
  <c r="H300" i="2"/>
  <c r="G300" i="2"/>
  <c r="E300" i="2"/>
  <c r="C300" i="2"/>
  <c r="P300" i="2"/>
  <c r="L300" i="2"/>
  <c r="K300" i="2" s="1"/>
  <c r="A300" i="2"/>
  <c r="N109" i="2"/>
  <c r="J109" i="2"/>
  <c r="L109" i="2"/>
  <c r="K109" i="2" s="1"/>
  <c r="I109" i="2"/>
  <c r="H109" i="2"/>
  <c r="G109" i="2"/>
  <c r="F109" i="2"/>
  <c r="E109" i="2"/>
  <c r="D109" i="2"/>
  <c r="Q109" i="2"/>
  <c r="C109" i="2"/>
  <c r="P109" i="2"/>
  <c r="O109" i="2"/>
  <c r="M109" i="2"/>
  <c r="A109" i="2"/>
  <c r="F264" i="2"/>
  <c r="E264" i="2"/>
  <c r="N264" i="2"/>
  <c r="A264" i="2"/>
  <c r="L264" i="2"/>
  <c r="K264" i="2" s="1"/>
  <c r="J264" i="2"/>
  <c r="D264" i="2"/>
  <c r="Q264" i="2"/>
  <c r="P264" i="2"/>
  <c r="M264" i="2"/>
  <c r="I264" i="2"/>
  <c r="O264" i="2"/>
  <c r="H264" i="2"/>
  <c r="G264" i="2"/>
  <c r="C264" i="2"/>
  <c r="I375" i="2"/>
  <c r="E375" i="2"/>
  <c r="O375" i="2"/>
  <c r="N375" i="2"/>
  <c r="L375" i="2"/>
  <c r="K375" i="2" s="1"/>
  <c r="J375" i="2"/>
  <c r="G375" i="2"/>
  <c r="F375" i="2"/>
  <c r="H375" i="2"/>
  <c r="Q375" i="2"/>
  <c r="M375" i="2"/>
  <c r="D375" i="2"/>
  <c r="C375" i="2"/>
  <c r="A375" i="2"/>
  <c r="P375" i="2"/>
  <c r="P386" i="2"/>
  <c r="D386" i="2"/>
  <c r="F386" i="2"/>
  <c r="N386" i="2"/>
  <c r="A386" i="2"/>
  <c r="Q386" i="2"/>
  <c r="O386" i="2"/>
  <c r="L386" i="2"/>
  <c r="K386" i="2" s="1"/>
  <c r="I386" i="2"/>
  <c r="H386" i="2"/>
  <c r="M386" i="2"/>
  <c r="J386" i="2"/>
  <c r="G386" i="2"/>
  <c r="E386" i="2"/>
  <c r="C386" i="2"/>
  <c r="O315" i="2"/>
  <c r="C315" i="2"/>
  <c r="H315" i="2"/>
  <c r="D315" i="2"/>
  <c r="A315" i="2"/>
  <c r="P315" i="2"/>
  <c r="N315" i="2"/>
  <c r="M315" i="2"/>
  <c r="J315" i="2"/>
  <c r="G315" i="2"/>
  <c r="Q315" i="2"/>
  <c r="L315" i="2"/>
  <c r="K315" i="2" s="1"/>
  <c r="I315" i="2"/>
  <c r="F315" i="2"/>
  <c r="E315" i="2"/>
  <c r="L234" i="2"/>
  <c r="K234" i="2" s="1"/>
  <c r="Q234" i="2"/>
  <c r="D234" i="2"/>
  <c r="O234" i="2"/>
  <c r="F234" i="2"/>
  <c r="E234" i="2"/>
  <c r="P234" i="2"/>
  <c r="N234" i="2"/>
  <c r="M234" i="2"/>
  <c r="I234" i="2"/>
  <c r="H234" i="2"/>
  <c r="G234" i="2"/>
  <c r="J234" i="2"/>
  <c r="C234" i="2"/>
  <c r="A234" i="2"/>
  <c r="G431" i="2"/>
  <c r="O431" i="2"/>
  <c r="C431" i="2"/>
  <c r="N431" i="2"/>
  <c r="J431" i="2"/>
  <c r="H431" i="2"/>
  <c r="F431" i="2"/>
  <c r="Q431" i="2"/>
  <c r="P431" i="2"/>
  <c r="L431" i="2"/>
  <c r="K431" i="2" s="1"/>
  <c r="I431" i="2"/>
  <c r="M431" i="2"/>
  <c r="D431" i="2"/>
  <c r="A431" i="2"/>
  <c r="E431" i="2"/>
  <c r="Q489" i="2"/>
  <c r="E489" i="2"/>
  <c r="M489" i="2"/>
  <c r="A489" i="2"/>
  <c r="H489" i="2"/>
  <c r="F489" i="2"/>
  <c r="D489" i="2"/>
  <c r="C489" i="2"/>
  <c r="O489" i="2"/>
  <c r="N489" i="2"/>
  <c r="P489" i="2"/>
  <c r="L489" i="2"/>
  <c r="K489" i="2" s="1"/>
  <c r="I489" i="2"/>
  <c r="G489" i="2"/>
  <c r="J489" i="2"/>
  <c r="L418" i="2"/>
  <c r="K418" i="2" s="1"/>
  <c r="H418" i="2"/>
  <c r="G418" i="2"/>
  <c r="E418" i="2"/>
  <c r="Q418" i="2"/>
  <c r="D418" i="2"/>
  <c r="P418" i="2"/>
  <c r="O418" i="2"/>
  <c r="M418" i="2"/>
  <c r="J418" i="2"/>
  <c r="F418" i="2"/>
  <c r="C418" i="2"/>
  <c r="N418" i="2"/>
  <c r="I418" i="2"/>
  <c r="A418" i="2"/>
  <c r="G435" i="2"/>
  <c r="D435" i="2"/>
  <c r="O435" i="2"/>
  <c r="A435" i="2"/>
  <c r="N435" i="2"/>
  <c r="L435" i="2"/>
  <c r="K435" i="2" s="1"/>
  <c r="J435" i="2"/>
  <c r="E435" i="2"/>
  <c r="C435" i="2"/>
  <c r="Q435" i="2"/>
  <c r="P435" i="2"/>
  <c r="M435" i="2"/>
  <c r="I435" i="2"/>
  <c r="F435" i="2"/>
  <c r="H435" i="2"/>
  <c r="L342" i="2"/>
  <c r="H342" i="2"/>
  <c r="J342" i="2"/>
  <c r="I342" i="2"/>
  <c r="F342" i="2"/>
  <c r="E342" i="2"/>
  <c r="Q342" i="2"/>
  <c r="C342" i="2"/>
  <c r="P342" i="2"/>
  <c r="D342" i="2"/>
  <c r="O342" i="2"/>
  <c r="N342" i="2"/>
  <c r="K342" i="2"/>
  <c r="A342" i="2"/>
  <c r="G342" i="2"/>
  <c r="M342" i="2"/>
  <c r="O391" i="2"/>
  <c r="C391" i="2"/>
  <c r="L391" i="2"/>
  <c r="H391" i="2"/>
  <c r="J391" i="2"/>
  <c r="I391" i="2"/>
  <c r="F391" i="2"/>
  <c r="E391" i="2"/>
  <c r="Q391" i="2"/>
  <c r="A391" i="2"/>
  <c r="G391" i="2"/>
  <c r="P391" i="2"/>
  <c r="N391" i="2"/>
  <c r="M391" i="2"/>
  <c r="K391" i="2"/>
  <c r="D391" i="2"/>
  <c r="J304" i="2"/>
  <c r="F304" i="2"/>
  <c r="O304" i="2"/>
  <c r="H304" i="2"/>
  <c r="E304" i="2"/>
  <c r="C304" i="2"/>
  <c r="A304" i="2"/>
  <c r="Q304" i="2"/>
  <c r="P304" i="2"/>
  <c r="N304" i="2"/>
  <c r="M304" i="2"/>
  <c r="L304" i="2"/>
  <c r="K304" i="2" s="1"/>
  <c r="I304" i="2"/>
  <c r="G304" i="2"/>
  <c r="D304" i="2"/>
  <c r="G527" i="2"/>
  <c r="F527" i="2"/>
  <c r="P527" i="2"/>
  <c r="D527" i="2"/>
  <c r="O527" i="2"/>
  <c r="C527" i="2"/>
  <c r="M527" i="2"/>
  <c r="A527" i="2"/>
  <c r="L527" i="2"/>
  <c r="K527" i="2" s="1"/>
  <c r="Q527" i="2"/>
  <c r="N527" i="2"/>
  <c r="I527" i="2"/>
  <c r="H527" i="2"/>
  <c r="J527" i="2"/>
  <c r="E527" i="2"/>
  <c r="M411" i="2"/>
  <c r="I411" i="2"/>
  <c r="H411" i="2"/>
  <c r="E411" i="2"/>
  <c r="C411" i="2"/>
  <c r="Q411" i="2"/>
  <c r="P411" i="2"/>
  <c r="N411" i="2"/>
  <c r="L411" i="2"/>
  <c r="K411" i="2" s="1"/>
  <c r="J411" i="2"/>
  <c r="G411" i="2"/>
  <c r="D411" i="2"/>
  <c r="A411" i="2"/>
  <c r="O411" i="2"/>
  <c r="F411" i="2"/>
  <c r="I345" i="2"/>
  <c r="Q345" i="2"/>
  <c r="E345" i="2"/>
  <c r="P345" i="2"/>
  <c r="O345" i="2"/>
  <c r="A345" i="2"/>
  <c r="M345" i="2"/>
  <c r="L345" i="2"/>
  <c r="K345" i="2" s="1"/>
  <c r="J345" i="2"/>
  <c r="H345" i="2"/>
  <c r="D345" i="2"/>
  <c r="N345" i="2"/>
  <c r="G345" i="2"/>
  <c r="F345" i="2"/>
  <c r="C345" i="2"/>
  <c r="O415" i="2"/>
  <c r="C415" i="2"/>
  <c r="J415" i="2"/>
  <c r="G415" i="2"/>
  <c r="F415" i="2"/>
  <c r="Q415" i="2"/>
  <c r="D415" i="2"/>
  <c r="P415" i="2"/>
  <c r="N415" i="2"/>
  <c r="L415" i="2"/>
  <c r="K415" i="2" s="1"/>
  <c r="M415" i="2"/>
  <c r="I415" i="2"/>
  <c r="H415" i="2"/>
  <c r="E415" i="2"/>
  <c r="A415" i="2"/>
  <c r="G483" i="2"/>
  <c r="I483" i="2"/>
  <c r="F483" i="2"/>
  <c r="E483" i="2"/>
  <c r="D483" i="2"/>
  <c r="P483" i="2"/>
  <c r="O483" i="2"/>
  <c r="A483" i="2"/>
  <c r="J483" i="2"/>
  <c r="H483" i="2"/>
  <c r="C483" i="2"/>
  <c r="M483" i="2"/>
  <c r="L483" i="2"/>
  <c r="K483" i="2" s="1"/>
  <c r="Q483" i="2"/>
  <c r="N483" i="2"/>
  <c r="O379" i="2"/>
  <c r="C379" i="2"/>
  <c r="G379" i="2"/>
  <c r="P379" i="2"/>
  <c r="J379" i="2"/>
  <c r="I379" i="2"/>
  <c r="F379" i="2"/>
  <c r="E379" i="2"/>
  <c r="A379" i="2"/>
  <c r="Q379" i="2"/>
  <c r="H379" i="2"/>
  <c r="D379" i="2"/>
  <c r="N379" i="2"/>
  <c r="M379" i="2"/>
  <c r="L379" i="2"/>
  <c r="K379" i="2" s="1"/>
  <c r="J611" i="2"/>
  <c r="L611" i="2"/>
  <c r="K611" i="2" s="1"/>
  <c r="G611" i="2"/>
  <c r="D611" i="2"/>
  <c r="C611" i="2"/>
  <c r="P611" i="2"/>
  <c r="A611" i="2"/>
  <c r="O611" i="2"/>
  <c r="M611" i="2"/>
  <c r="I611" i="2"/>
  <c r="Q611" i="2"/>
  <c r="N611" i="2"/>
  <c r="H611" i="2"/>
  <c r="F611" i="2"/>
  <c r="E611" i="2"/>
  <c r="G547" i="2"/>
  <c r="N547" i="2"/>
  <c r="M547" i="2"/>
  <c r="L547" i="2"/>
  <c r="K547" i="2" s="1"/>
  <c r="J547" i="2"/>
  <c r="I547" i="2"/>
  <c r="F547" i="2"/>
  <c r="E547" i="2"/>
  <c r="D547" i="2"/>
  <c r="H547" i="2"/>
  <c r="A547" i="2"/>
  <c r="O547" i="2"/>
  <c r="C547" i="2"/>
  <c r="Q547" i="2"/>
  <c r="P547" i="2"/>
  <c r="O387" i="2"/>
  <c r="J387" i="2"/>
  <c r="P387" i="2"/>
  <c r="N387" i="2"/>
  <c r="L387" i="2"/>
  <c r="K387" i="2" s="1"/>
  <c r="I387" i="2"/>
  <c r="G387" i="2"/>
  <c r="F387" i="2"/>
  <c r="C387" i="2"/>
  <c r="Q387" i="2"/>
  <c r="M387" i="2"/>
  <c r="H387" i="2"/>
  <c r="E387" i="2"/>
  <c r="D387" i="2"/>
  <c r="A387" i="2"/>
  <c r="I517" i="2"/>
  <c r="H517" i="2"/>
  <c r="F517" i="2"/>
  <c r="Q517" i="2"/>
  <c r="E517" i="2"/>
  <c r="O517" i="2"/>
  <c r="C517" i="2"/>
  <c r="N517" i="2"/>
  <c r="M517" i="2"/>
  <c r="A517" i="2"/>
  <c r="P517" i="2"/>
  <c r="L517" i="2"/>
  <c r="K517" i="2" s="1"/>
  <c r="G517" i="2"/>
  <c r="D517" i="2"/>
  <c r="J517" i="2"/>
  <c r="M620" i="2"/>
  <c r="A620" i="2"/>
  <c r="P620" i="2"/>
  <c r="C620" i="2"/>
  <c r="H620" i="2"/>
  <c r="G620" i="2"/>
  <c r="E620" i="2"/>
  <c r="D620" i="2"/>
  <c r="Q620" i="2"/>
  <c r="O620" i="2"/>
  <c r="N620" i="2"/>
  <c r="L620" i="2"/>
  <c r="K620" i="2" s="1"/>
  <c r="J620" i="2"/>
  <c r="I620" i="2"/>
  <c r="F620" i="2"/>
  <c r="N408" i="2"/>
  <c r="H408" i="2"/>
  <c r="G408" i="2"/>
  <c r="Q408" i="2"/>
  <c r="D408" i="2"/>
  <c r="O408" i="2"/>
  <c r="M408" i="2"/>
  <c r="J408" i="2"/>
  <c r="I408" i="2"/>
  <c r="E408" i="2"/>
  <c r="C408" i="2"/>
  <c r="P408" i="2"/>
  <c r="L408" i="2"/>
  <c r="K408" i="2" s="1"/>
  <c r="F408" i="2"/>
  <c r="A408" i="2"/>
  <c r="P605" i="2"/>
  <c r="D605" i="2"/>
  <c r="I605" i="2"/>
  <c r="E605" i="2"/>
  <c r="L605" i="2"/>
  <c r="K605" i="2" s="1"/>
  <c r="H605" i="2"/>
  <c r="G605" i="2"/>
  <c r="C605" i="2"/>
  <c r="Q605" i="2"/>
  <c r="A605" i="2"/>
  <c r="F605" i="2"/>
  <c r="O605" i="2"/>
  <c r="M605" i="2"/>
  <c r="J605" i="2"/>
  <c r="N605" i="2"/>
  <c r="F577" i="2"/>
  <c r="E577" i="2"/>
  <c r="Q577" i="2"/>
  <c r="D577" i="2"/>
  <c r="O577" i="2"/>
  <c r="N577" i="2"/>
  <c r="A577" i="2"/>
  <c r="P577" i="2"/>
  <c r="M577" i="2"/>
  <c r="L577" i="2"/>
  <c r="K577" i="2" s="1"/>
  <c r="J577" i="2"/>
  <c r="H577" i="2"/>
  <c r="G577" i="2"/>
  <c r="C577" i="2"/>
  <c r="I577" i="2"/>
  <c r="Q650" i="2"/>
  <c r="E650" i="2"/>
  <c r="P650" i="2"/>
  <c r="C650" i="2"/>
  <c r="J650" i="2"/>
  <c r="H650" i="2"/>
  <c r="G650" i="2"/>
  <c r="D650" i="2"/>
  <c r="O650" i="2"/>
  <c r="A650" i="2"/>
  <c r="N650" i="2"/>
  <c r="M650" i="2"/>
  <c r="L650" i="2"/>
  <c r="K650" i="2" s="1"/>
  <c r="I650" i="2"/>
  <c r="F650" i="2"/>
  <c r="H671" i="2"/>
  <c r="M671" i="2"/>
  <c r="J671" i="2"/>
  <c r="C671" i="2"/>
  <c r="P671" i="2"/>
  <c r="O671" i="2"/>
  <c r="L671" i="2"/>
  <c r="K671" i="2" s="1"/>
  <c r="I671" i="2"/>
  <c r="G671" i="2"/>
  <c r="N671" i="2"/>
  <c r="F671" i="2"/>
  <c r="E671" i="2"/>
  <c r="Q671" i="2"/>
  <c r="A671" i="2"/>
  <c r="D671" i="2"/>
  <c r="H757" i="2"/>
  <c r="G757" i="2"/>
  <c r="F757" i="2"/>
  <c r="Q757" i="2"/>
  <c r="N757" i="2"/>
  <c r="M757" i="2"/>
  <c r="L757" i="2"/>
  <c r="K757" i="2" s="1"/>
  <c r="E757" i="2"/>
  <c r="D757" i="2"/>
  <c r="J757" i="2"/>
  <c r="I757" i="2"/>
  <c r="P757" i="2"/>
  <c r="O757" i="2"/>
  <c r="C757" i="2"/>
  <c r="A757" i="2"/>
  <c r="L63" i="2"/>
  <c r="K63" i="2" s="1"/>
  <c r="I63" i="2"/>
  <c r="H63" i="2"/>
  <c r="G63" i="2"/>
  <c r="F63" i="2"/>
  <c r="E63" i="2"/>
  <c r="Q63" i="2"/>
  <c r="D63" i="2"/>
  <c r="P63" i="2"/>
  <c r="C63" i="2"/>
  <c r="O63" i="2"/>
  <c r="N63" i="2"/>
  <c r="A63" i="2"/>
  <c r="M63" i="2"/>
  <c r="J63" i="2"/>
  <c r="G14" i="2"/>
  <c r="F14" i="2"/>
  <c r="Q14" i="2"/>
  <c r="E14" i="2"/>
  <c r="P14" i="2"/>
  <c r="D14" i="2"/>
  <c r="O14" i="2"/>
  <c r="C14" i="2"/>
  <c r="N14" i="2"/>
  <c r="M14" i="2"/>
  <c r="A14" i="2"/>
  <c r="L14" i="2"/>
  <c r="K14" i="2" s="1"/>
  <c r="I14" i="2"/>
  <c r="H14" i="2"/>
  <c r="J14" i="2"/>
  <c r="G144" i="2"/>
  <c r="O144" i="2"/>
  <c r="C144" i="2"/>
  <c r="H144" i="2"/>
  <c r="F144" i="2"/>
  <c r="E144" i="2"/>
  <c r="D144" i="2"/>
  <c r="Q144" i="2"/>
  <c r="P144" i="2"/>
  <c r="A144" i="2"/>
  <c r="N144" i="2"/>
  <c r="M144" i="2"/>
  <c r="L144" i="2"/>
  <c r="K144" i="2" s="1"/>
  <c r="J144" i="2"/>
  <c r="I144" i="2"/>
  <c r="P41" i="2"/>
  <c r="D41" i="2"/>
  <c r="O41" i="2"/>
  <c r="C41" i="2"/>
  <c r="N41" i="2"/>
  <c r="M41" i="2"/>
  <c r="A41" i="2"/>
  <c r="L41" i="2"/>
  <c r="K41" i="2" s="1"/>
  <c r="J41" i="2"/>
  <c r="I41" i="2"/>
  <c r="Q41" i="2"/>
  <c r="H41" i="2"/>
  <c r="G41" i="2"/>
  <c r="F41" i="2"/>
  <c r="E41" i="2"/>
  <c r="Q281" i="2"/>
  <c r="E281" i="2"/>
  <c r="D281" i="2"/>
  <c r="M281" i="2"/>
  <c r="G281" i="2"/>
  <c r="C281" i="2"/>
  <c r="P281" i="2"/>
  <c r="O281" i="2"/>
  <c r="L281" i="2"/>
  <c r="K281" i="2" s="1"/>
  <c r="J281" i="2"/>
  <c r="I281" i="2"/>
  <c r="N281" i="2"/>
  <c r="H281" i="2"/>
  <c r="F281" i="2"/>
  <c r="A281" i="2"/>
  <c r="M299" i="2"/>
  <c r="H299" i="2"/>
  <c r="O299" i="2"/>
  <c r="L299" i="2"/>
  <c r="K299" i="2" s="1"/>
  <c r="N299" i="2"/>
  <c r="J299" i="2"/>
  <c r="G299" i="2"/>
  <c r="F299" i="2"/>
  <c r="E299" i="2"/>
  <c r="D299" i="2"/>
  <c r="Q299" i="2"/>
  <c r="I299" i="2"/>
  <c r="C299" i="2"/>
  <c r="P299" i="2"/>
  <c r="A299" i="2"/>
  <c r="N65" i="2"/>
  <c r="O65" i="2"/>
  <c r="A65" i="2"/>
  <c r="M65" i="2"/>
  <c r="L65" i="2"/>
  <c r="K65" i="2" s="1"/>
  <c r="J65" i="2"/>
  <c r="I65" i="2"/>
  <c r="H65" i="2"/>
  <c r="G65" i="2"/>
  <c r="F65" i="2"/>
  <c r="Q65" i="2"/>
  <c r="P65" i="2"/>
  <c r="E65" i="2"/>
  <c r="D65" i="2"/>
  <c r="C65" i="2"/>
  <c r="O291" i="2"/>
  <c r="C291" i="2"/>
  <c r="E291" i="2"/>
  <c r="M291" i="2"/>
  <c r="I291" i="2"/>
  <c r="G291" i="2"/>
  <c r="Q291" i="2"/>
  <c r="P291" i="2"/>
  <c r="L291" i="2"/>
  <c r="K291" i="2" s="1"/>
  <c r="J291" i="2"/>
  <c r="H291" i="2"/>
  <c r="N291" i="2"/>
  <c r="F291" i="2"/>
  <c r="D291" i="2"/>
  <c r="A291" i="2"/>
  <c r="N121" i="2"/>
  <c r="J121" i="2"/>
  <c r="I121" i="2"/>
  <c r="H121" i="2"/>
  <c r="G121" i="2"/>
  <c r="F121" i="2"/>
  <c r="E121" i="2"/>
  <c r="D121" i="2"/>
  <c r="Q121" i="2"/>
  <c r="C121" i="2"/>
  <c r="P121" i="2"/>
  <c r="A121" i="2"/>
  <c r="O121" i="2"/>
  <c r="M121" i="2"/>
  <c r="L121" i="2"/>
  <c r="K121" i="2" s="1"/>
  <c r="M437" i="2"/>
  <c r="A437" i="2"/>
  <c r="I437" i="2"/>
  <c r="N437" i="2"/>
  <c r="J437" i="2"/>
  <c r="H437" i="2"/>
  <c r="F437" i="2"/>
  <c r="E437" i="2"/>
  <c r="Q437" i="2"/>
  <c r="O437" i="2"/>
  <c r="L437" i="2"/>
  <c r="K437" i="2" s="1"/>
  <c r="G437" i="2"/>
  <c r="D437" i="2"/>
  <c r="P437" i="2"/>
  <c r="C437" i="2"/>
  <c r="J340" i="2"/>
  <c r="F340" i="2"/>
  <c r="O340" i="2"/>
  <c r="A340" i="2"/>
  <c r="N340" i="2"/>
  <c r="L340" i="2"/>
  <c r="K340" i="2" s="1"/>
  <c r="H340" i="2"/>
  <c r="I340" i="2"/>
  <c r="Q340" i="2"/>
  <c r="M340" i="2"/>
  <c r="E340" i="2"/>
  <c r="P340" i="2"/>
  <c r="G340" i="2"/>
  <c r="D340" i="2"/>
  <c r="C340" i="2"/>
  <c r="Q533" i="2"/>
  <c r="E533" i="2"/>
  <c r="H533" i="2"/>
  <c r="G533" i="2"/>
  <c r="D533" i="2"/>
  <c r="P533" i="2"/>
  <c r="C533" i="2"/>
  <c r="N533" i="2"/>
  <c r="A533" i="2"/>
  <c r="M533" i="2"/>
  <c r="L533" i="2"/>
  <c r="K533" i="2" s="1"/>
  <c r="O533" i="2"/>
  <c r="J533" i="2"/>
  <c r="I533" i="2"/>
  <c r="F533" i="2"/>
  <c r="P558" i="2"/>
  <c r="D558" i="2"/>
  <c r="L558" i="2"/>
  <c r="K558" i="2" s="1"/>
  <c r="N558" i="2"/>
  <c r="M558" i="2"/>
  <c r="J558" i="2"/>
  <c r="I558" i="2"/>
  <c r="G558" i="2"/>
  <c r="F558" i="2"/>
  <c r="E558" i="2"/>
  <c r="Q558" i="2"/>
  <c r="O558" i="2"/>
  <c r="A558" i="2"/>
  <c r="H558" i="2"/>
  <c r="C558" i="2"/>
  <c r="Q353" i="2"/>
  <c r="E353" i="2"/>
  <c r="M353" i="2"/>
  <c r="A353" i="2"/>
  <c r="J353" i="2"/>
  <c r="I353" i="2"/>
  <c r="G353" i="2"/>
  <c r="F353" i="2"/>
  <c r="C353" i="2"/>
  <c r="P353" i="2"/>
  <c r="O353" i="2"/>
  <c r="N353" i="2"/>
  <c r="D353" i="2"/>
  <c r="H353" i="2"/>
  <c r="L353" i="2"/>
  <c r="K353" i="2" s="1"/>
  <c r="I321" i="2"/>
  <c r="Q321" i="2"/>
  <c r="E321" i="2"/>
  <c r="G321" i="2"/>
  <c r="P321" i="2"/>
  <c r="C321" i="2"/>
  <c r="O321" i="2"/>
  <c r="N321" i="2"/>
  <c r="L321" i="2"/>
  <c r="K321" i="2" s="1"/>
  <c r="J321" i="2"/>
  <c r="D321" i="2"/>
  <c r="A321" i="2"/>
  <c r="M321" i="2"/>
  <c r="H321" i="2"/>
  <c r="F321" i="2"/>
  <c r="J428" i="2"/>
  <c r="L428" i="2"/>
  <c r="H428" i="2"/>
  <c r="G428" i="2"/>
  <c r="E428" i="2"/>
  <c r="Q428" i="2"/>
  <c r="D428" i="2"/>
  <c r="C428" i="2"/>
  <c r="O428" i="2"/>
  <c r="N428" i="2"/>
  <c r="P428" i="2"/>
  <c r="A428" i="2"/>
  <c r="M428" i="2"/>
  <c r="K428" i="2"/>
  <c r="I428" i="2"/>
  <c r="F428" i="2"/>
  <c r="H438" i="2"/>
  <c r="P438" i="2"/>
  <c r="D438" i="2"/>
  <c r="G438" i="2"/>
  <c r="F438" i="2"/>
  <c r="C438" i="2"/>
  <c r="Q438" i="2"/>
  <c r="A438" i="2"/>
  <c r="N438" i="2"/>
  <c r="M438" i="2"/>
  <c r="L438" i="2"/>
  <c r="K438" i="2" s="1"/>
  <c r="J438" i="2"/>
  <c r="E438" i="2"/>
  <c r="I438" i="2"/>
  <c r="O438" i="2"/>
  <c r="L406" i="2"/>
  <c r="K406" i="2" s="1"/>
  <c r="F406" i="2"/>
  <c r="P406" i="2"/>
  <c r="C406" i="2"/>
  <c r="O406" i="2"/>
  <c r="I406" i="2"/>
  <c r="H406" i="2"/>
  <c r="E406" i="2"/>
  <c r="D406" i="2"/>
  <c r="Q406" i="2"/>
  <c r="N406" i="2"/>
  <c r="J406" i="2"/>
  <c r="G406" i="2"/>
  <c r="A406" i="2"/>
  <c r="M406" i="2"/>
  <c r="F755" i="2"/>
  <c r="Q755" i="2"/>
  <c r="E755" i="2"/>
  <c r="P755" i="2"/>
  <c r="D755" i="2"/>
  <c r="O755" i="2"/>
  <c r="N755" i="2"/>
  <c r="M755" i="2"/>
  <c r="L755" i="2"/>
  <c r="K755" i="2" s="1"/>
  <c r="I755" i="2"/>
  <c r="H755" i="2"/>
  <c r="J755" i="2"/>
  <c r="C755" i="2"/>
  <c r="A755" i="2"/>
  <c r="G755" i="2"/>
  <c r="M529" i="2"/>
  <c r="A529" i="2"/>
  <c r="J529" i="2"/>
  <c r="I529" i="2"/>
  <c r="G529" i="2"/>
  <c r="F529" i="2"/>
  <c r="Q529" i="2"/>
  <c r="D529" i="2"/>
  <c r="P529" i="2"/>
  <c r="C529" i="2"/>
  <c r="O529" i="2"/>
  <c r="N529" i="2"/>
  <c r="L529" i="2"/>
  <c r="K529" i="2" s="1"/>
  <c r="E529" i="2"/>
  <c r="H529" i="2"/>
  <c r="F448" i="2"/>
  <c r="N448" i="2"/>
  <c r="M448" i="2"/>
  <c r="J448" i="2"/>
  <c r="I448" i="2"/>
  <c r="G448" i="2"/>
  <c r="E448" i="2"/>
  <c r="D448" i="2"/>
  <c r="C448" i="2"/>
  <c r="A448" i="2"/>
  <c r="Q448" i="2"/>
  <c r="P448" i="2"/>
  <c r="O448" i="2"/>
  <c r="L448" i="2"/>
  <c r="K448" i="2" s="1"/>
  <c r="H448" i="2"/>
  <c r="O499" i="2"/>
  <c r="C499" i="2"/>
  <c r="N499" i="2"/>
  <c r="L499" i="2"/>
  <c r="K499" i="2" s="1"/>
  <c r="I499" i="2"/>
  <c r="H499" i="2"/>
  <c r="G499" i="2"/>
  <c r="J499" i="2"/>
  <c r="E499" i="2"/>
  <c r="D499" i="2"/>
  <c r="A499" i="2"/>
  <c r="Q499" i="2"/>
  <c r="M499" i="2"/>
  <c r="F499" i="2"/>
  <c r="P499" i="2"/>
  <c r="I557" i="2"/>
  <c r="Q557" i="2"/>
  <c r="E557" i="2"/>
  <c r="P557" i="2"/>
  <c r="O557" i="2"/>
  <c r="A557" i="2"/>
  <c r="N557" i="2"/>
  <c r="M557" i="2"/>
  <c r="L557" i="2"/>
  <c r="K557" i="2" s="1"/>
  <c r="J557" i="2"/>
  <c r="H557" i="2"/>
  <c r="G557" i="2"/>
  <c r="D557" i="2"/>
  <c r="C557" i="2"/>
  <c r="F557" i="2"/>
  <c r="E606" i="2"/>
  <c r="N606" i="2"/>
  <c r="A606" i="2"/>
  <c r="J606" i="2"/>
  <c r="I606" i="2"/>
  <c r="G606" i="2"/>
  <c r="F606" i="2"/>
  <c r="C606" i="2"/>
  <c r="Q606" i="2"/>
  <c r="P606" i="2"/>
  <c r="O606" i="2"/>
  <c r="M606" i="2"/>
  <c r="H606" i="2"/>
  <c r="D606" i="2"/>
  <c r="L606" i="2"/>
  <c r="K606" i="2" s="1"/>
  <c r="P587" i="2"/>
  <c r="D587" i="2"/>
  <c r="F587" i="2"/>
  <c r="E587" i="2"/>
  <c r="O587" i="2"/>
  <c r="N587" i="2"/>
  <c r="A587" i="2"/>
  <c r="H587" i="2"/>
  <c r="G587" i="2"/>
  <c r="C587" i="2"/>
  <c r="Q587" i="2"/>
  <c r="M587" i="2"/>
  <c r="J587" i="2"/>
  <c r="I587" i="2"/>
  <c r="L587" i="2"/>
  <c r="K587" i="2" s="1"/>
  <c r="J661" i="2"/>
  <c r="M661" i="2"/>
  <c r="I661" i="2"/>
  <c r="H661" i="2"/>
  <c r="F661" i="2"/>
  <c r="E661" i="2"/>
  <c r="Q661" i="2"/>
  <c r="C661" i="2"/>
  <c r="P661" i="2"/>
  <c r="O661" i="2"/>
  <c r="A661" i="2"/>
  <c r="L661" i="2"/>
  <c r="K661" i="2" s="1"/>
  <c r="D661" i="2"/>
  <c r="N661" i="2"/>
  <c r="G661" i="2"/>
  <c r="G676" i="2"/>
  <c r="P676" i="2"/>
  <c r="F676" i="2"/>
  <c r="D676" i="2"/>
  <c r="Q676" i="2"/>
  <c r="C676" i="2"/>
  <c r="E676" i="2"/>
  <c r="O676" i="2"/>
  <c r="M676" i="2"/>
  <c r="L676" i="2"/>
  <c r="K676" i="2" s="1"/>
  <c r="J676" i="2"/>
  <c r="I676" i="2"/>
  <c r="H676" i="2"/>
  <c r="N676" i="2"/>
  <c r="A676" i="2"/>
  <c r="I730" i="2"/>
  <c r="G730" i="2"/>
  <c r="F730" i="2"/>
  <c r="E730" i="2"/>
  <c r="Q730" i="2"/>
  <c r="D730" i="2"/>
  <c r="N730" i="2"/>
  <c r="A730" i="2"/>
  <c r="M730" i="2"/>
  <c r="P730" i="2"/>
  <c r="O730" i="2"/>
  <c r="C730" i="2"/>
  <c r="H730" i="2"/>
  <c r="L730" i="2"/>
  <c r="K730" i="2" s="1"/>
  <c r="J730" i="2"/>
  <c r="Q700" i="2"/>
  <c r="E700" i="2"/>
  <c r="P700" i="2"/>
  <c r="D700" i="2"/>
  <c r="O700" i="2"/>
  <c r="A700" i="2"/>
  <c r="M700" i="2"/>
  <c r="J700" i="2"/>
  <c r="I700" i="2"/>
  <c r="F700" i="2"/>
  <c r="C700" i="2"/>
  <c r="N700" i="2"/>
  <c r="H700" i="2"/>
  <c r="G700" i="2"/>
  <c r="L700" i="2"/>
  <c r="K700" i="2" s="1"/>
  <c r="G750" i="2"/>
  <c r="F750" i="2"/>
  <c r="Q750" i="2"/>
  <c r="E750" i="2"/>
  <c r="D750" i="2"/>
  <c r="C750" i="2"/>
  <c r="P750" i="2"/>
  <c r="A750" i="2"/>
  <c r="M750" i="2"/>
  <c r="L750" i="2"/>
  <c r="K750" i="2" s="1"/>
  <c r="O750" i="2"/>
  <c r="N750" i="2"/>
  <c r="I750" i="2"/>
  <c r="H750" i="2"/>
  <c r="J750" i="2"/>
  <c r="H828" i="2"/>
  <c r="I828" i="2"/>
  <c r="G828" i="2"/>
  <c r="E828" i="2"/>
  <c r="Q828" i="2"/>
  <c r="A828" i="2"/>
  <c r="P828" i="2"/>
  <c r="F828" i="2"/>
  <c r="N828" i="2"/>
  <c r="M828" i="2"/>
  <c r="L828" i="2"/>
  <c r="K828" i="2" s="1"/>
  <c r="C828" i="2"/>
  <c r="D828" i="2"/>
  <c r="O828" i="2"/>
  <c r="J828" i="2"/>
  <c r="N751" i="2"/>
  <c r="M751" i="2"/>
  <c r="A751" i="2"/>
  <c r="L751" i="2"/>
  <c r="K751" i="2" s="1"/>
  <c r="E751" i="2"/>
  <c r="D751" i="2"/>
  <c r="C751" i="2"/>
  <c r="Q751" i="2"/>
  <c r="J751" i="2"/>
  <c r="P751" i="2"/>
  <c r="O751" i="2"/>
  <c r="H751" i="2"/>
  <c r="F751" i="2"/>
  <c r="I751" i="2"/>
  <c r="G751" i="2"/>
  <c r="F787" i="2"/>
  <c r="E787" i="2"/>
  <c r="Q787" i="2"/>
  <c r="N787" i="2"/>
  <c r="M787" i="2"/>
  <c r="L787" i="2"/>
  <c r="K787" i="2" s="1"/>
  <c r="J787" i="2"/>
  <c r="G787" i="2"/>
  <c r="D787" i="2"/>
  <c r="P787" i="2"/>
  <c r="O787" i="2"/>
  <c r="I787" i="2"/>
  <c r="A787" i="2"/>
  <c r="H787" i="2"/>
  <c r="C787" i="2"/>
  <c r="O818" i="2"/>
  <c r="C818" i="2"/>
  <c r="N818" i="2"/>
  <c r="L818" i="2"/>
  <c r="K818" i="2" s="1"/>
  <c r="E818" i="2"/>
  <c r="D818" i="2"/>
  <c r="P818" i="2"/>
  <c r="I818" i="2"/>
  <c r="Q818" i="2"/>
  <c r="M818" i="2"/>
  <c r="J818" i="2"/>
  <c r="F818" i="2"/>
  <c r="A818" i="2"/>
  <c r="H818" i="2"/>
  <c r="G818" i="2"/>
  <c r="J862" i="2"/>
  <c r="I862" i="2"/>
  <c r="H862" i="2"/>
  <c r="G862" i="2"/>
  <c r="F862" i="2"/>
  <c r="Q862" i="2"/>
  <c r="E862" i="2"/>
  <c r="N862" i="2"/>
  <c r="M862" i="2"/>
  <c r="L862" i="2"/>
  <c r="K862" i="2" s="1"/>
  <c r="D862" i="2"/>
  <c r="C862" i="2"/>
  <c r="P862" i="2"/>
  <c r="O862" i="2"/>
  <c r="A862" i="2"/>
  <c r="P856" i="2"/>
  <c r="D856" i="2"/>
  <c r="O856" i="2"/>
  <c r="C856" i="2"/>
  <c r="N856" i="2"/>
  <c r="M856" i="2"/>
  <c r="A856" i="2"/>
  <c r="L856" i="2"/>
  <c r="K856" i="2" s="1"/>
  <c r="H856" i="2"/>
  <c r="Q856" i="2"/>
  <c r="E856" i="2"/>
  <c r="G856" i="2"/>
  <c r="F856" i="2"/>
  <c r="I856" i="2"/>
  <c r="J856" i="2"/>
  <c r="Q130" i="2"/>
  <c r="E130" i="2"/>
  <c r="M130" i="2"/>
  <c r="A130" i="2"/>
  <c r="O130" i="2"/>
  <c r="N130" i="2"/>
  <c r="L130" i="2"/>
  <c r="K130" i="2" s="1"/>
  <c r="J130" i="2"/>
  <c r="I130" i="2"/>
  <c r="H130" i="2"/>
  <c r="G130" i="2"/>
  <c r="F130" i="2"/>
  <c r="D130" i="2"/>
  <c r="C130" i="2"/>
  <c r="P130" i="2"/>
  <c r="L37" i="2"/>
  <c r="K37" i="2" s="1"/>
  <c r="J37" i="2"/>
  <c r="I37" i="2"/>
  <c r="H37" i="2"/>
  <c r="G37" i="2"/>
  <c r="F37" i="2"/>
  <c r="Q37" i="2"/>
  <c r="E37" i="2"/>
  <c r="N37" i="2"/>
  <c r="M37" i="2"/>
  <c r="D37" i="2"/>
  <c r="C37" i="2"/>
  <c r="A37" i="2"/>
  <c r="P37" i="2"/>
  <c r="O37" i="2"/>
  <c r="L8" i="2"/>
  <c r="H8" i="2"/>
  <c r="G8" i="2"/>
  <c r="F8" i="2"/>
  <c r="Q8" i="2"/>
  <c r="P8" i="2"/>
  <c r="O8" i="2"/>
  <c r="N8" i="2"/>
  <c r="M8" i="2"/>
  <c r="E8" i="2"/>
  <c r="D8" i="2"/>
  <c r="C8" i="2"/>
  <c r="A8" i="2"/>
  <c r="G120" i="2"/>
  <c r="O120" i="2"/>
  <c r="C120" i="2"/>
  <c r="L120" i="2"/>
  <c r="K120" i="2" s="1"/>
  <c r="J120" i="2"/>
  <c r="I120" i="2"/>
  <c r="H120" i="2"/>
  <c r="F120" i="2"/>
  <c r="E120" i="2"/>
  <c r="D120" i="2"/>
  <c r="Q120" i="2"/>
  <c r="A120" i="2"/>
  <c r="P120" i="2"/>
  <c r="N120" i="2"/>
  <c r="M120" i="2"/>
  <c r="L71" i="2"/>
  <c r="K71" i="2" s="1"/>
  <c r="H71" i="2"/>
  <c r="J71" i="2"/>
  <c r="I71" i="2"/>
  <c r="G71" i="2"/>
  <c r="F71" i="2"/>
  <c r="E71" i="2"/>
  <c r="D71" i="2"/>
  <c r="Q71" i="2"/>
  <c r="C71" i="2"/>
  <c r="P71" i="2"/>
  <c r="O71" i="2"/>
  <c r="A71" i="2"/>
  <c r="N71" i="2"/>
  <c r="M71" i="2"/>
  <c r="H45" i="2"/>
  <c r="G45" i="2"/>
  <c r="F45" i="2"/>
  <c r="Q45" i="2"/>
  <c r="E45" i="2"/>
  <c r="P45" i="2"/>
  <c r="D45" i="2"/>
  <c r="O45" i="2"/>
  <c r="C45" i="2"/>
  <c r="N45" i="2"/>
  <c r="M45" i="2"/>
  <c r="A45" i="2"/>
  <c r="L45" i="2"/>
  <c r="K45" i="2" s="1"/>
  <c r="J45" i="2"/>
  <c r="I45" i="2"/>
  <c r="G26" i="2"/>
  <c r="F26" i="2"/>
  <c r="Q26" i="2"/>
  <c r="E26" i="2"/>
  <c r="P26" i="2"/>
  <c r="D26" i="2"/>
  <c r="O26" i="2"/>
  <c r="C26" i="2"/>
  <c r="N26" i="2"/>
  <c r="M26" i="2"/>
  <c r="A26" i="2"/>
  <c r="L26" i="2"/>
  <c r="K26" i="2" s="1"/>
  <c r="J26" i="2"/>
  <c r="I26" i="2"/>
  <c r="H26" i="2"/>
  <c r="Q7" i="2"/>
  <c r="E7" i="2"/>
  <c r="P7" i="2"/>
  <c r="D7" i="2"/>
  <c r="O7" i="2"/>
  <c r="C7" i="2"/>
  <c r="N7" i="2"/>
  <c r="M7" i="2"/>
  <c r="A7" i="2"/>
  <c r="L7" i="2"/>
  <c r="H7" i="2"/>
  <c r="G7" i="2"/>
  <c r="F7" i="2"/>
  <c r="L155" i="2"/>
  <c r="K155" i="2" s="1"/>
  <c r="J155" i="2"/>
  <c r="I155" i="2"/>
  <c r="H155" i="2"/>
  <c r="F155" i="2"/>
  <c r="Q155" i="2"/>
  <c r="E155" i="2"/>
  <c r="M155" i="2"/>
  <c r="G155" i="2"/>
  <c r="D155" i="2"/>
  <c r="C155" i="2"/>
  <c r="A155" i="2"/>
  <c r="P155" i="2"/>
  <c r="O155" i="2"/>
  <c r="N155" i="2"/>
  <c r="L95" i="2"/>
  <c r="K95" i="2" s="1"/>
  <c r="H95" i="2"/>
  <c r="E95" i="2"/>
  <c r="D95" i="2"/>
  <c r="Q95" i="2"/>
  <c r="C95" i="2"/>
  <c r="P95" i="2"/>
  <c r="O95" i="2"/>
  <c r="A95" i="2"/>
  <c r="N95" i="2"/>
  <c r="M95" i="2"/>
  <c r="J95" i="2"/>
  <c r="I95" i="2"/>
  <c r="G95" i="2"/>
  <c r="F95" i="2"/>
  <c r="P53" i="2"/>
  <c r="D53" i="2"/>
  <c r="O53" i="2"/>
  <c r="C53" i="2"/>
  <c r="N53" i="2"/>
  <c r="M53" i="2"/>
  <c r="A53" i="2"/>
  <c r="L53" i="2"/>
  <c r="K53" i="2" s="1"/>
  <c r="J53" i="2"/>
  <c r="I53" i="2"/>
  <c r="Q53" i="2"/>
  <c r="H53" i="2"/>
  <c r="G53" i="2"/>
  <c r="F53" i="2"/>
  <c r="E53" i="2"/>
  <c r="O46" i="2"/>
  <c r="C46" i="2"/>
  <c r="N46" i="2"/>
  <c r="M46" i="2"/>
  <c r="A46" i="2"/>
  <c r="L46" i="2"/>
  <c r="K46" i="2" s="1"/>
  <c r="J46" i="2"/>
  <c r="I46" i="2"/>
  <c r="H46" i="2"/>
  <c r="E46" i="2"/>
  <c r="D46" i="2"/>
  <c r="Q46" i="2"/>
  <c r="P46" i="2"/>
  <c r="G46" i="2"/>
  <c r="F46" i="2"/>
  <c r="N15" i="2"/>
  <c r="M15" i="2"/>
  <c r="A15" i="2"/>
  <c r="L15" i="2"/>
  <c r="K15" i="2" s="1"/>
  <c r="J15" i="2"/>
  <c r="I15" i="2"/>
  <c r="H15" i="2"/>
  <c r="G15" i="2"/>
  <c r="Q15" i="2"/>
  <c r="P15" i="2"/>
  <c r="O15" i="2"/>
  <c r="F15" i="2"/>
  <c r="E15" i="2"/>
  <c r="D15" i="2"/>
  <c r="C15" i="2"/>
  <c r="J165" i="2"/>
  <c r="I165" i="2"/>
  <c r="H165" i="2"/>
  <c r="G165" i="2"/>
  <c r="F165" i="2"/>
  <c r="P165" i="2"/>
  <c r="D165" i="2"/>
  <c r="O165" i="2"/>
  <c r="C165" i="2"/>
  <c r="N165" i="2"/>
  <c r="Q165" i="2"/>
  <c r="M165" i="2"/>
  <c r="L165" i="2"/>
  <c r="K165" i="2" s="1"/>
  <c r="E165" i="2"/>
  <c r="A165" i="2"/>
  <c r="L330" i="2"/>
  <c r="K330" i="2" s="1"/>
  <c r="H330" i="2"/>
  <c r="M330" i="2"/>
  <c r="G330" i="2"/>
  <c r="I330" i="2"/>
  <c r="E330" i="2"/>
  <c r="D330" i="2"/>
  <c r="C330" i="2"/>
  <c r="A330" i="2"/>
  <c r="P330" i="2"/>
  <c r="Q330" i="2"/>
  <c r="O330" i="2"/>
  <c r="N330" i="2"/>
  <c r="J330" i="2"/>
  <c r="F330" i="2"/>
  <c r="G331" i="2"/>
  <c r="O331" i="2"/>
  <c r="C331" i="2"/>
  <c r="J331" i="2"/>
  <c r="E331" i="2"/>
  <c r="Q331" i="2"/>
  <c r="L331" i="2"/>
  <c r="K331" i="2" s="1"/>
  <c r="H331" i="2"/>
  <c r="F331" i="2"/>
  <c r="D331" i="2"/>
  <c r="A331" i="2"/>
  <c r="M331" i="2"/>
  <c r="I331" i="2"/>
  <c r="N331" i="2"/>
  <c r="P331" i="2"/>
  <c r="F77" i="2"/>
  <c r="N77" i="2"/>
  <c r="I77" i="2"/>
  <c r="H77" i="2"/>
  <c r="G77" i="2"/>
  <c r="E77" i="2"/>
  <c r="D77" i="2"/>
  <c r="Q77" i="2"/>
  <c r="C77" i="2"/>
  <c r="P77" i="2"/>
  <c r="A77" i="2"/>
  <c r="O77" i="2"/>
  <c r="M77" i="2"/>
  <c r="L77" i="2"/>
  <c r="K77" i="2" s="1"/>
  <c r="J77" i="2"/>
  <c r="P211" i="2"/>
  <c r="D211" i="2"/>
  <c r="G211" i="2"/>
  <c r="F211" i="2"/>
  <c r="E211" i="2"/>
  <c r="Q211" i="2"/>
  <c r="C211" i="2"/>
  <c r="O211" i="2"/>
  <c r="M211" i="2"/>
  <c r="L211" i="2"/>
  <c r="K211" i="2" s="1"/>
  <c r="A211" i="2"/>
  <c r="N211" i="2"/>
  <c r="J211" i="2"/>
  <c r="I211" i="2"/>
  <c r="H211" i="2"/>
  <c r="P159" i="2"/>
  <c r="D159" i="2"/>
  <c r="O159" i="2"/>
  <c r="C159" i="2"/>
  <c r="N159" i="2"/>
  <c r="M159" i="2"/>
  <c r="A159" i="2"/>
  <c r="L159" i="2"/>
  <c r="K159" i="2" s="1"/>
  <c r="J159" i="2"/>
  <c r="I159" i="2"/>
  <c r="Q159" i="2"/>
  <c r="H159" i="2"/>
  <c r="G159" i="2"/>
  <c r="F159" i="2"/>
  <c r="E159" i="2"/>
  <c r="O152" i="2"/>
  <c r="C152" i="2"/>
  <c r="N152" i="2"/>
  <c r="L152" i="2"/>
  <c r="K152" i="2" s="1"/>
  <c r="I152" i="2"/>
  <c r="H152" i="2"/>
  <c r="G152" i="2"/>
  <c r="F152" i="2"/>
  <c r="E152" i="2"/>
  <c r="D152" i="2"/>
  <c r="A152" i="2"/>
  <c r="Q152" i="2"/>
  <c r="P152" i="2"/>
  <c r="M152" i="2"/>
  <c r="J152" i="2"/>
  <c r="N133" i="2"/>
  <c r="J133" i="2"/>
  <c r="G133" i="2"/>
  <c r="F133" i="2"/>
  <c r="E133" i="2"/>
  <c r="D133" i="2"/>
  <c r="Q133" i="2"/>
  <c r="C133" i="2"/>
  <c r="P133" i="2"/>
  <c r="A133" i="2"/>
  <c r="O133" i="2"/>
  <c r="M133" i="2"/>
  <c r="L133" i="2"/>
  <c r="K133" i="2" s="1"/>
  <c r="I133" i="2"/>
  <c r="H133" i="2"/>
  <c r="L318" i="2"/>
  <c r="K318" i="2" s="1"/>
  <c r="H318" i="2"/>
  <c r="O318" i="2"/>
  <c r="A318" i="2"/>
  <c r="J318" i="2"/>
  <c r="C318" i="2"/>
  <c r="Q318" i="2"/>
  <c r="P318" i="2"/>
  <c r="N318" i="2"/>
  <c r="G318" i="2"/>
  <c r="I318" i="2"/>
  <c r="F318" i="2"/>
  <c r="E318" i="2"/>
  <c r="D318" i="2"/>
  <c r="M318" i="2"/>
  <c r="Q453" i="2"/>
  <c r="E453" i="2"/>
  <c r="M453" i="2"/>
  <c r="A453" i="2"/>
  <c r="O453" i="2"/>
  <c r="J453" i="2"/>
  <c r="H453" i="2"/>
  <c r="G453" i="2"/>
  <c r="P453" i="2"/>
  <c r="N453" i="2"/>
  <c r="L453" i="2"/>
  <c r="K453" i="2" s="1"/>
  <c r="F453" i="2"/>
  <c r="D453" i="2"/>
  <c r="I453" i="2"/>
  <c r="C453" i="2"/>
  <c r="F276" i="2"/>
  <c r="G276" i="2"/>
  <c r="M276" i="2"/>
  <c r="J276" i="2"/>
  <c r="H276" i="2"/>
  <c r="E276" i="2"/>
  <c r="C276" i="2"/>
  <c r="A276" i="2"/>
  <c r="Q276" i="2"/>
  <c r="D276" i="2"/>
  <c r="P276" i="2"/>
  <c r="O276" i="2"/>
  <c r="N276" i="2"/>
  <c r="L276" i="2"/>
  <c r="K276" i="2" s="1"/>
  <c r="I276" i="2"/>
  <c r="G347" i="2"/>
  <c r="L347" i="2"/>
  <c r="K347" i="2" s="1"/>
  <c r="J347" i="2"/>
  <c r="H347" i="2"/>
  <c r="F347" i="2"/>
  <c r="D347" i="2"/>
  <c r="Q347" i="2"/>
  <c r="C347" i="2"/>
  <c r="E347" i="2"/>
  <c r="A347" i="2"/>
  <c r="P347" i="2"/>
  <c r="N347" i="2"/>
  <c r="O347" i="2"/>
  <c r="M347" i="2"/>
  <c r="I347" i="2"/>
  <c r="Q253" i="2"/>
  <c r="E253" i="2"/>
  <c r="M253" i="2"/>
  <c r="A253" i="2"/>
  <c r="D253" i="2"/>
  <c r="P253" i="2"/>
  <c r="G253" i="2"/>
  <c r="F253" i="2"/>
  <c r="H253" i="2"/>
  <c r="C253" i="2"/>
  <c r="O253" i="2"/>
  <c r="N253" i="2"/>
  <c r="L253" i="2"/>
  <c r="K253" i="2" s="1"/>
  <c r="J253" i="2"/>
  <c r="I253" i="2"/>
  <c r="O231" i="2"/>
  <c r="C231" i="2"/>
  <c r="P231" i="2"/>
  <c r="M231" i="2"/>
  <c r="I231" i="2"/>
  <c r="H231" i="2"/>
  <c r="L231" i="2"/>
  <c r="K231" i="2" s="1"/>
  <c r="J231" i="2"/>
  <c r="G231" i="2"/>
  <c r="F231" i="2"/>
  <c r="D231" i="2"/>
  <c r="A231" i="2"/>
  <c r="E231" i="2"/>
  <c r="Q231" i="2"/>
  <c r="N231" i="2"/>
  <c r="E311" i="2"/>
  <c r="N311" i="2"/>
  <c r="A311" i="2"/>
  <c r="Q311" i="2"/>
  <c r="O311" i="2"/>
  <c r="M311" i="2"/>
  <c r="L311" i="2"/>
  <c r="K311" i="2" s="1"/>
  <c r="I311" i="2"/>
  <c r="G311" i="2"/>
  <c r="F311" i="2"/>
  <c r="C311" i="2"/>
  <c r="P311" i="2"/>
  <c r="J311" i="2"/>
  <c r="H311" i="2"/>
  <c r="D311" i="2"/>
  <c r="M608" i="2"/>
  <c r="A608" i="2"/>
  <c r="J608" i="2"/>
  <c r="F608" i="2"/>
  <c r="H608" i="2"/>
  <c r="G608" i="2"/>
  <c r="D608" i="2"/>
  <c r="C608" i="2"/>
  <c r="P608" i="2"/>
  <c r="O608" i="2"/>
  <c r="N608" i="2"/>
  <c r="Q608" i="2"/>
  <c r="I608" i="2"/>
  <c r="E608" i="2"/>
  <c r="L608" i="2"/>
  <c r="K608" i="2" s="1"/>
  <c r="G419" i="2"/>
  <c r="H419" i="2"/>
  <c r="Q419" i="2"/>
  <c r="D419" i="2"/>
  <c r="P419" i="2"/>
  <c r="C419" i="2"/>
  <c r="N419" i="2"/>
  <c r="A419" i="2"/>
  <c r="M419" i="2"/>
  <c r="O419" i="2"/>
  <c r="J419" i="2"/>
  <c r="I419" i="2"/>
  <c r="F419" i="2"/>
  <c r="L419" i="2"/>
  <c r="K419" i="2" s="1"/>
  <c r="E419" i="2"/>
  <c r="H366" i="2"/>
  <c r="E366" i="2"/>
  <c r="N366" i="2"/>
  <c r="A366" i="2"/>
  <c r="J366" i="2"/>
  <c r="G366" i="2"/>
  <c r="F366" i="2"/>
  <c r="C366" i="2"/>
  <c r="Q366" i="2"/>
  <c r="D366" i="2"/>
  <c r="O366" i="2"/>
  <c r="M366" i="2"/>
  <c r="L366" i="2"/>
  <c r="K366" i="2" s="1"/>
  <c r="P366" i="2"/>
  <c r="I366" i="2"/>
  <c r="J464" i="2"/>
  <c r="F464" i="2"/>
  <c r="O464" i="2"/>
  <c r="A464" i="2"/>
  <c r="M464" i="2"/>
  <c r="L464" i="2"/>
  <c r="K464" i="2" s="1"/>
  <c r="H464" i="2"/>
  <c r="G464" i="2"/>
  <c r="P464" i="2"/>
  <c r="N464" i="2"/>
  <c r="I464" i="2"/>
  <c r="E464" i="2"/>
  <c r="D464" i="2"/>
  <c r="Q464" i="2"/>
  <c r="C464" i="2"/>
  <c r="G343" i="2"/>
  <c r="O343" i="2"/>
  <c r="C343" i="2"/>
  <c r="H343" i="2"/>
  <c r="F343" i="2"/>
  <c r="D343" i="2"/>
  <c r="Q343" i="2"/>
  <c r="N343" i="2"/>
  <c r="M343" i="2"/>
  <c r="P343" i="2"/>
  <c r="I343" i="2"/>
  <c r="A343" i="2"/>
  <c r="J343" i="2"/>
  <c r="E343" i="2"/>
  <c r="L343" i="2"/>
  <c r="K343" i="2" s="1"/>
  <c r="J576" i="2"/>
  <c r="I576" i="2"/>
  <c r="F576" i="2"/>
  <c r="N576" i="2"/>
  <c r="M576" i="2"/>
  <c r="L576" i="2"/>
  <c r="K576" i="2" s="1"/>
  <c r="H576" i="2"/>
  <c r="E576" i="2"/>
  <c r="D576" i="2"/>
  <c r="C576" i="2"/>
  <c r="P576" i="2"/>
  <c r="O576" i="2"/>
  <c r="Q576" i="2"/>
  <c r="G576" i="2"/>
  <c r="A576" i="2"/>
  <c r="O463" i="2"/>
  <c r="C463" i="2"/>
  <c r="D463" i="2"/>
  <c r="P463" i="2"/>
  <c r="A463" i="2"/>
  <c r="N463" i="2"/>
  <c r="M463" i="2"/>
  <c r="J463" i="2"/>
  <c r="I463" i="2"/>
  <c r="E463" i="2"/>
  <c r="Q463" i="2"/>
  <c r="G463" i="2"/>
  <c r="F463" i="2"/>
  <c r="L463" i="2"/>
  <c r="K463" i="2" s="1"/>
  <c r="H463" i="2"/>
  <c r="I385" i="2"/>
  <c r="J385" i="2"/>
  <c r="E385" i="2"/>
  <c r="Q385" i="2"/>
  <c r="P385" i="2"/>
  <c r="A385" i="2"/>
  <c r="N385" i="2"/>
  <c r="M385" i="2"/>
  <c r="H385" i="2"/>
  <c r="O385" i="2"/>
  <c r="L385" i="2"/>
  <c r="K385" i="2" s="1"/>
  <c r="G385" i="2"/>
  <c r="F385" i="2"/>
  <c r="D385" i="2"/>
  <c r="C385" i="2"/>
  <c r="L466" i="2"/>
  <c r="K466" i="2" s="1"/>
  <c r="H466" i="2"/>
  <c r="J466" i="2"/>
  <c r="G466" i="2"/>
  <c r="F466" i="2"/>
  <c r="E466" i="2"/>
  <c r="Q466" i="2"/>
  <c r="C466" i="2"/>
  <c r="P466" i="2"/>
  <c r="I466" i="2"/>
  <c r="D466" i="2"/>
  <c r="A466" i="2"/>
  <c r="O466" i="2"/>
  <c r="M466" i="2"/>
  <c r="N466" i="2"/>
  <c r="L502" i="2"/>
  <c r="K502" i="2" s="1"/>
  <c r="I502" i="2"/>
  <c r="H502" i="2"/>
  <c r="F502" i="2"/>
  <c r="Q502" i="2"/>
  <c r="E502" i="2"/>
  <c r="P502" i="2"/>
  <c r="D502" i="2"/>
  <c r="O502" i="2"/>
  <c r="M502" i="2"/>
  <c r="J502" i="2"/>
  <c r="G502" i="2"/>
  <c r="A502" i="2"/>
  <c r="N502" i="2"/>
  <c r="C502" i="2"/>
  <c r="J416" i="2"/>
  <c r="F416" i="2"/>
  <c r="P416" i="2"/>
  <c r="C416" i="2"/>
  <c r="O416" i="2"/>
  <c r="M416" i="2"/>
  <c r="L416" i="2"/>
  <c r="K416" i="2" s="1"/>
  <c r="G416" i="2"/>
  <c r="E416" i="2"/>
  <c r="A416" i="2"/>
  <c r="Q416" i="2"/>
  <c r="N416" i="2"/>
  <c r="H416" i="2"/>
  <c r="D416" i="2"/>
  <c r="I416" i="2"/>
  <c r="E423" i="2"/>
  <c r="O423" i="2"/>
  <c r="N423" i="2"/>
  <c r="A423" i="2"/>
  <c r="L423" i="2"/>
  <c r="K423" i="2" s="1"/>
  <c r="J423" i="2"/>
  <c r="Q423" i="2"/>
  <c r="P423" i="2"/>
  <c r="I423" i="2"/>
  <c r="H423" i="2"/>
  <c r="M423" i="2"/>
  <c r="D423" i="2"/>
  <c r="G423" i="2"/>
  <c r="F423" i="2"/>
  <c r="C423" i="2"/>
  <c r="N260" i="2"/>
  <c r="H260" i="2"/>
  <c r="Q260" i="2"/>
  <c r="D260" i="2"/>
  <c r="A260" i="2"/>
  <c r="O260" i="2"/>
  <c r="P260" i="2"/>
  <c r="J260" i="2"/>
  <c r="I260" i="2"/>
  <c r="M260" i="2"/>
  <c r="L260" i="2"/>
  <c r="K260" i="2" s="1"/>
  <c r="G260" i="2"/>
  <c r="E260" i="2"/>
  <c r="C260" i="2"/>
  <c r="F260" i="2"/>
  <c r="G407" i="2"/>
  <c r="O407" i="2"/>
  <c r="L407" i="2"/>
  <c r="K407" i="2" s="1"/>
  <c r="H407" i="2"/>
  <c r="M407" i="2"/>
  <c r="J407" i="2"/>
  <c r="F407" i="2"/>
  <c r="E407" i="2"/>
  <c r="C407" i="2"/>
  <c r="A407" i="2"/>
  <c r="P407" i="2"/>
  <c r="N407" i="2"/>
  <c r="I407" i="2"/>
  <c r="Q407" i="2"/>
  <c r="D407" i="2"/>
  <c r="J539" i="2"/>
  <c r="I539" i="2"/>
  <c r="G539" i="2"/>
  <c r="F539" i="2"/>
  <c r="Q539" i="2"/>
  <c r="D539" i="2"/>
  <c r="P539" i="2"/>
  <c r="C539" i="2"/>
  <c r="O539" i="2"/>
  <c r="H539" i="2"/>
  <c r="A539" i="2"/>
  <c r="L539" i="2"/>
  <c r="K539" i="2" s="1"/>
  <c r="E539" i="2"/>
  <c r="N539" i="2"/>
  <c r="M539" i="2"/>
  <c r="Q565" i="2"/>
  <c r="E565" i="2"/>
  <c r="M565" i="2"/>
  <c r="A565" i="2"/>
  <c r="J565" i="2"/>
  <c r="I565" i="2"/>
  <c r="H565" i="2"/>
  <c r="G565" i="2"/>
  <c r="F565" i="2"/>
  <c r="C565" i="2"/>
  <c r="P565" i="2"/>
  <c r="O565" i="2"/>
  <c r="D565" i="2"/>
  <c r="N565" i="2"/>
  <c r="L565" i="2"/>
  <c r="K565" i="2" s="1"/>
  <c r="F460" i="2"/>
  <c r="N460" i="2"/>
  <c r="H460" i="2"/>
  <c r="G460" i="2"/>
  <c r="D460" i="2"/>
  <c r="Q460" i="2"/>
  <c r="C460" i="2"/>
  <c r="P460" i="2"/>
  <c r="O460" i="2"/>
  <c r="L460" i="2"/>
  <c r="K460" i="2" s="1"/>
  <c r="J460" i="2"/>
  <c r="M460" i="2"/>
  <c r="I460" i="2"/>
  <c r="E460" i="2"/>
  <c r="A460" i="2"/>
  <c r="Q501" i="2"/>
  <c r="E501" i="2"/>
  <c r="P501" i="2"/>
  <c r="D501" i="2"/>
  <c r="N501" i="2"/>
  <c r="M501" i="2"/>
  <c r="A501" i="2"/>
  <c r="J501" i="2"/>
  <c r="I501" i="2"/>
  <c r="F501" i="2"/>
  <c r="G501" i="2"/>
  <c r="C501" i="2"/>
  <c r="O501" i="2"/>
  <c r="L501" i="2"/>
  <c r="K501" i="2" s="1"/>
  <c r="H501" i="2"/>
  <c r="O511" i="2"/>
  <c r="C511" i="2"/>
  <c r="N511" i="2"/>
  <c r="L511" i="2"/>
  <c r="K511" i="2" s="1"/>
  <c r="I511" i="2"/>
  <c r="H511" i="2"/>
  <c r="G511" i="2"/>
  <c r="F511" i="2"/>
  <c r="D511" i="2"/>
  <c r="A511" i="2"/>
  <c r="J511" i="2"/>
  <c r="E511" i="2"/>
  <c r="Q511" i="2"/>
  <c r="P511" i="2"/>
  <c r="M511" i="2"/>
  <c r="N432" i="2"/>
  <c r="J432" i="2"/>
  <c r="L432" i="2"/>
  <c r="K432" i="2" s="1"/>
  <c r="H432" i="2"/>
  <c r="G432" i="2"/>
  <c r="E432" i="2"/>
  <c r="D432" i="2"/>
  <c r="F432" i="2"/>
  <c r="C432" i="2"/>
  <c r="Q432" i="2"/>
  <c r="P432" i="2"/>
  <c r="O432" i="2"/>
  <c r="M432" i="2"/>
  <c r="I432" i="2"/>
  <c r="A432" i="2"/>
  <c r="H579" i="2"/>
  <c r="J579" i="2"/>
  <c r="G579" i="2"/>
  <c r="F579" i="2"/>
  <c r="A579" i="2"/>
  <c r="Q579" i="2"/>
  <c r="P579" i="2"/>
  <c r="O579" i="2"/>
  <c r="M579" i="2"/>
  <c r="L579" i="2"/>
  <c r="K579" i="2" s="1"/>
  <c r="I579" i="2"/>
  <c r="C579" i="2"/>
  <c r="N579" i="2"/>
  <c r="E579" i="2"/>
  <c r="D579" i="2"/>
  <c r="J618" i="2"/>
  <c r="F618" i="2"/>
  <c r="L618" i="2"/>
  <c r="K618" i="2" s="1"/>
  <c r="I618" i="2"/>
  <c r="G618" i="2"/>
  <c r="E618" i="2"/>
  <c r="C618" i="2"/>
  <c r="Q618" i="2"/>
  <c r="P618" i="2"/>
  <c r="A618" i="2"/>
  <c r="M618" i="2"/>
  <c r="H618" i="2"/>
  <c r="D618" i="2"/>
  <c r="O618" i="2"/>
  <c r="N618" i="2"/>
  <c r="J649" i="2"/>
  <c r="G649" i="2"/>
  <c r="N649" i="2"/>
  <c r="M649" i="2"/>
  <c r="I649" i="2"/>
  <c r="F649" i="2"/>
  <c r="E649" i="2"/>
  <c r="D649" i="2"/>
  <c r="Q649" i="2"/>
  <c r="P649" i="2"/>
  <c r="L649" i="2"/>
  <c r="K649" i="2" s="1"/>
  <c r="H649" i="2"/>
  <c r="A649" i="2"/>
  <c r="O649" i="2"/>
  <c r="C649" i="2"/>
  <c r="O575" i="2"/>
  <c r="C575" i="2"/>
  <c r="N575" i="2"/>
  <c r="P575" i="2"/>
  <c r="M575" i="2"/>
  <c r="L575" i="2"/>
  <c r="K575" i="2" s="1"/>
  <c r="J575" i="2"/>
  <c r="I575" i="2"/>
  <c r="G575" i="2"/>
  <c r="F575" i="2"/>
  <c r="E575" i="2"/>
  <c r="H575" i="2"/>
  <c r="A575" i="2"/>
  <c r="Q575" i="2"/>
  <c r="D575" i="2"/>
  <c r="L601" i="2"/>
  <c r="K601" i="2" s="1"/>
  <c r="G601" i="2"/>
  <c r="Q601" i="2"/>
  <c r="P601" i="2"/>
  <c r="A601" i="2"/>
  <c r="N601" i="2"/>
  <c r="M601" i="2"/>
  <c r="I601" i="2"/>
  <c r="H601" i="2"/>
  <c r="F601" i="2"/>
  <c r="O601" i="2"/>
  <c r="J601" i="2"/>
  <c r="E601" i="2"/>
  <c r="C601" i="2"/>
  <c r="D601" i="2"/>
  <c r="I666" i="2"/>
  <c r="F666" i="2"/>
  <c r="J666" i="2"/>
  <c r="G666" i="2"/>
  <c r="E666" i="2"/>
  <c r="Q666" i="2"/>
  <c r="C666" i="2"/>
  <c r="P666" i="2"/>
  <c r="O666" i="2"/>
  <c r="A666" i="2"/>
  <c r="D666" i="2"/>
  <c r="N666" i="2"/>
  <c r="M666" i="2"/>
  <c r="L666" i="2"/>
  <c r="K666" i="2" s="1"/>
  <c r="H666" i="2"/>
  <c r="H609" i="2"/>
  <c r="F609" i="2"/>
  <c r="O609" i="2"/>
  <c r="G609" i="2"/>
  <c r="E609" i="2"/>
  <c r="C609" i="2"/>
  <c r="Q609" i="2"/>
  <c r="A609" i="2"/>
  <c r="N609" i="2"/>
  <c r="M609" i="2"/>
  <c r="L609" i="2"/>
  <c r="K609" i="2" s="1"/>
  <c r="J609" i="2"/>
  <c r="I609" i="2"/>
  <c r="D609" i="2"/>
  <c r="P609" i="2"/>
  <c r="F681" i="2"/>
  <c r="Q681" i="2"/>
  <c r="E681" i="2"/>
  <c r="O681" i="2"/>
  <c r="C681" i="2"/>
  <c r="P681" i="2"/>
  <c r="M681" i="2"/>
  <c r="L681" i="2"/>
  <c r="K681" i="2" s="1"/>
  <c r="D681" i="2"/>
  <c r="N681" i="2"/>
  <c r="J681" i="2"/>
  <c r="G681" i="2"/>
  <c r="A681" i="2"/>
  <c r="I681" i="2"/>
  <c r="H681" i="2"/>
  <c r="F707" i="2"/>
  <c r="Q707" i="2"/>
  <c r="E707" i="2"/>
  <c r="M707" i="2"/>
  <c r="L707" i="2"/>
  <c r="K707" i="2" s="1"/>
  <c r="J707" i="2"/>
  <c r="G707" i="2"/>
  <c r="D707" i="2"/>
  <c r="C707" i="2"/>
  <c r="O707" i="2"/>
  <c r="N707" i="2"/>
  <c r="H707" i="2"/>
  <c r="A707" i="2"/>
  <c r="I707" i="2"/>
  <c r="P707" i="2"/>
  <c r="F657" i="2"/>
  <c r="O657" i="2"/>
  <c r="G657" i="2"/>
  <c r="E657" i="2"/>
  <c r="Q657" i="2"/>
  <c r="C657" i="2"/>
  <c r="P657" i="2"/>
  <c r="A657" i="2"/>
  <c r="M657" i="2"/>
  <c r="L657" i="2"/>
  <c r="K657" i="2" s="1"/>
  <c r="J657" i="2"/>
  <c r="I657" i="2"/>
  <c r="D657" i="2"/>
  <c r="N657" i="2"/>
  <c r="H657" i="2"/>
  <c r="J747" i="2"/>
  <c r="I747" i="2"/>
  <c r="H747" i="2"/>
  <c r="G747" i="2"/>
  <c r="F747" i="2"/>
  <c r="E747" i="2"/>
  <c r="D747" i="2"/>
  <c r="P747" i="2"/>
  <c r="A747" i="2"/>
  <c r="O747" i="2"/>
  <c r="Q747" i="2"/>
  <c r="M747" i="2"/>
  <c r="C747" i="2"/>
  <c r="N747" i="2"/>
  <c r="L747" i="2"/>
  <c r="K747" i="2" s="1"/>
  <c r="O684" i="2"/>
  <c r="C684" i="2"/>
  <c r="N684" i="2"/>
  <c r="L684" i="2"/>
  <c r="K684" i="2" s="1"/>
  <c r="M684" i="2"/>
  <c r="J684" i="2"/>
  <c r="I684" i="2"/>
  <c r="Q684" i="2"/>
  <c r="H684" i="2"/>
  <c r="F684" i="2"/>
  <c r="E684" i="2"/>
  <c r="D684" i="2"/>
  <c r="A684" i="2"/>
  <c r="G684" i="2"/>
  <c r="P684" i="2"/>
  <c r="M126" i="2"/>
  <c r="A126" i="2"/>
  <c r="I126" i="2"/>
  <c r="J126" i="2"/>
  <c r="H126" i="2"/>
  <c r="G126" i="2"/>
  <c r="F126" i="2"/>
  <c r="E126" i="2"/>
  <c r="D126" i="2"/>
  <c r="Q126" i="2"/>
  <c r="C126" i="2"/>
  <c r="P126" i="2"/>
  <c r="O126" i="2"/>
  <c r="N126" i="2"/>
  <c r="L126" i="2"/>
  <c r="K126" i="2" s="1"/>
  <c r="Q82" i="2"/>
  <c r="E82" i="2"/>
  <c r="M82" i="2"/>
  <c r="A82" i="2"/>
  <c r="J82" i="2"/>
  <c r="I82" i="2"/>
  <c r="H82" i="2"/>
  <c r="G82" i="2"/>
  <c r="F82" i="2"/>
  <c r="D82" i="2"/>
  <c r="C82" i="2"/>
  <c r="P82" i="2"/>
  <c r="O82" i="2"/>
  <c r="N82" i="2"/>
  <c r="L82" i="2"/>
  <c r="K82" i="2" s="1"/>
  <c r="H57" i="2"/>
  <c r="G57" i="2"/>
  <c r="F57" i="2"/>
  <c r="Q57" i="2"/>
  <c r="E57" i="2"/>
  <c r="P57" i="2"/>
  <c r="D57" i="2"/>
  <c r="O57" i="2"/>
  <c r="C57" i="2"/>
  <c r="N57" i="2"/>
  <c r="M57" i="2"/>
  <c r="A57" i="2"/>
  <c r="L57" i="2"/>
  <c r="K57" i="2" s="1"/>
  <c r="J57" i="2"/>
  <c r="I57" i="2"/>
  <c r="G38" i="2"/>
  <c r="F38" i="2"/>
  <c r="Q38" i="2"/>
  <c r="E38" i="2"/>
  <c r="P38" i="2"/>
  <c r="D38" i="2"/>
  <c r="O38" i="2"/>
  <c r="C38" i="2"/>
  <c r="N38" i="2"/>
  <c r="M38" i="2"/>
  <c r="A38" i="2"/>
  <c r="L38" i="2"/>
  <c r="K38" i="2" s="1"/>
  <c r="J38" i="2"/>
  <c r="I38" i="2"/>
  <c r="H38" i="2"/>
  <c r="F19" i="2"/>
  <c r="Q19" i="2"/>
  <c r="E19" i="2"/>
  <c r="P19" i="2"/>
  <c r="D19" i="2"/>
  <c r="O19" i="2"/>
  <c r="C19" i="2"/>
  <c r="N19" i="2"/>
  <c r="M19" i="2"/>
  <c r="A19" i="2"/>
  <c r="L19" i="2"/>
  <c r="K19" i="2" s="1"/>
  <c r="J19" i="2"/>
  <c r="I19" i="2"/>
  <c r="H19" i="2"/>
  <c r="G19" i="2"/>
  <c r="J160" i="2"/>
  <c r="I160" i="2"/>
  <c r="H160" i="2"/>
  <c r="G160" i="2"/>
  <c r="Q160" i="2"/>
  <c r="E160" i="2"/>
  <c r="P160" i="2"/>
  <c r="D160" i="2"/>
  <c r="M160" i="2"/>
  <c r="L160" i="2"/>
  <c r="K160" i="2" s="1"/>
  <c r="F160" i="2"/>
  <c r="C160" i="2"/>
  <c r="A160" i="2"/>
  <c r="O160" i="2"/>
  <c r="N160" i="2"/>
  <c r="Q106" i="2"/>
  <c r="E106" i="2"/>
  <c r="M106" i="2"/>
  <c r="A106" i="2"/>
  <c r="F106" i="2"/>
  <c r="D106" i="2"/>
  <c r="C106" i="2"/>
  <c r="P106" i="2"/>
  <c r="O106" i="2"/>
  <c r="N106" i="2"/>
  <c r="L106" i="2"/>
  <c r="K106" i="2" s="1"/>
  <c r="J106" i="2"/>
  <c r="I106" i="2"/>
  <c r="H106" i="2"/>
  <c r="G106" i="2"/>
  <c r="J61" i="2"/>
  <c r="Q61" i="2"/>
  <c r="D61" i="2"/>
  <c r="P61" i="2"/>
  <c r="C61" i="2"/>
  <c r="O61" i="2"/>
  <c r="N61" i="2"/>
  <c r="A61" i="2"/>
  <c r="M61" i="2"/>
  <c r="L61" i="2"/>
  <c r="K61" i="2" s="1"/>
  <c r="I61" i="2"/>
  <c r="H61" i="2"/>
  <c r="G61" i="2"/>
  <c r="F61" i="2"/>
  <c r="E61" i="2"/>
  <c r="M58" i="2"/>
  <c r="P58" i="2"/>
  <c r="C58" i="2"/>
  <c r="O58" i="2"/>
  <c r="N58" i="2"/>
  <c r="A58" i="2"/>
  <c r="L58" i="2"/>
  <c r="K58" i="2" s="1"/>
  <c r="J58" i="2"/>
  <c r="I58" i="2"/>
  <c r="H58" i="2"/>
  <c r="G58" i="2"/>
  <c r="Q58" i="2"/>
  <c r="F58" i="2"/>
  <c r="E58" i="2"/>
  <c r="D58" i="2"/>
  <c r="N27" i="2"/>
  <c r="M27" i="2"/>
  <c r="A27" i="2"/>
  <c r="L27" i="2"/>
  <c r="K27" i="2" s="1"/>
  <c r="J27" i="2"/>
  <c r="I27" i="2"/>
  <c r="H27" i="2"/>
  <c r="G27" i="2"/>
  <c r="D27" i="2"/>
  <c r="C27" i="2"/>
  <c r="Q27" i="2"/>
  <c r="P27" i="2"/>
  <c r="O27" i="2"/>
  <c r="F27" i="2"/>
  <c r="E27" i="2"/>
  <c r="J177" i="2"/>
  <c r="I177" i="2"/>
  <c r="H177" i="2"/>
  <c r="G177" i="2"/>
  <c r="F177" i="2"/>
  <c r="P177" i="2"/>
  <c r="D177" i="2"/>
  <c r="O177" i="2"/>
  <c r="C177" i="2"/>
  <c r="N177" i="2"/>
  <c r="E177" i="2"/>
  <c r="A177" i="2"/>
  <c r="Q177" i="2"/>
  <c r="M177" i="2"/>
  <c r="L177" i="2"/>
  <c r="K177" i="2" s="1"/>
  <c r="I158" i="2"/>
  <c r="H158" i="2"/>
  <c r="G158" i="2"/>
  <c r="F158" i="2"/>
  <c r="Q158" i="2"/>
  <c r="E158" i="2"/>
  <c r="O158" i="2"/>
  <c r="C158" i="2"/>
  <c r="N158" i="2"/>
  <c r="P158" i="2"/>
  <c r="M158" i="2"/>
  <c r="L158" i="2"/>
  <c r="K158" i="2" s="1"/>
  <c r="J158" i="2"/>
  <c r="D158" i="2"/>
  <c r="A158" i="2"/>
  <c r="H151" i="2"/>
  <c r="G151" i="2"/>
  <c r="Q151" i="2"/>
  <c r="E151" i="2"/>
  <c r="P151" i="2"/>
  <c r="D151" i="2"/>
  <c r="N151" i="2"/>
  <c r="M151" i="2"/>
  <c r="A151" i="2"/>
  <c r="O151" i="2"/>
  <c r="L151" i="2"/>
  <c r="K151" i="2" s="1"/>
  <c r="J151" i="2"/>
  <c r="I151" i="2"/>
  <c r="F151" i="2"/>
  <c r="C151" i="2"/>
  <c r="F89" i="2"/>
  <c r="N89" i="2"/>
  <c r="G89" i="2"/>
  <c r="E89" i="2"/>
  <c r="D89" i="2"/>
  <c r="Q89" i="2"/>
  <c r="C89" i="2"/>
  <c r="P89" i="2"/>
  <c r="A89" i="2"/>
  <c r="O89" i="2"/>
  <c r="M89" i="2"/>
  <c r="L89" i="2"/>
  <c r="K89" i="2" s="1"/>
  <c r="J89" i="2"/>
  <c r="I89" i="2"/>
  <c r="H89" i="2"/>
  <c r="P238" i="2"/>
  <c r="D238" i="2"/>
  <c r="N238" i="2"/>
  <c r="A238" i="2"/>
  <c r="L238" i="2"/>
  <c r="K238" i="2" s="1"/>
  <c r="Q238" i="2"/>
  <c r="O238" i="2"/>
  <c r="G238" i="2"/>
  <c r="F238" i="2"/>
  <c r="E238" i="2"/>
  <c r="C238" i="2"/>
  <c r="M238" i="2"/>
  <c r="J238" i="2"/>
  <c r="I238" i="2"/>
  <c r="H238" i="2"/>
  <c r="P171" i="2"/>
  <c r="D171" i="2"/>
  <c r="O171" i="2"/>
  <c r="C171" i="2"/>
  <c r="N171" i="2"/>
  <c r="M171" i="2"/>
  <c r="A171" i="2"/>
  <c r="L171" i="2"/>
  <c r="K171" i="2" s="1"/>
  <c r="J171" i="2"/>
  <c r="I171" i="2"/>
  <c r="H171" i="2"/>
  <c r="Q171" i="2"/>
  <c r="G171" i="2"/>
  <c r="F171" i="2"/>
  <c r="E171" i="2"/>
  <c r="O164" i="2"/>
  <c r="C164" i="2"/>
  <c r="N164" i="2"/>
  <c r="M164" i="2"/>
  <c r="A164" i="2"/>
  <c r="L164" i="2"/>
  <c r="K164" i="2" s="1"/>
  <c r="I164" i="2"/>
  <c r="H164" i="2"/>
  <c r="G164" i="2"/>
  <c r="J164" i="2"/>
  <c r="F164" i="2"/>
  <c r="E164" i="2"/>
  <c r="D164" i="2"/>
  <c r="Q164" i="2"/>
  <c r="P164" i="2"/>
  <c r="N145" i="2"/>
  <c r="J145" i="2"/>
  <c r="E145" i="2"/>
  <c r="D145" i="2"/>
  <c r="Q145" i="2"/>
  <c r="C145" i="2"/>
  <c r="P145" i="2"/>
  <c r="A145" i="2"/>
  <c r="O145" i="2"/>
  <c r="M145" i="2"/>
  <c r="L145" i="2"/>
  <c r="K145" i="2" s="1"/>
  <c r="I145" i="2"/>
  <c r="H145" i="2"/>
  <c r="G145" i="2"/>
  <c r="F145" i="2"/>
  <c r="P322" i="2"/>
  <c r="D322" i="2"/>
  <c r="L322" i="2"/>
  <c r="K322" i="2" s="1"/>
  <c r="E322" i="2"/>
  <c r="N322" i="2"/>
  <c r="C322" i="2"/>
  <c r="A322" i="2"/>
  <c r="Q322" i="2"/>
  <c r="O322" i="2"/>
  <c r="I322" i="2"/>
  <c r="J322" i="2"/>
  <c r="H322" i="2"/>
  <c r="G322" i="2"/>
  <c r="F322" i="2"/>
  <c r="M322" i="2"/>
  <c r="J564" i="2"/>
  <c r="F564" i="2"/>
  <c r="M564" i="2"/>
  <c r="L564" i="2"/>
  <c r="K564" i="2" s="1"/>
  <c r="I564" i="2"/>
  <c r="H564" i="2"/>
  <c r="E564" i="2"/>
  <c r="D564" i="2"/>
  <c r="Q564" i="2"/>
  <c r="C564" i="2"/>
  <c r="O564" i="2"/>
  <c r="N564" i="2"/>
  <c r="G564" i="2"/>
  <c r="A564" i="2"/>
  <c r="P564" i="2"/>
  <c r="P286" i="2"/>
  <c r="D286" i="2"/>
  <c r="G286" i="2"/>
  <c r="O286" i="2"/>
  <c r="M286" i="2"/>
  <c r="H286" i="2"/>
  <c r="F286" i="2"/>
  <c r="C286" i="2"/>
  <c r="A286" i="2"/>
  <c r="Q286" i="2"/>
  <c r="N286" i="2"/>
  <c r="L286" i="2"/>
  <c r="K286" i="2" s="1"/>
  <c r="J286" i="2"/>
  <c r="E286" i="2"/>
  <c r="I286" i="2"/>
  <c r="O351" i="2"/>
  <c r="C351" i="2"/>
  <c r="P351" i="2"/>
  <c r="A351" i="2"/>
  <c r="N351" i="2"/>
  <c r="L351" i="2"/>
  <c r="K351" i="2" s="1"/>
  <c r="J351" i="2"/>
  <c r="H351" i="2"/>
  <c r="G351" i="2"/>
  <c r="M351" i="2"/>
  <c r="F351" i="2"/>
  <c r="D351" i="2"/>
  <c r="Q351" i="2"/>
  <c r="I351" i="2"/>
  <c r="E351" i="2"/>
  <c r="L270" i="2"/>
  <c r="K270" i="2" s="1"/>
  <c r="H270" i="2"/>
  <c r="Q270" i="2"/>
  <c r="D270" i="2"/>
  <c r="E270" i="2"/>
  <c r="O270" i="2"/>
  <c r="N270" i="2"/>
  <c r="J270" i="2"/>
  <c r="I270" i="2"/>
  <c r="G270" i="2"/>
  <c r="M270" i="2"/>
  <c r="F270" i="2"/>
  <c r="C270" i="2"/>
  <c r="P270" i="2"/>
  <c r="A270" i="2"/>
  <c r="L254" i="2"/>
  <c r="K254" i="2" s="1"/>
  <c r="H254" i="2"/>
  <c r="P254" i="2"/>
  <c r="N254" i="2"/>
  <c r="F254" i="2"/>
  <c r="E254" i="2"/>
  <c r="J254" i="2"/>
  <c r="I254" i="2"/>
  <c r="G254" i="2"/>
  <c r="D254" i="2"/>
  <c r="C254" i="2"/>
  <c r="Q254" i="2"/>
  <c r="O254" i="2"/>
  <c r="M254" i="2"/>
  <c r="A254" i="2"/>
  <c r="M313" i="2"/>
  <c r="A313" i="2"/>
  <c r="I313" i="2"/>
  <c r="N313" i="2"/>
  <c r="H313" i="2"/>
  <c r="P313" i="2"/>
  <c r="O313" i="2"/>
  <c r="L313" i="2"/>
  <c r="K313" i="2" s="1"/>
  <c r="J313" i="2"/>
  <c r="D313" i="2"/>
  <c r="C313" i="2"/>
  <c r="Q313" i="2"/>
  <c r="G313" i="2"/>
  <c r="F313" i="2"/>
  <c r="E313" i="2"/>
  <c r="L354" i="2"/>
  <c r="H354" i="2"/>
  <c r="G354" i="2"/>
  <c r="F354" i="2"/>
  <c r="D354" i="2"/>
  <c r="Q354" i="2"/>
  <c r="C354" i="2"/>
  <c r="O354" i="2"/>
  <c r="A354" i="2"/>
  <c r="N354" i="2"/>
  <c r="J354" i="2"/>
  <c r="E354" i="2"/>
  <c r="K354" i="2"/>
  <c r="I354" i="2"/>
  <c r="P354" i="2"/>
  <c r="M354" i="2"/>
  <c r="F400" i="2"/>
  <c r="P400" i="2"/>
  <c r="C400" i="2"/>
  <c r="L400" i="2"/>
  <c r="K400" i="2" s="1"/>
  <c r="N400" i="2"/>
  <c r="M400" i="2"/>
  <c r="J400" i="2"/>
  <c r="I400" i="2"/>
  <c r="G400" i="2"/>
  <c r="E400" i="2"/>
  <c r="D400" i="2"/>
  <c r="Q400" i="2"/>
  <c r="O400" i="2"/>
  <c r="H400" i="2"/>
  <c r="A400" i="2"/>
  <c r="H378" i="2"/>
  <c r="F378" i="2"/>
  <c r="L378" i="2"/>
  <c r="K378" i="2" s="1"/>
  <c r="J378" i="2"/>
  <c r="G378" i="2"/>
  <c r="E378" i="2"/>
  <c r="C378" i="2"/>
  <c r="Q378" i="2"/>
  <c r="A378" i="2"/>
  <c r="P378" i="2"/>
  <c r="O378" i="2"/>
  <c r="N378" i="2"/>
  <c r="M378" i="2"/>
  <c r="I378" i="2"/>
  <c r="D378" i="2"/>
  <c r="H486" i="2"/>
  <c r="P486" i="2"/>
  <c r="D486" i="2"/>
  <c r="O486" i="2"/>
  <c r="A486" i="2"/>
  <c r="M486" i="2"/>
  <c r="L486" i="2"/>
  <c r="K486" i="2" s="1"/>
  <c r="I486" i="2"/>
  <c r="G486" i="2"/>
  <c r="Q486" i="2"/>
  <c r="N486" i="2"/>
  <c r="J486" i="2"/>
  <c r="F486" i="2"/>
  <c r="E486" i="2"/>
  <c r="C486" i="2"/>
  <c r="M349" i="2"/>
  <c r="A349" i="2"/>
  <c r="I349" i="2"/>
  <c r="F349" i="2"/>
  <c r="E349" i="2"/>
  <c r="Q349" i="2"/>
  <c r="C349" i="2"/>
  <c r="P349" i="2"/>
  <c r="N349" i="2"/>
  <c r="L349" i="2"/>
  <c r="O349" i="2"/>
  <c r="J349" i="2"/>
  <c r="K349" i="2"/>
  <c r="H349" i="2"/>
  <c r="G349" i="2"/>
  <c r="D349" i="2"/>
  <c r="L370" i="2"/>
  <c r="K370" i="2" s="1"/>
  <c r="P370" i="2"/>
  <c r="C370" i="2"/>
  <c r="F370" i="2"/>
  <c r="E370" i="2"/>
  <c r="Q370" i="2"/>
  <c r="A370" i="2"/>
  <c r="N370" i="2"/>
  <c r="M370" i="2"/>
  <c r="O370" i="2"/>
  <c r="J370" i="2"/>
  <c r="I370" i="2"/>
  <c r="H370" i="2"/>
  <c r="G370" i="2"/>
  <c r="D370" i="2"/>
  <c r="P518" i="2"/>
  <c r="D518" i="2"/>
  <c r="O518" i="2"/>
  <c r="C518" i="2"/>
  <c r="M518" i="2"/>
  <c r="A518" i="2"/>
  <c r="L518" i="2"/>
  <c r="K518" i="2" s="1"/>
  <c r="J518" i="2"/>
  <c r="I518" i="2"/>
  <c r="H518" i="2"/>
  <c r="E518" i="2"/>
  <c r="Q518" i="2"/>
  <c r="F518" i="2"/>
  <c r="N518" i="2"/>
  <c r="G518" i="2"/>
  <c r="O403" i="2"/>
  <c r="C403" i="2"/>
  <c r="E403" i="2"/>
  <c r="N403" i="2"/>
  <c r="A403" i="2"/>
  <c r="M403" i="2"/>
  <c r="J403" i="2"/>
  <c r="Q403" i="2"/>
  <c r="P403" i="2"/>
  <c r="I403" i="2"/>
  <c r="L403" i="2"/>
  <c r="K403" i="2" s="1"/>
  <c r="H403" i="2"/>
  <c r="G403" i="2"/>
  <c r="F403" i="2"/>
  <c r="D403" i="2"/>
  <c r="Q477" i="2"/>
  <c r="E477" i="2"/>
  <c r="M477" i="2"/>
  <c r="A477" i="2"/>
  <c r="J477" i="2"/>
  <c r="H477" i="2"/>
  <c r="G477" i="2"/>
  <c r="F477" i="2"/>
  <c r="C477" i="2"/>
  <c r="P477" i="2"/>
  <c r="O477" i="2"/>
  <c r="N477" i="2"/>
  <c r="I477" i="2"/>
  <c r="L477" i="2"/>
  <c r="K477" i="2" s="1"/>
  <c r="D477" i="2"/>
  <c r="J507" i="2"/>
  <c r="H507" i="2"/>
  <c r="G507" i="2"/>
  <c r="Q507" i="2"/>
  <c r="E507" i="2"/>
  <c r="P507" i="2"/>
  <c r="D507" i="2"/>
  <c r="O507" i="2"/>
  <c r="C507" i="2"/>
  <c r="M507" i="2"/>
  <c r="L507" i="2"/>
  <c r="K507" i="2" s="1"/>
  <c r="I507" i="2"/>
  <c r="A507" i="2"/>
  <c r="N507" i="2"/>
  <c r="F507" i="2"/>
  <c r="H426" i="2"/>
  <c r="F426" i="2"/>
  <c r="P426" i="2"/>
  <c r="C426" i="2"/>
  <c r="O426" i="2"/>
  <c r="M426" i="2"/>
  <c r="L426" i="2"/>
  <c r="K426" i="2" s="1"/>
  <c r="Q426" i="2"/>
  <c r="N426" i="2"/>
  <c r="J426" i="2"/>
  <c r="I426" i="2"/>
  <c r="E426" i="2"/>
  <c r="D426" i="2"/>
  <c r="G426" i="2"/>
  <c r="A426" i="2"/>
  <c r="J440" i="2"/>
  <c r="F440" i="2"/>
  <c r="E440" i="2"/>
  <c r="P440" i="2"/>
  <c r="O440" i="2"/>
  <c r="A440" i="2"/>
  <c r="M440" i="2"/>
  <c r="L440" i="2"/>
  <c r="K440" i="2" s="1"/>
  <c r="Q440" i="2"/>
  <c r="N440" i="2"/>
  <c r="I440" i="2"/>
  <c r="G440" i="2"/>
  <c r="D440" i="2"/>
  <c r="H440" i="2"/>
  <c r="C440" i="2"/>
  <c r="N272" i="2"/>
  <c r="M272" i="2"/>
  <c r="I272" i="2"/>
  <c r="C272" i="2"/>
  <c r="P272" i="2"/>
  <c r="A272" i="2"/>
  <c r="O272" i="2"/>
  <c r="L272" i="2"/>
  <c r="K272" i="2" s="1"/>
  <c r="J272" i="2"/>
  <c r="Q272" i="2"/>
  <c r="H272" i="2"/>
  <c r="G272" i="2"/>
  <c r="F272" i="2"/>
  <c r="E272" i="2"/>
  <c r="D272" i="2"/>
  <c r="Q417" i="2"/>
  <c r="E417" i="2"/>
  <c r="O417" i="2"/>
  <c r="L417" i="2"/>
  <c r="K417" i="2" s="1"/>
  <c r="I417" i="2"/>
  <c r="H417" i="2"/>
  <c r="M417" i="2"/>
  <c r="J417" i="2"/>
  <c r="F417" i="2"/>
  <c r="D417" i="2"/>
  <c r="A417" i="2"/>
  <c r="P417" i="2"/>
  <c r="N417" i="2"/>
  <c r="G417" i="2"/>
  <c r="C417" i="2"/>
  <c r="G559" i="2"/>
  <c r="L559" i="2"/>
  <c r="K559" i="2" s="1"/>
  <c r="J559" i="2"/>
  <c r="I559" i="2"/>
  <c r="H559" i="2"/>
  <c r="F559" i="2"/>
  <c r="D559" i="2"/>
  <c r="Q559" i="2"/>
  <c r="C559" i="2"/>
  <c r="P559" i="2"/>
  <c r="N559" i="2"/>
  <c r="M559" i="2"/>
  <c r="E559" i="2"/>
  <c r="O559" i="2"/>
  <c r="A559" i="2"/>
  <c r="F595" i="2"/>
  <c r="I595" i="2"/>
  <c r="Q595" i="2"/>
  <c r="D595" i="2"/>
  <c r="J595" i="2"/>
  <c r="H595" i="2"/>
  <c r="E595" i="2"/>
  <c r="C595" i="2"/>
  <c r="P595" i="2"/>
  <c r="A595" i="2"/>
  <c r="O595" i="2"/>
  <c r="N595" i="2"/>
  <c r="M595" i="2"/>
  <c r="L595" i="2"/>
  <c r="K595" i="2" s="1"/>
  <c r="G595" i="2"/>
  <c r="F472" i="2"/>
  <c r="N472" i="2"/>
  <c r="I472" i="2"/>
  <c r="G472" i="2"/>
  <c r="E472" i="2"/>
  <c r="D472" i="2"/>
  <c r="P472" i="2"/>
  <c r="A472" i="2"/>
  <c r="O472" i="2"/>
  <c r="Q472" i="2"/>
  <c r="M472" i="2"/>
  <c r="L472" i="2"/>
  <c r="K472" i="2" s="1"/>
  <c r="J472" i="2"/>
  <c r="H472" i="2"/>
  <c r="C472" i="2"/>
  <c r="Q513" i="2"/>
  <c r="E513" i="2"/>
  <c r="P513" i="2"/>
  <c r="D513" i="2"/>
  <c r="N513" i="2"/>
  <c r="M513" i="2"/>
  <c r="A513" i="2"/>
  <c r="J513" i="2"/>
  <c r="I513" i="2"/>
  <c r="C513" i="2"/>
  <c r="O513" i="2"/>
  <c r="L513" i="2"/>
  <c r="K513" i="2" s="1"/>
  <c r="H513" i="2"/>
  <c r="F513" i="2"/>
  <c r="G513" i="2"/>
  <c r="O523" i="2"/>
  <c r="C523" i="2"/>
  <c r="N523" i="2"/>
  <c r="L523" i="2"/>
  <c r="K523" i="2" s="1"/>
  <c r="I523" i="2"/>
  <c r="H523" i="2"/>
  <c r="G523" i="2"/>
  <c r="E523" i="2"/>
  <c r="A523" i="2"/>
  <c r="Q523" i="2"/>
  <c r="P523" i="2"/>
  <c r="M523" i="2"/>
  <c r="F523" i="2"/>
  <c r="D523" i="2"/>
  <c r="J523" i="2"/>
  <c r="N444" i="2"/>
  <c r="J444" i="2"/>
  <c r="I444" i="2"/>
  <c r="F444" i="2"/>
  <c r="E444" i="2"/>
  <c r="Q444" i="2"/>
  <c r="C444" i="2"/>
  <c r="P444" i="2"/>
  <c r="A444" i="2"/>
  <c r="O444" i="2"/>
  <c r="L444" i="2"/>
  <c r="K444" i="2" s="1"/>
  <c r="H444" i="2"/>
  <c r="G444" i="2"/>
  <c r="D444" i="2"/>
  <c r="M444" i="2"/>
  <c r="J623" i="2"/>
  <c r="Q623" i="2"/>
  <c r="D623" i="2"/>
  <c r="M623" i="2"/>
  <c r="E623" i="2"/>
  <c r="C623" i="2"/>
  <c r="P623" i="2"/>
  <c r="A623" i="2"/>
  <c r="O623" i="2"/>
  <c r="L623" i="2"/>
  <c r="K623" i="2" s="1"/>
  <c r="I623" i="2"/>
  <c r="N623" i="2"/>
  <c r="G623" i="2"/>
  <c r="F623" i="2"/>
  <c r="H623" i="2"/>
  <c r="P630" i="2"/>
  <c r="C630" i="2"/>
  <c r="L630" i="2"/>
  <c r="K630" i="2" s="1"/>
  <c r="J630" i="2"/>
  <c r="I630" i="2"/>
  <c r="G630" i="2"/>
  <c r="F630" i="2"/>
  <c r="D630" i="2"/>
  <c r="Q630" i="2"/>
  <c r="A630" i="2"/>
  <c r="N630" i="2"/>
  <c r="M630" i="2"/>
  <c r="H630" i="2"/>
  <c r="O630" i="2"/>
  <c r="E630" i="2"/>
  <c r="I800" i="2"/>
  <c r="H800" i="2"/>
  <c r="F800" i="2"/>
  <c r="E800" i="2"/>
  <c r="D800" i="2"/>
  <c r="N800" i="2"/>
  <c r="L800" i="2"/>
  <c r="K800" i="2" s="1"/>
  <c r="J800" i="2"/>
  <c r="G800" i="2"/>
  <c r="A800" i="2"/>
  <c r="O800" i="2"/>
  <c r="M800" i="2"/>
  <c r="Q800" i="2"/>
  <c r="P800" i="2"/>
  <c r="C800" i="2"/>
  <c r="J581" i="2"/>
  <c r="P581" i="2"/>
  <c r="C581" i="2"/>
  <c r="O581" i="2"/>
  <c r="M581" i="2"/>
  <c r="L581" i="2"/>
  <c r="K581" i="2" s="1"/>
  <c r="G581" i="2"/>
  <c r="F581" i="2"/>
  <c r="E581" i="2"/>
  <c r="D581" i="2"/>
  <c r="A581" i="2"/>
  <c r="Q581" i="2"/>
  <c r="N581" i="2"/>
  <c r="I581" i="2"/>
  <c r="H581" i="2"/>
  <c r="Q612" i="2"/>
  <c r="E612" i="2"/>
  <c r="H612" i="2"/>
  <c r="P612" i="2"/>
  <c r="C612" i="2"/>
  <c r="A612" i="2"/>
  <c r="N612" i="2"/>
  <c r="M612" i="2"/>
  <c r="J612" i="2"/>
  <c r="I612" i="2"/>
  <c r="O612" i="2"/>
  <c r="L612" i="2"/>
  <c r="K612" i="2" s="1"/>
  <c r="F612" i="2"/>
  <c r="D612" i="2"/>
  <c r="G612" i="2"/>
  <c r="G688" i="2"/>
  <c r="F688" i="2"/>
  <c r="P688" i="2"/>
  <c r="D688" i="2"/>
  <c r="L688" i="2"/>
  <c r="K688" i="2" s="1"/>
  <c r="M688" i="2"/>
  <c r="J688" i="2"/>
  <c r="I688" i="2"/>
  <c r="Q688" i="2"/>
  <c r="O688" i="2"/>
  <c r="H688" i="2"/>
  <c r="C688" i="2"/>
  <c r="A688" i="2"/>
  <c r="N688" i="2"/>
  <c r="E688" i="2"/>
  <c r="F619" i="2"/>
  <c r="G619" i="2"/>
  <c r="O619" i="2"/>
  <c r="J619" i="2"/>
  <c r="I619" i="2"/>
  <c r="E619" i="2"/>
  <c r="D619" i="2"/>
  <c r="Q619" i="2"/>
  <c r="A619" i="2"/>
  <c r="P619" i="2"/>
  <c r="N619" i="2"/>
  <c r="L619" i="2"/>
  <c r="K619" i="2" s="1"/>
  <c r="H619" i="2"/>
  <c r="M619" i="2"/>
  <c r="C619" i="2"/>
  <c r="F693" i="2"/>
  <c r="Q693" i="2"/>
  <c r="E693" i="2"/>
  <c r="O693" i="2"/>
  <c r="C693" i="2"/>
  <c r="N693" i="2"/>
  <c r="M693" i="2"/>
  <c r="D693" i="2"/>
  <c r="P693" i="2"/>
  <c r="L693" i="2"/>
  <c r="K693" i="2" s="1"/>
  <c r="J693" i="2"/>
  <c r="I693" i="2"/>
  <c r="G693" i="2"/>
  <c r="A693" i="2"/>
  <c r="H693" i="2"/>
  <c r="H735" i="2"/>
  <c r="N735" i="2"/>
  <c r="A735" i="2"/>
  <c r="M735" i="2"/>
  <c r="L735" i="2"/>
  <c r="K735" i="2" s="1"/>
  <c r="G735" i="2"/>
  <c r="F735" i="2"/>
  <c r="J735" i="2"/>
  <c r="I735" i="2"/>
  <c r="D735" i="2"/>
  <c r="P735" i="2"/>
  <c r="O735" i="2"/>
  <c r="E735" i="2"/>
  <c r="C735" i="2"/>
  <c r="Q735" i="2"/>
  <c r="P667" i="2"/>
  <c r="D667" i="2"/>
  <c r="O667" i="2"/>
  <c r="H667" i="2"/>
  <c r="G667" i="2"/>
  <c r="E667" i="2"/>
  <c r="C667" i="2"/>
  <c r="N667" i="2"/>
  <c r="M667" i="2"/>
  <c r="L667" i="2"/>
  <c r="K667" i="2" s="1"/>
  <c r="J667" i="2"/>
  <c r="F667" i="2"/>
  <c r="A667" i="2"/>
  <c r="Q667" i="2"/>
  <c r="I667" i="2"/>
  <c r="F709" i="2"/>
  <c r="J709" i="2"/>
  <c r="I709" i="2"/>
  <c r="H709" i="2"/>
  <c r="E709" i="2"/>
  <c r="Q709" i="2"/>
  <c r="P709" i="2"/>
  <c r="A709" i="2"/>
  <c r="O709" i="2"/>
  <c r="M709" i="2"/>
  <c r="L709" i="2"/>
  <c r="K709" i="2" s="1"/>
  <c r="C709" i="2"/>
  <c r="G709" i="2"/>
  <c r="D709" i="2"/>
  <c r="N709" i="2"/>
  <c r="O696" i="2"/>
  <c r="C696" i="2"/>
  <c r="N696" i="2"/>
  <c r="L696" i="2"/>
  <c r="K696" i="2" s="1"/>
  <c r="H696" i="2"/>
  <c r="D696" i="2"/>
  <c r="Q696" i="2"/>
  <c r="J696" i="2"/>
  <c r="F696" i="2"/>
  <c r="E696" i="2"/>
  <c r="P696" i="2"/>
  <c r="M696" i="2"/>
  <c r="I696" i="2"/>
  <c r="A696" i="2"/>
  <c r="G696" i="2"/>
  <c r="G148" i="2"/>
  <c r="Q148" i="2"/>
  <c r="P148" i="2"/>
  <c r="L148" i="2"/>
  <c r="K148" i="2" s="1"/>
  <c r="J148" i="2"/>
  <c r="I148" i="2"/>
  <c r="H148" i="2"/>
  <c r="F148" i="2"/>
  <c r="E148" i="2"/>
  <c r="D148" i="2"/>
  <c r="C148" i="2"/>
  <c r="O148" i="2"/>
  <c r="N148" i="2"/>
  <c r="M148" i="2"/>
  <c r="A148" i="2"/>
  <c r="J93" i="2"/>
  <c r="F93" i="2"/>
  <c r="I93" i="2"/>
  <c r="H93" i="2"/>
  <c r="G93" i="2"/>
  <c r="E93" i="2"/>
  <c r="D93" i="2"/>
  <c r="Q93" i="2"/>
  <c r="C93" i="2"/>
  <c r="P93" i="2"/>
  <c r="O93" i="2"/>
  <c r="A93" i="2"/>
  <c r="N93" i="2"/>
  <c r="M93" i="2"/>
  <c r="L93" i="2"/>
  <c r="K93" i="2" s="1"/>
  <c r="G88" i="2"/>
  <c r="I88" i="2"/>
  <c r="H88" i="2"/>
  <c r="F88" i="2"/>
  <c r="E88" i="2"/>
  <c r="D88" i="2"/>
  <c r="Q88" i="2"/>
  <c r="C88" i="2"/>
  <c r="P88" i="2"/>
  <c r="O88" i="2"/>
  <c r="A88" i="2"/>
  <c r="N88" i="2"/>
  <c r="M88" i="2"/>
  <c r="L88" i="2"/>
  <c r="K88" i="2" s="1"/>
  <c r="J88" i="2"/>
  <c r="G50" i="2"/>
  <c r="F50" i="2"/>
  <c r="Q50" i="2"/>
  <c r="E50" i="2"/>
  <c r="P50" i="2"/>
  <c r="D50" i="2"/>
  <c r="O50" i="2"/>
  <c r="C50" i="2"/>
  <c r="N50" i="2"/>
  <c r="M50" i="2"/>
  <c r="A50" i="2"/>
  <c r="L50" i="2"/>
  <c r="I50" i="2"/>
  <c r="H50" i="2"/>
  <c r="K50" i="2"/>
  <c r="J50" i="2"/>
  <c r="F31" i="2"/>
  <c r="Q31" i="2"/>
  <c r="E31" i="2"/>
  <c r="P31" i="2"/>
  <c r="D31" i="2"/>
  <c r="O31" i="2"/>
  <c r="C31" i="2"/>
  <c r="N31" i="2"/>
  <c r="M31" i="2"/>
  <c r="A31" i="2"/>
  <c r="L31" i="2"/>
  <c r="K31" i="2" s="1"/>
  <c r="H31" i="2"/>
  <c r="G31" i="2"/>
  <c r="J31" i="2"/>
  <c r="I31" i="2"/>
  <c r="G168" i="2"/>
  <c r="F168" i="2"/>
  <c r="Q168" i="2"/>
  <c r="E168" i="2"/>
  <c r="P168" i="2"/>
  <c r="D168" i="2"/>
  <c r="O168" i="2"/>
  <c r="C168" i="2"/>
  <c r="M168" i="2"/>
  <c r="A168" i="2"/>
  <c r="L168" i="2"/>
  <c r="K168" i="2" s="1"/>
  <c r="N168" i="2"/>
  <c r="J168" i="2"/>
  <c r="I168" i="2"/>
  <c r="H168" i="2"/>
  <c r="J117" i="2"/>
  <c r="F117" i="2"/>
  <c r="E117" i="2"/>
  <c r="D117" i="2"/>
  <c r="Q117" i="2"/>
  <c r="C117" i="2"/>
  <c r="P117" i="2"/>
  <c r="O117" i="2"/>
  <c r="A117" i="2"/>
  <c r="N117" i="2"/>
  <c r="M117" i="2"/>
  <c r="L117" i="2"/>
  <c r="K117" i="2" s="1"/>
  <c r="I117" i="2"/>
  <c r="H117" i="2"/>
  <c r="G117" i="2"/>
  <c r="G84" i="2"/>
  <c r="O84" i="2"/>
  <c r="C84" i="2"/>
  <c r="E84" i="2"/>
  <c r="D84" i="2"/>
  <c r="Q84" i="2"/>
  <c r="P84" i="2"/>
  <c r="A84" i="2"/>
  <c r="N84" i="2"/>
  <c r="M84" i="2"/>
  <c r="L84" i="2"/>
  <c r="K84" i="2" s="1"/>
  <c r="J84" i="2"/>
  <c r="I84" i="2"/>
  <c r="H84" i="2"/>
  <c r="F84" i="2"/>
  <c r="O68" i="2"/>
  <c r="C68" i="2"/>
  <c r="D68" i="2"/>
  <c r="Q68" i="2"/>
  <c r="P68" i="2"/>
  <c r="A68" i="2"/>
  <c r="N68" i="2"/>
  <c r="M68" i="2"/>
  <c r="L68" i="2"/>
  <c r="K68" i="2" s="1"/>
  <c r="J68" i="2"/>
  <c r="I68" i="2"/>
  <c r="H68" i="2"/>
  <c r="G68" i="2"/>
  <c r="F68" i="2"/>
  <c r="E68" i="2"/>
  <c r="N39" i="2"/>
  <c r="M39" i="2"/>
  <c r="A39" i="2"/>
  <c r="L39" i="2"/>
  <c r="K39" i="2" s="1"/>
  <c r="J39" i="2"/>
  <c r="I39" i="2"/>
  <c r="H39" i="2"/>
  <c r="G39" i="2"/>
  <c r="P39" i="2"/>
  <c r="O39" i="2"/>
  <c r="F39" i="2"/>
  <c r="E39" i="2"/>
  <c r="D39" i="2"/>
  <c r="C39" i="2"/>
  <c r="Q39" i="2"/>
  <c r="M190" i="2"/>
  <c r="A190" i="2"/>
  <c r="J190" i="2"/>
  <c r="I190" i="2"/>
  <c r="H190" i="2"/>
  <c r="G190" i="2"/>
  <c r="F190" i="2"/>
  <c r="Q190" i="2"/>
  <c r="D190" i="2"/>
  <c r="P190" i="2"/>
  <c r="C190" i="2"/>
  <c r="O190" i="2"/>
  <c r="E190" i="2"/>
  <c r="N190" i="2"/>
  <c r="L190" i="2"/>
  <c r="K190" i="2" s="1"/>
  <c r="I170" i="2"/>
  <c r="H170" i="2"/>
  <c r="G170" i="2"/>
  <c r="F170" i="2"/>
  <c r="Q170" i="2"/>
  <c r="E170" i="2"/>
  <c r="O170" i="2"/>
  <c r="C170" i="2"/>
  <c r="N170" i="2"/>
  <c r="M170" i="2"/>
  <c r="A170" i="2"/>
  <c r="P170" i="2"/>
  <c r="L170" i="2"/>
  <c r="K170" i="2" s="1"/>
  <c r="J170" i="2"/>
  <c r="D170" i="2"/>
  <c r="H163" i="2"/>
  <c r="G163" i="2"/>
  <c r="F163" i="2"/>
  <c r="Q163" i="2"/>
  <c r="E163" i="2"/>
  <c r="P163" i="2"/>
  <c r="D163" i="2"/>
  <c r="N163" i="2"/>
  <c r="M163" i="2"/>
  <c r="A163" i="2"/>
  <c r="L163" i="2"/>
  <c r="K163" i="2" s="1"/>
  <c r="O163" i="2"/>
  <c r="J163" i="2"/>
  <c r="I163" i="2"/>
  <c r="C163" i="2"/>
  <c r="F101" i="2"/>
  <c r="N101" i="2"/>
  <c r="D101" i="2"/>
  <c r="Q101" i="2"/>
  <c r="C101" i="2"/>
  <c r="P101" i="2"/>
  <c r="A101" i="2"/>
  <c r="O101" i="2"/>
  <c r="M101" i="2"/>
  <c r="L101" i="2"/>
  <c r="K101" i="2" s="1"/>
  <c r="J101" i="2"/>
  <c r="I101" i="2"/>
  <c r="H101" i="2"/>
  <c r="G101" i="2"/>
  <c r="E101" i="2"/>
  <c r="G271" i="2"/>
  <c r="Q271" i="2"/>
  <c r="D271" i="2"/>
  <c r="M271" i="2"/>
  <c r="C271" i="2"/>
  <c r="P271" i="2"/>
  <c r="A271" i="2"/>
  <c r="O271" i="2"/>
  <c r="L271" i="2"/>
  <c r="K271" i="2" s="1"/>
  <c r="J271" i="2"/>
  <c r="I271" i="2"/>
  <c r="N271" i="2"/>
  <c r="H271" i="2"/>
  <c r="F271" i="2"/>
  <c r="E271" i="2"/>
  <c r="P183" i="2"/>
  <c r="D183" i="2"/>
  <c r="O183" i="2"/>
  <c r="C183" i="2"/>
  <c r="N183" i="2"/>
  <c r="M183" i="2"/>
  <c r="A183" i="2"/>
  <c r="L183" i="2"/>
  <c r="K183" i="2" s="1"/>
  <c r="J183" i="2"/>
  <c r="I183" i="2"/>
  <c r="H183" i="2"/>
  <c r="G183" i="2"/>
  <c r="F183" i="2"/>
  <c r="E183" i="2"/>
  <c r="Q183" i="2"/>
  <c r="O176" i="2"/>
  <c r="C176" i="2"/>
  <c r="N176" i="2"/>
  <c r="M176" i="2"/>
  <c r="A176" i="2"/>
  <c r="L176" i="2"/>
  <c r="K176" i="2" s="1"/>
  <c r="I176" i="2"/>
  <c r="H176" i="2"/>
  <c r="G176" i="2"/>
  <c r="Q176" i="2"/>
  <c r="P176" i="2"/>
  <c r="J176" i="2"/>
  <c r="F176" i="2"/>
  <c r="E176" i="2"/>
  <c r="D176" i="2"/>
  <c r="N157" i="2"/>
  <c r="M157" i="2"/>
  <c r="A157" i="2"/>
  <c r="L157" i="2"/>
  <c r="K157" i="2" s="1"/>
  <c r="J157" i="2"/>
  <c r="H157" i="2"/>
  <c r="G157" i="2"/>
  <c r="E157" i="2"/>
  <c r="D157" i="2"/>
  <c r="C157" i="2"/>
  <c r="Q157" i="2"/>
  <c r="P157" i="2"/>
  <c r="O157" i="2"/>
  <c r="I157" i="2"/>
  <c r="F157" i="2"/>
  <c r="H326" i="2"/>
  <c r="P326" i="2"/>
  <c r="D326" i="2"/>
  <c r="I326" i="2"/>
  <c r="C326" i="2"/>
  <c r="E326" i="2"/>
  <c r="A326" i="2"/>
  <c r="Q326" i="2"/>
  <c r="O326" i="2"/>
  <c r="M326" i="2"/>
  <c r="L326" i="2"/>
  <c r="K326" i="2" s="1"/>
  <c r="J326" i="2"/>
  <c r="G326" i="2"/>
  <c r="F326" i="2"/>
  <c r="N326" i="2"/>
  <c r="N197" i="2"/>
  <c r="I197" i="2"/>
  <c r="H197" i="2"/>
  <c r="G197" i="2"/>
  <c r="F197" i="2"/>
  <c r="E197" i="2"/>
  <c r="P197" i="2"/>
  <c r="C197" i="2"/>
  <c r="O197" i="2"/>
  <c r="A197" i="2"/>
  <c r="M197" i="2"/>
  <c r="D197" i="2"/>
  <c r="Q197" i="2"/>
  <c r="L197" i="2"/>
  <c r="K197" i="2" s="1"/>
  <c r="J197" i="2"/>
  <c r="G371" i="2"/>
  <c r="L371" i="2"/>
  <c r="K371" i="2" s="1"/>
  <c r="H371" i="2"/>
  <c r="D371" i="2"/>
  <c r="C371" i="2"/>
  <c r="P371" i="2"/>
  <c r="A371" i="2"/>
  <c r="O371" i="2"/>
  <c r="M371" i="2"/>
  <c r="N371" i="2"/>
  <c r="Q371" i="2"/>
  <c r="I371" i="2"/>
  <c r="F371" i="2"/>
  <c r="E371" i="2"/>
  <c r="J371" i="2"/>
  <c r="Q363" i="2"/>
  <c r="D363" i="2"/>
  <c r="M363" i="2"/>
  <c r="O363" i="2"/>
  <c r="N363" i="2"/>
  <c r="J363" i="2"/>
  <c r="I363" i="2"/>
  <c r="G363" i="2"/>
  <c r="F363" i="2"/>
  <c r="P363" i="2"/>
  <c r="H363" i="2"/>
  <c r="E363" i="2"/>
  <c r="C363" i="2"/>
  <c r="A363" i="2"/>
  <c r="L363" i="2"/>
  <c r="K363" i="2" s="1"/>
  <c r="Q329" i="2"/>
  <c r="E329" i="2"/>
  <c r="M329" i="2"/>
  <c r="A329" i="2"/>
  <c r="O329" i="2"/>
  <c r="J329" i="2"/>
  <c r="G329" i="2"/>
  <c r="D329" i="2"/>
  <c r="C329" i="2"/>
  <c r="N329" i="2"/>
  <c r="H329" i="2"/>
  <c r="F329" i="2"/>
  <c r="P329" i="2"/>
  <c r="L329" i="2"/>
  <c r="K329" i="2" s="1"/>
  <c r="I329" i="2"/>
  <c r="I309" i="2"/>
  <c r="M309" i="2"/>
  <c r="H309" i="2"/>
  <c r="D309" i="2"/>
  <c r="Q309" i="2"/>
  <c r="P309" i="2"/>
  <c r="A309" i="2"/>
  <c r="O309" i="2"/>
  <c r="L309" i="2"/>
  <c r="K309" i="2" s="1"/>
  <c r="N309" i="2"/>
  <c r="G309" i="2"/>
  <c r="F309" i="2"/>
  <c r="E309" i="2"/>
  <c r="C309" i="2"/>
  <c r="J309" i="2"/>
  <c r="J316" i="2"/>
  <c r="F316" i="2"/>
  <c r="E316" i="2"/>
  <c r="O316" i="2"/>
  <c r="A316" i="2"/>
  <c r="P316" i="2"/>
  <c r="N316" i="2"/>
  <c r="M316" i="2"/>
  <c r="H316" i="2"/>
  <c r="Q316" i="2"/>
  <c r="I316" i="2"/>
  <c r="G316" i="2"/>
  <c r="D316" i="2"/>
  <c r="C316" i="2"/>
  <c r="L316" i="2"/>
  <c r="K316" i="2" s="1"/>
  <c r="J368" i="2"/>
  <c r="F368" i="2"/>
  <c r="H368" i="2"/>
  <c r="G368" i="2"/>
  <c r="D368" i="2"/>
  <c r="C368" i="2"/>
  <c r="P368" i="2"/>
  <c r="A368" i="2"/>
  <c r="O368" i="2"/>
  <c r="N368" i="2"/>
  <c r="M368" i="2"/>
  <c r="L368" i="2"/>
  <c r="K368" i="2" s="1"/>
  <c r="I368" i="2"/>
  <c r="E368" i="2"/>
  <c r="Q368" i="2"/>
  <c r="I409" i="2"/>
  <c r="G409" i="2"/>
  <c r="Q409" i="2"/>
  <c r="D409" i="2"/>
  <c r="P409" i="2"/>
  <c r="C409" i="2"/>
  <c r="M409" i="2"/>
  <c r="O409" i="2"/>
  <c r="L409" i="2"/>
  <c r="K409" i="2" s="1"/>
  <c r="H409" i="2"/>
  <c r="F409" i="2"/>
  <c r="E409" i="2"/>
  <c r="J409" i="2"/>
  <c r="A409" i="2"/>
  <c r="N409" i="2"/>
  <c r="H390" i="2"/>
  <c r="P390" i="2"/>
  <c r="C390" i="2"/>
  <c r="L390" i="2"/>
  <c r="K390" i="2" s="1"/>
  <c r="J390" i="2"/>
  <c r="G390" i="2"/>
  <c r="F390" i="2"/>
  <c r="D390" i="2"/>
  <c r="I390" i="2"/>
  <c r="E390" i="2"/>
  <c r="Q390" i="2"/>
  <c r="O390" i="2"/>
  <c r="N390" i="2"/>
  <c r="A390" i="2"/>
  <c r="M390" i="2"/>
  <c r="G503" i="2"/>
  <c r="F503" i="2"/>
  <c r="P503" i="2"/>
  <c r="D503" i="2"/>
  <c r="O503" i="2"/>
  <c r="C503" i="2"/>
  <c r="M503" i="2"/>
  <c r="A503" i="2"/>
  <c r="L503" i="2"/>
  <c r="K503" i="2" s="1"/>
  <c r="N503" i="2"/>
  <c r="J503" i="2"/>
  <c r="Q503" i="2"/>
  <c r="I503" i="2"/>
  <c r="H503" i="2"/>
  <c r="E503" i="2"/>
  <c r="Q381" i="2"/>
  <c r="E381" i="2"/>
  <c r="L381" i="2"/>
  <c r="K381" i="2" s="1"/>
  <c r="H381" i="2"/>
  <c r="G381" i="2"/>
  <c r="F381" i="2"/>
  <c r="C381" i="2"/>
  <c r="O381" i="2"/>
  <c r="N381" i="2"/>
  <c r="D381" i="2"/>
  <c r="A381" i="2"/>
  <c r="P381" i="2"/>
  <c r="M381" i="2"/>
  <c r="J381" i="2"/>
  <c r="I381" i="2"/>
  <c r="L382" i="2"/>
  <c r="K382" i="2" s="1"/>
  <c r="H382" i="2"/>
  <c r="Q382" i="2"/>
  <c r="D382" i="2"/>
  <c r="F382" i="2"/>
  <c r="E382" i="2"/>
  <c r="P382" i="2"/>
  <c r="A382" i="2"/>
  <c r="N382" i="2"/>
  <c r="M382" i="2"/>
  <c r="O382" i="2"/>
  <c r="I382" i="2"/>
  <c r="C382" i="2"/>
  <c r="J382" i="2"/>
  <c r="G382" i="2"/>
  <c r="N256" i="2"/>
  <c r="J256" i="2"/>
  <c r="H256" i="2"/>
  <c r="F256" i="2"/>
  <c r="E256" i="2"/>
  <c r="Q256" i="2"/>
  <c r="P256" i="2"/>
  <c r="O256" i="2"/>
  <c r="M256" i="2"/>
  <c r="L256" i="2"/>
  <c r="K256" i="2" s="1"/>
  <c r="G256" i="2"/>
  <c r="D256" i="2"/>
  <c r="C256" i="2"/>
  <c r="I256" i="2"/>
  <c r="A256" i="2"/>
  <c r="Q441" i="2"/>
  <c r="E441" i="2"/>
  <c r="M441" i="2"/>
  <c r="A441" i="2"/>
  <c r="C441" i="2"/>
  <c r="N441" i="2"/>
  <c r="L441" i="2"/>
  <c r="K441" i="2" s="1"/>
  <c r="J441" i="2"/>
  <c r="I441" i="2"/>
  <c r="O441" i="2"/>
  <c r="P441" i="2"/>
  <c r="H441" i="2"/>
  <c r="F441" i="2"/>
  <c r="D441" i="2"/>
  <c r="G441" i="2"/>
  <c r="J488" i="2"/>
  <c r="F488" i="2"/>
  <c r="H488" i="2"/>
  <c r="G488" i="2"/>
  <c r="E488" i="2"/>
  <c r="Q488" i="2"/>
  <c r="C488" i="2"/>
  <c r="P488" i="2"/>
  <c r="L488" i="2"/>
  <c r="K488" i="2" s="1"/>
  <c r="I488" i="2"/>
  <c r="D488" i="2"/>
  <c r="A488" i="2"/>
  <c r="O488" i="2"/>
  <c r="N488" i="2"/>
  <c r="M488" i="2"/>
  <c r="L542" i="2"/>
  <c r="K542" i="2" s="1"/>
  <c r="H542" i="2"/>
  <c r="M542" i="2"/>
  <c r="I542" i="2"/>
  <c r="G542" i="2"/>
  <c r="E542" i="2"/>
  <c r="D542" i="2"/>
  <c r="Q542" i="2"/>
  <c r="C542" i="2"/>
  <c r="O542" i="2"/>
  <c r="N542" i="2"/>
  <c r="J542" i="2"/>
  <c r="A542" i="2"/>
  <c r="P542" i="2"/>
  <c r="F542" i="2"/>
  <c r="P434" i="2"/>
  <c r="D434" i="2"/>
  <c r="L434" i="2"/>
  <c r="K434" i="2" s="1"/>
  <c r="G434" i="2"/>
  <c r="C434" i="2"/>
  <c r="Q434" i="2"/>
  <c r="N434" i="2"/>
  <c r="M434" i="2"/>
  <c r="O434" i="2"/>
  <c r="I434" i="2"/>
  <c r="H434" i="2"/>
  <c r="J434" i="2"/>
  <c r="F434" i="2"/>
  <c r="E434" i="2"/>
  <c r="A434" i="2"/>
  <c r="O451" i="2"/>
  <c r="C451" i="2"/>
  <c r="F451" i="2"/>
  <c r="Q451" i="2"/>
  <c r="P451" i="2"/>
  <c r="A451" i="2"/>
  <c r="M451" i="2"/>
  <c r="L451" i="2"/>
  <c r="K451" i="2" s="1"/>
  <c r="E451" i="2"/>
  <c r="D451" i="2"/>
  <c r="N451" i="2"/>
  <c r="I451" i="2"/>
  <c r="H451" i="2"/>
  <c r="G451" i="2"/>
  <c r="J451" i="2"/>
  <c r="N284" i="2"/>
  <c r="F284" i="2"/>
  <c r="O284" i="2"/>
  <c r="A284" i="2"/>
  <c r="C284" i="2"/>
  <c r="P284" i="2"/>
  <c r="E284" i="2"/>
  <c r="D284" i="2"/>
  <c r="Q284" i="2"/>
  <c r="M284" i="2"/>
  <c r="L284" i="2"/>
  <c r="K284" i="2" s="1"/>
  <c r="J284" i="2"/>
  <c r="I284" i="2"/>
  <c r="H284" i="2"/>
  <c r="G284" i="2"/>
  <c r="O427" i="2"/>
  <c r="C427" i="2"/>
  <c r="P427" i="2"/>
  <c r="L427" i="2"/>
  <c r="K427" i="2" s="1"/>
  <c r="I427" i="2"/>
  <c r="H427" i="2"/>
  <c r="Q427" i="2"/>
  <c r="N427" i="2"/>
  <c r="J427" i="2"/>
  <c r="G427" i="2"/>
  <c r="F427" i="2"/>
  <c r="E427" i="2"/>
  <c r="A427" i="2"/>
  <c r="D427" i="2"/>
  <c r="M427" i="2"/>
  <c r="P570" i="2"/>
  <c r="D570" i="2"/>
  <c r="L570" i="2"/>
  <c r="K570" i="2" s="1"/>
  <c r="J570" i="2"/>
  <c r="I570" i="2"/>
  <c r="H570" i="2"/>
  <c r="G570" i="2"/>
  <c r="E570" i="2"/>
  <c r="C570" i="2"/>
  <c r="Q570" i="2"/>
  <c r="F570" i="2"/>
  <c r="O570" i="2"/>
  <c r="M570" i="2"/>
  <c r="A570" i="2"/>
  <c r="N570" i="2"/>
  <c r="H498" i="2"/>
  <c r="G498" i="2"/>
  <c r="Q498" i="2"/>
  <c r="E498" i="2"/>
  <c r="P498" i="2"/>
  <c r="D498" i="2"/>
  <c r="N498" i="2"/>
  <c r="M498" i="2"/>
  <c r="A498" i="2"/>
  <c r="L498" i="2"/>
  <c r="K498" i="2" s="1"/>
  <c r="J498" i="2"/>
  <c r="I498" i="2"/>
  <c r="F498" i="2"/>
  <c r="C498" i="2"/>
  <c r="O498" i="2"/>
  <c r="F484" i="2"/>
  <c r="N484" i="2"/>
  <c r="G484" i="2"/>
  <c r="D484" i="2"/>
  <c r="Q484" i="2"/>
  <c r="C484" i="2"/>
  <c r="P484" i="2"/>
  <c r="A484" i="2"/>
  <c r="M484" i="2"/>
  <c r="L484" i="2"/>
  <c r="K484" i="2" s="1"/>
  <c r="O484" i="2"/>
  <c r="J484" i="2"/>
  <c r="H484" i="2"/>
  <c r="E484" i="2"/>
  <c r="I484" i="2"/>
  <c r="Q525" i="2"/>
  <c r="E525" i="2"/>
  <c r="P525" i="2"/>
  <c r="D525" i="2"/>
  <c r="N525" i="2"/>
  <c r="M525" i="2"/>
  <c r="A525" i="2"/>
  <c r="J525" i="2"/>
  <c r="I525" i="2"/>
  <c r="O525" i="2"/>
  <c r="L525" i="2"/>
  <c r="K525" i="2" s="1"/>
  <c r="C525" i="2"/>
  <c r="H525" i="2"/>
  <c r="G525" i="2"/>
  <c r="F525" i="2"/>
  <c r="M541" i="2"/>
  <c r="A541" i="2"/>
  <c r="P541" i="2"/>
  <c r="C541" i="2"/>
  <c r="O541" i="2"/>
  <c r="L541" i="2"/>
  <c r="K541" i="2" s="1"/>
  <c r="I541" i="2"/>
  <c r="H541" i="2"/>
  <c r="G541" i="2"/>
  <c r="E541" i="2"/>
  <c r="Q541" i="2"/>
  <c r="N541" i="2"/>
  <c r="F541" i="2"/>
  <c r="D541" i="2"/>
  <c r="J541" i="2"/>
  <c r="N456" i="2"/>
  <c r="J456" i="2"/>
  <c r="G456" i="2"/>
  <c r="D456" i="2"/>
  <c r="Q456" i="2"/>
  <c r="C456" i="2"/>
  <c r="O456" i="2"/>
  <c r="M456" i="2"/>
  <c r="P456" i="2"/>
  <c r="L456" i="2"/>
  <c r="K456" i="2" s="1"/>
  <c r="I456" i="2"/>
  <c r="F456" i="2"/>
  <c r="E456" i="2"/>
  <c r="H456" i="2"/>
  <c r="A456" i="2"/>
  <c r="I740" i="2"/>
  <c r="H740" i="2"/>
  <c r="G740" i="2"/>
  <c r="O740" i="2"/>
  <c r="N740" i="2"/>
  <c r="M740" i="2"/>
  <c r="L740" i="2"/>
  <c r="K740" i="2" s="1"/>
  <c r="F740" i="2"/>
  <c r="E740" i="2"/>
  <c r="J740" i="2"/>
  <c r="C740" i="2"/>
  <c r="A740" i="2"/>
  <c r="Q740" i="2"/>
  <c r="P740" i="2"/>
  <c r="D740" i="2"/>
  <c r="H659" i="2"/>
  <c r="G659" i="2"/>
  <c r="O659" i="2"/>
  <c r="A659" i="2"/>
  <c r="N659" i="2"/>
  <c r="L659" i="2"/>
  <c r="K659" i="2" s="1"/>
  <c r="I659" i="2"/>
  <c r="F659" i="2"/>
  <c r="E659" i="2"/>
  <c r="Q659" i="2"/>
  <c r="M659" i="2"/>
  <c r="J659" i="2"/>
  <c r="C659" i="2"/>
  <c r="P659" i="2"/>
  <c r="D659" i="2"/>
  <c r="N536" i="2"/>
  <c r="I536" i="2"/>
  <c r="H536" i="2"/>
  <c r="F536" i="2"/>
  <c r="E536" i="2"/>
  <c r="P536" i="2"/>
  <c r="C536" i="2"/>
  <c r="O536" i="2"/>
  <c r="A536" i="2"/>
  <c r="M536" i="2"/>
  <c r="Q536" i="2"/>
  <c r="J536" i="2"/>
  <c r="L536" i="2"/>
  <c r="K536" i="2" s="1"/>
  <c r="G536" i="2"/>
  <c r="D536" i="2"/>
  <c r="H591" i="2"/>
  <c r="P591" i="2"/>
  <c r="C591" i="2"/>
  <c r="O591" i="2"/>
  <c r="M591" i="2"/>
  <c r="L591" i="2"/>
  <c r="K591" i="2" s="1"/>
  <c r="I591" i="2"/>
  <c r="F591" i="2"/>
  <c r="E591" i="2"/>
  <c r="D591" i="2"/>
  <c r="A591" i="2"/>
  <c r="Q591" i="2"/>
  <c r="N591" i="2"/>
  <c r="J591" i="2"/>
  <c r="G591" i="2"/>
  <c r="L613" i="2"/>
  <c r="K613" i="2" s="1"/>
  <c r="Q613" i="2"/>
  <c r="D613" i="2"/>
  <c r="M613" i="2"/>
  <c r="P613" i="2"/>
  <c r="A613" i="2"/>
  <c r="N613" i="2"/>
  <c r="I613" i="2"/>
  <c r="H613" i="2"/>
  <c r="G613" i="2"/>
  <c r="O613" i="2"/>
  <c r="J613" i="2"/>
  <c r="F613" i="2"/>
  <c r="C613" i="2"/>
  <c r="E613" i="2"/>
  <c r="L701" i="2"/>
  <c r="K701" i="2" s="1"/>
  <c r="O701" i="2"/>
  <c r="A701" i="2"/>
  <c r="N701" i="2"/>
  <c r="J701" i="2"/>
  <c r="G701" i="2"/>
  <c r="F701" i="2"/>
  <c r="H701" i="2"/>
  <c r="D701" i="2"/>
  <c r="C701" i="2"/>
  <c r="P701" i="2"/>
  <c r="M701" i="2"/>
  <c r="E701" i="2"/>
  <c r="Q701" i="2"/>
  <c r="I701" i="2"/>
  <c r="P629" i="2"/>
  <c r="D629" i="2"/>
  <c r="G629" i="2"/>
  <c r="O629" i="2"/>
  <c r="L629" i="2"/>
  <c r="K629" i="2" s="1"/>
  <c r="I629" i="2"/>
  <c r="H629" i="2"/>
  <c r="E629" i="2"/>
  <c r="C629" i="2"/>
  <c r="A629" i="2"/>
  <c r="M629" i="2"/>
  <c r="J629" i="2"/>
  <c r="F629" i="2"/>
  <c r="Q629" i="2"/>
  <c r="N629" i="2"/>
  <c r="M732" i="2"/>
  <c r="L732" i="2"/>
  <c r="K732" i="2" s="1"/>
  <c r="J732" i="2"/>
  <c r="I732" i="2"/>
  <c r="F732" i="2"/>
  <c r="E732" i="2"/>
  <c r="H732" i="2"/>
  <c r="G732" i="2"/>
  <c r="C732" i="2"/>
  <c r="Q732" i="2"/>
  <c r="O732" i="2"/>
  <c r="N732" i="2"/>
  <c r="A732" i="2"/>
  <c r="D732" i="2"/>
  <c r="P732" i="2"/>
  <c r="J673" i="2"/>
  <c r="E673" i="2"/>
  <c r="P673" i="2"/>
  <c r="C673" i="2"/>
  <c r="O673" i="2"/>
  <c r="D673" i="2"/>
  <c r="A673" i="2"/>
  <c r="Q673" i="2"/>
  <c r="N673" i="2"/>
  <c r="L673" i="2"/>
  <c r="K673" i="2" s="1"/>
  <c r="I673" i="2"/>
  <c r="M673" i="2"/>
  <c r="H673" i="2"/>
  <c r="G673" i="2"/>
  <c r="F673" i="2"/>
  <c r="P679" i="2"/>
  <c r="D679" i="2"/>
  <c r="O679" i="2"/>
  <c r="C679" i="2"/>
  <c r="M679" i="2"/>
  <c r="A679" i="2"/>
  <c r="Q679" i="2"/>
  <c r="N679" i="2"/>
  <c r="L679" i="2"/>
  <c r="K679" i="2" s="1"/>
  <c r="J679" i="2"/>
  <c r="I679" i="2"/>
  <c r="G679" i="2"/>
  <c r="F679" i="2"/>
  <c r="E679" i="2"/>
  <c r="H679" i="2"/>
  <c r="L727" i="2"/>
  <c r="K727" i="2" s="1"/>
  <c r="F727" i="2"/>
  <c r="E727" i="2"/>
  <c r="Q727" i="2"/>
  <c r="D727" i="2"/>
  <c r="P727" i="2"/>
  <c r="C727" i="2"/>
  <c r="M727" i="2"/>
  <c r="O727" i="2"/>
  <c r="N727" i="2"/>
  <c r="I727" i="2"/>
  <c r="A727" i="2"/>
  <c r="G727" i="2"/>
  <c r="J727" i="2"/>
  <c r="H727" i="2"/>
  <c r="G156" i="2"/>
  <c r="F156" i="2"/>
  <c r="Q156" i="2"/>
  <c r="E156" i="2"/>
  <c r="P156" i="2"/>
  <c r="D156" i="2"/>
  <c r="O156" i="2"/>
  <c r="C156" i="2"/>
  <c r="M156" i="2"/>
  <c r="A156" i="2"/>
  <c r="L156" i="2"/>
  <c r="K156" i="2" s="1"/>
  <c r="N156" i="2"/>
  <c r="J156" i="2"/>
  <c r="I156" i="2"/>
  <c r="H156" i="2"/>
  <c r="O104" i="2"/>
  <c r="C104" i="2"/>
  <c r="J104" i="2"/>
  <c r="I104" i="2"/>
  <c r="H104" i="2"/>
  <c r="G104" i="2"/>
  <c r="F104" i="2"/>
  <c r="E104" i="2"/>
  <c r="D104" i="2"/>
  <c r="Q104" i="2"/>
  <c r="P104" i="2"/>
  <c r="A104" i="2"/>
  <c r="N104" i="2"/>
  <c r="M104" i="2"/>
  <c r="L104" i="2"/>
  <c r="K104" i="2" s="1"/>
  <c r="P99" i="2"/>
  <c r="D99" i="2"/>
  <c r="L99" i="2"/>
  <c r="I99" i="2"/>
  <c r="H99" i="2"/>
  <c r="G99" i="2"/>
  <c r="F99" i="2"/>
  <c r="E99" i="2"/>
  <c r="C99" i="2"/>
  <c r="Q99" i="2"/>
  <c r="O99" i="2"/>
  <c r="A99" i="2"/>
  <c r="N99" i="2"/>
  <c r="M99" i="2"/>
  <c r="K99" i="2"/>
  <c r="J99" i="2"/>
  <c r="O60" i="2"/>
  <c r="C60" i="2"/>
  <c r="H60" i="2"/>
  <c r="G60" i="2"/>
  <c r="F60" i="2"/>
  <c r="E60" i="2"/>
  <c r="Q60" i="2"/>
  <c r="D60" i="2"/>
  <c r="P60" i="2"/>
  <c r="N60" i="2"/>
  <c r="A60" i="2"/>
  <c r="M60" i="2"/>
  <c r="L60" i="2"/>
  <c r="K60" i="2" s="1"/>
  <c r="J60" i="2"/>
  <c r="I60" i="2"/>
  <c r="F43" i="2"/>
  <c r="Q43" i="2"/>
  <c r="E43" i="2"/>
  <c r="P43" i="2"/>
  <c r="D43" i="2"/>
  <c r="O43" i="2"/>
  <c r="C43" i="2"/>
  <c r="N43" i="2"/>
  <c r="M43" i="2"/>
  <c r="A43" i="2"/>
  <c r="L43" i="2"/>
  <c r="K43" i="2" s="1"/>
  <c r="J43" i="2"/>
  <c r="I43" i="2"/>
  <c r="H43" i="2"/>
  <c r="G43" i="2"/>
  <c r="Q194" i="2"/>
  <c r="E194" i="2"/>
  <c r="H194" i="2"/>
  <c r="G194" i="2"/>
  <c r="F194" i="2"/>
  <c r="D194" i="2"/>
  <c r="P194" i="2"/>
  <c r="C194" i="2"/>
  <c r="N194" i="2"/>
  <c r="A194" i="2"/>
  <c r="M194" i="2"/>
  <c r="L194" i="2"/>
  <c r="K194" i="2" s="1"/>
  <c r="O194" i="2"/>
  <c r="J194" i="2"/>
  <c r="I194" i="2"/>
  <c r="O128" i="2"/>
  <c r="C128" i="2"/>
  <c r="F128" i="2"/>
  <c r="E128" i="2"/>
  <c r="D128" i="2"/>
  <c r="Q128" i="2"/>
  <c r="P128" i="2"/>
  <c r="A128" i="2"/>
  <c r="N128" i="2"/>
  <c r="M128" i="2"/>
  <c r="L128" i="2"/>
  <c r="K128" i="2" s="1"/>
  <c r="J128" i="2"/>
  <c r="I128" i="2"/>
  <c r="H128" i="2"/>
  <c r="G128" i="2"/>
  <c r="M90" i="2"/>
  <c r="A90" i="2"/>
  <c r="I90" i="2"/>
  <c r="D90" i="2"/>
  <c r="Q90" i="2"/>
  <c r="C90" i="2"/>
  <c r="P90" i="2"/>
  <c r="O90" i="2"/>
  <c r="N90" i="2"/>
  <c r="L90" i="2"/>
  <c r="K90" i="2" s="1"/>
  <c r="J90" i="2"/>
  <c r="H90" i="2"/>
  <c r="G90" i="2"/>
  <c r="F90" i="2"/>
  <c r="E90" i="2"/>
  <c r="H79" i="2"/>
  <c r="P79" i="2"/>
  <c r="D79" i="2"/>
  <c r="C79" i="2"/>
  <c r="Q79" i="2"/>
  <c r="O79" i="2"/>
  <c r="A79" i="2"/>
  <c r="N79" i="2"/>
  <c r="M79" i="2"/>
  <c r="L79" i="2"/>
  <c r="K79" i="2" s="1"/>
  <c r="J79" i="2"/>
  <c r="I79" i="2"/>
  <c r="G79" i="2"/>
  <c r="F79" i="2"/>
  <c r="E79" i="2"/>
  <c r="N51" i="2"/>
  <c r="M51" i="2"/>
  <c r="A51" i="2"/>
  <c r="L51" i="2"/>
  <c r="K51" i="2" s="1"/>
  <c r="J51" i="2"/>
  <c r="I51" i="2"/>
  <c r="H51" i="2"/>
  <c r="G51" i="2"/>
  <c r="Q51" i="2"/>
  <c r="P51" i="2"/>
  <c r="O51" i="2"/>
  <c r="F51" i="2"/>
  <c r="E51" i="2"/>
  <c r="D51" i="2"/>
  <c r="C51" i="2"/>
  <c r="J200" i="2"/>
  <c r="I200" i="2"/>
  <c r="H200" i="2"/>
  <c r="G200" i="2"/>
  <c r="F200" i="2"/>
  <c r="Q200" i="2"/>
  <c r="D200" i="2"/>
  <c r="P200" i="2"/>
  <c r="C200" i="2"/>
  <c r="O200" i="2"/>
  <c r="N200" i="2"/>
  <c r="M200" i="2"/>
  <c r="L200" i="2"/>
  <c r="K200" i="2" s="1"/>
  <c r="E200" i="2"/>
  <c r="A200" i="2"/>
  <c r="I182" i="2"/>
  <c r="H182" i="2"/>
  <c r="G182" i="2"/>
  <c r="F182" i="2"/>
  <c r="Q182" i="2"/>
  <c r="E182" i="2"/>
  <c r="O182" i="2"/>
  <c r="C182" i="2"/>
  <c r="N182" i="2"/>
  <c r="M182" i="2"/>
  <c r="A182" i="2"/>
  <c r="P182" i="2"/>
  <c r="L182" i="2"/>
  <c r="K182" i="2" s="1"/>
  <c r="J182" i="2"/>
  <c r="D182" i="2"/>
  <c r="H175" i="2"/>
  <c r="G175" i="2"/>
  <c r="F175" i="2"/>
  <c r="Q175" i="2"/>
  <c r="E175" i="2"/>
  <c r="P175" i="2"/>
  <c r="D175" i="2"/>
  <c r="N175" i="2"/>
  <c r="M175" i="2"/>
  <c r="A175" i="2"/>
  <c r="L175" i="2"/>
  <c r="K175" i="2" s="1"/>
  <c r="C175" i="2"/>
  <c r="O175" i="2"/>
  <c r="J175" i="2"/>
  <c r="I175" i="2"/>
  <c r="F113" i="2"/>
  <c r="N113" i="2"/>
  <c r="P113" i="2"/>
  <c r="A113" i="2"/>
  <c r="O113" i="2"/>
  <c r="M113" i="2"/>
  <c r="L113" i="2"/>
  <c r="K113" i="2" s="1"/>
  <c r="J113" i="2"/>
  <c r="I113" i="2"/>
  <c r="H113" i="2"/>
  <c r="G113" i="2"/>
  <c r="E113" i="2"/>
  <c r="D113" i="2"/>
  <c r="C113" i="2"/>
  <c r="Q113" i="2"/>
  <c r="Q154" i="2"/>
  <c r="E154" i="2"/>
  <c r="P154" i="2"/>
  <c r="D154" i="2"/>
  <c r="O154" i="2"/>
  <c r="C154" i="2"/>
  <c r="N154" i="2"/>
  <c r="M154" i="2"/>
  <c r="A154" i="2"/>
  <c r="J154" i="2"/>
  <c r="L154" i="2"/>
  <c r="K154" i="2" s="1"/>
  <c r="I154" i="2"/>
  <c r="H154" i="2"/>
  <c r="G154" i="2"/>
  <c r="F154" i="2"/>
  <c r="L195" i="2"/>
  <c r="Q195" i="2"/>
  <c r="D195" i="2"/>
  <c r="P195" i="2"/>
  <c r="C195" i="2"/>
  <c r="O195" i="2"/>
  <c r="N195" i="2"/>
  <c r="A195" i="2"/>
  <c r="M195" i="2"/>
  <c r="J195" i="2"/>
  <c r="I195" i="2"/>
  <c r="H195" i="2"/>
  <c r="K195" i="2"/>
  <c r="G195" i="2"/>
  <c r="F195" i="2"/>
  <c r="E195" i="2"/>
  <c r="M202" i="2"/>
  <c r="A202" i="2"/>
  <c r="P202" i="2"/>
  <c r="C202" i="2"/>
  <c r="O202" i="2"/>
  <c r="N202" i="2"/>
  <c r="L202" i="2"/>
  <c r="K202" i="2" s="1"/>
  <c r="I202" i="2"/>
  <c r="H202" i="2"/>
  <c r="G202" i="2"/>
  <c r="Q202" i="2"/>
  <c r="J202" i="2"/>
  <c r="F202" i="2"/>
  <c r="E202" i="2"/>
  <c r="D202" i="2"/>
  <c r="N169" i="2"/>
  <c r="M169" i="2"/>
  <c r="A169" i="2"/>
  <c r="L169" i="2"/>
  <c r="K169" i="2" s="1"/>
  <c r="J169" i="2"/>
  <c r="H169" i="2"/>
  <c r="G169" i="2"/>
  <c r="F169" i="2"/>
  <c r="Q169" i="2"/>
  <c r="P169" i="2"/>
  <c r="O169" i="2"/>
  <c r="I169" i="2"/>
  <c r="E169" i="2"/>
  <c r="D169" i="2"/>
  <c r="C169" i="2"/>
  <c r="J380" i="2"/>
  <c r="P380" i="2"/>
  <c r="C380" i="2"/>
  <c r="L380" i="2"/>
  <c r="K380" i="2" s="1"/>
  <c r="H380" i="2"/>
  <c r="G380" i="2"/>
  <c r="E380" i="2"/>
  <c r="D380" i="2"/>
  <c r="Q380" i="2"/>
  <c r="A380" i="2"/>
  <c r="O380" i="2"/>
  <c r="F380" i="2"/>
  <c r="N380" i="2"/>
  <c r="M380" i="2"/>
  <c r="I380" i="2"/>
  <c r="N209" i="2"/>
  <c r="O209" i="2"/>
  <c r="A209" i="2"/>
  <c r="M209" i="2"/>
  <c r="L209" i="2"/>
  <c r="K209" i="2" s="1"/>
  <c r="J209" i="2"/>
  <c r="H209" i="2"/>
  <c r="G209" i="2"/>
  <c r="F209" i="2"/>
  <c r="Q209" i="2"/>
  <c r="P209" i="2"/>
  <c r="I209" i="2"/>
  <c r="E209" i="2"/>
  <c r="D209" i="2"/>
  <c r="C209" i="2"/>
  <c r="F376" i="2"/>
  <c r="E376" i="2"/>
  <c r="N376" i="2"/>
  <c r="A376" i="2"/>
  <c r="M376" i="2"/>
  <c r="L376" i="2"/>
  <c r="K376" i="2" s="1"/>
  <c r="J376" i="2"/>
  <c r="I376" i="2"/>
  <c r="G376" i="2"/>
  <c r="D376" i="2"/>
  <c r="P376" i="2"/>
  <c r="O376" i="2"/>
  <c r="Q376" i="2"/>
  <c r="H376" i="2"/>
  <c r="C376" i="2"/>
  <c r="F388" i="2"/>
  <c r="G388" i="2"/>
  <c r="N388" i="2"/>
  <c r="M388" i="2"/>
  <c r="J388" i="2"/>
  <c r="I388" i="2"/>
  <c r="E388" i="2"/>
  <c r="D388" i="2"/>
  <c r="L388" i="2"/>
  <c r="K388" i="2" s="1"/>
  <c r="H388" i="2"/>
  <c r="P388" i="2"/>
  <c r="O388" i="2"/>
  <c r="C388" i="2"/>
  <c r="A388" i="2"/>
  <c r="Q388" i="2"/>
  <c r="H338" i="2"/>
  <c r="P338" i="2"/>
  <c r="D338" i="2"/>
  <c r="F338" i="2"/>
  <c r="E338" i="2"/>
  <c r="O338" i="2"/>
  <c r="A338" i="2"/>
  <c r="M338" i="2"/>
  <c r="J338" i="2"/>
  <c r="G338" i="2"/>
  <c r="C338" i="2"/>
  <c r="Q338" i="2"/>
  <c r="N338" i="2"/>
  <c r="L338" i="2"/>
  <c r="K338" i="2" s="1"/>
  <c r="I338" i="2"/>
  <c r="M325" i="2"/>
  <c r="A325" i="2"/>
  <c r="I325" i="2"/>
  <c r="F325" i="2"/>
  <c r="D325" i="2"/>
  <c r="Q325" i="2"/>
  <c r="P325" i="2"/>
  <c r="N325" i="2"/>
  <c r="J325" i="2"/>
  <c r="E325" i="2"/>
  <c r="C325" i="2"/>
  <c r="O325" i="2"/>
  <c r="L325" i="2"/>
  <c r="K325" i="2" s="1"/>
  <c r="H325" i="2"/>
  <c r="G325" i="2"/>
  <c r="Q317" i="2"/>
  <c r="E317" i="2"/>
  <c r="M317" i="2"/>
  <c r="A317" i="2"/>
  <c r="C317" i="2"/>
  <c r="L317" i="2"/>
  <c r="K317" i="2" s="1"/>
  <c r="P317" i="2"/>
  <c r="O317" i="2"/>
  <c r="N317" i="2"/>
  <c r="J317" i="2"/>
  <c r="H317" i="2"/>
  <c r="D317" i="2"/>
  <c r="I317" i="2"/>
  <c r="G317" i="2"/>
  <c r="F317" i="2"/>
  <c r="J392" i="2"/>
  <c r="H392" i="2"/>
  <c r="Q392" i="2"/>
  <c r="D392" i="2"/>
  <c r="I392" i="2"/>
  <c r="G392" i="2"/>
  <c r="E392" i="2"/>
  <c r="C392" i="2"/>
  <c r="P392" i="2"/>
  <c r="A392" i="2"/>
  <c r="O392" i="2"/>
  <c r="F392" i="2"/>
  <c r="N392" i="2"/>
  <c r="L392" i="2"/>
  <c r="K392" i="2" s="1"/>
  <c r="M392" i="2"/>
  <c r="H414" i="2"/>
  <c r="N414" i="2"/>
  <c r="A414" i="2"/>
  <c r="J414" i="2"/>
  <c r="G414" i="2"/>
  <c r="F414" i="2"/>
  <c r="Q414" i="2"/>
  <c r="P414" i="2"/>
  <c r="M414" i="2"/>
  <c r="L414" i="2"/>
  <c r="K414" i="2" s="1"/>
  <c r="E414" i="2"/>
  <c r="D414" i="2"/>
  <c r="C414" i="2"/>
  <c r="I414" i="2"/>
  <c r="O414" i="2"/>
  <c r="P446" i="2"/>
  <c r="D446" i="2"/>
  <c r="L446" i="2"/>
  <c r="K446" i="2" s="1"/>
  <c r="E446" i="2"/>
  <c r="O446" i="2"/>
  <c r="A446" i="2"/>
  <c r="N446" i="2"/>
  <c r="J446" i="2"/>
  <c r="Q446" i="2"/>
  <c r="M446" i="2"/>
  <c r="I446" i="2"/>
  <c r="H446" i="2"/>
  <c r="G446" i="2"/>
  <c r="C446" i="2"/>
  <c r="F446" i="2"/>
  <c r="L534" i="2"/>
  <c r="Q534" i="2"/>
  <c r="D534" i="2"/>
  <c r="P534" i="2"/>
  <c r="C534" i="2"/>
  <c r="N534" i="2"/>
  <c r="A534" i="2"/>
  <c r="M534" i="2"/>
  <c r="J534" i="2"/>
  <c r="I534" i="2"/>
  <c r="H534" i="2"/>
  <c r="O534" i="2"/>
  <c r="K534" i="2"/>
  <c r="G534" i="2"/>
  <c r="F534" i="2"/>
  <c r="E534" i="2"/>
  <c r="Q393" i="2"/>
  <c r="E393" i="2"/>
  <c r="D393" i="2"/>
  <c r="M393" i="2"/>
  <c r="H393" i="2"/>
  <c r="G393" i="2"/>
  <c r="C393" i="2"/>
  <c r="O393" i="2"/>
  <c r="N393" i="2"/>
  <c r="P393" i="2"/>
  <c r="J393" i="2"/>
  <c r="F393" i="2"/>
  <c r="A393" i="2"/>
  <c r="I393" i="2"/>
  <c r="L393" i="2"/>
  <c r="K393" i="2" s="1"/>
  <c r="G471" i="2"/>
  <c r="L471" i="2"/>
  <c r="K471" i="2" s="1"/>
  <c r="I471" i="2"/>
  <c r="H471" i="2"/>
  <c r="F471" i="2"/>
  <c r="D471" i="2"/>
  <c r="Q471" i="2"/>
  <c r="C471" i="2"/>
  <c r="M471" i="2"/>
  <c r="J471" i="2"/>
  <c r="E471" i="2"/>
  <c r="A471" i="2"/>
  <c r="N471" i="2"/>
  <c r="P471" i="2"/>
  <c r="O471" i="2"/>
  <c r="M265" i="2"/>
  <c r="A265" i="2"/>
  <c r="O265" i="2"/>
  <c r="J265" i="2"/>
  <c r="H265" i="2"/>
  <c r="F265" i="2"/>
  <c r="C265" i="2"/>
  <c r="L265" i="2"/>
  <c r="K265" i="2" s="1"/>
  <c r="I265" i="2"/>
  <c r="G265" i="2"/>
  <c r="E265" i="2"/>
  <c r="D265" i="2"/>
  <c r="Q265" i="2"/>
  <c r="P265" i="2"/>
  <c r="N265" i="2"/>
  <c r="L454" i="2"/>
  <c r="H454" i="2"/>
  <c r="M454" i="2"/>
  <c r="I454" i="2"/>
  <c r="G454" i="2"/>
  <c r="E454" i="2"/>
  <c r="D454" i="2"/>
  <c r="A454" i="2"/>
  <c r="Q454" i="2"/>
  <c r="O454" i="2"/>
  <c r="N454" i="2"/>
  <c r="P454" i="2"/>
  <c r="K454" i="2"/>
  <c r="J454" i="2"/>
  <c r="F454" i="2"/>
  <c r="C454" i="2"/>
  <c r="J495" i="2"/>
  <c r="H495" i="2"/>
  <c r="G495" i="2"/>
  <c r="Q495" i="2"/>
  <c r="E495" i="2"/>
  <c r="P495" i="2"/>
  <c r="D495" i="2"/>
  <c r="O495" i="2"/>
  <c r="C495" i="2"/>
  <c r="N495" i="2"/>
  <c r="M495" i="2"/>
  <c r="L495" i="2"/>
  <c r="K495" i="2" s="1"/>
  <c r="F495" i="2"/>
  <c r="I495" i="2"/>
  <c r="A495" i="2"/>
  <c r="I569" i="2"/>
  <c r="Q569" i="2"/>
  <c r="E569" i="2"/>
  <c r="N569" i="2"/>
  <c r="M569" i="2"/>
  <c r="L569" i="2"/>
  <c r="K569" i="2" s="1"/>
  <c r="J569" i="2"/>
  <c r="G569" i="2"/>
  <c r="F569" i="2"/>
  <c r="D569" i="2"/>
  <c r="P569" i="2"/>
  <c r="O569" i="2"/>
  <c r="H569" i="2"/>
  <c r="A569" i="2"/>
  <c r="C569" i="2"/>
  <c r="I445" i="2"/>
  <c r="Q445" i="2"/>
  <c r="E445" i="2"/>
  <c r="G445" i="2"/>
  <c r="C445" i="2"/>
  <c r="P445" i="2"/>
  <c r="N445" i="2"/>
  <c r="M445" i="2"/>
  <c r="H445" i="2"/>
  <c r="F445" i="2"/>
  <c r="D445" i="2"/>
  <c r="A445" i="2"/>
  <c r="J445" i="2"/>
  <c r="L445" i="2"/>
  <c r="K445" i="2" s="1"/>
  <c r="O445" i="2"/>
  <c r="H462" i="2"/>
  <c r="P462" i="2"/>
  <c r="D462" i="2"/>
  <c r="F462" i="2"/>
  <c r="C462" i="2"/>
  <c r="Q462" i="2"/>
  <c r="O462" i="2"/>
  <c r="A462" i="2"/>
  <c r="M462" i="2"/>
  <c r="L462" i="2"/>
  <c r="K462" i="2" s="1"/>
  <c r="N462" i="2"/>
  <c r="J462" i="2"/>
  <c r="G462" i="2"/>
  <c r="E462" i="2"/>
  <c r="I462" i="2"/>
  <c r="N296" i="2"/>
  <c r="G296" i="2"/>
  <c r="C296" i="2"/>
  <c r="P296" i="2"/>
  <c r="H296" i="2"/>
  <c r="F296" i="2"/>
  <c r="D296" i="2"/>
  <c r="A296" i="2"/>
  <c r="Q296" i="2"/>
  <c r="E296" i="2"/>
  <c r="O296" i="2"/>
  <c r="M296" i="2"/>
  <c r="L296" i="2"/>
  <c r="K296" i="2" s="1"/>
  <c r="J296" i="2"/>
  <c r="I296" i="2"/>
  <c r="G447" i="2"/>
  <c r="P447" i="2"/>
  <c r="M447" i="2"/>
  <c r="L447" i="2"/>
  <c r="K447" i="2" s="1"/>
  <c r="I447" i="2"/>
  <c r="H447" i="2"/>
  <c r="Q447" i="2"/>
  <c r="O447" i="2"/>
  <c r="J447" i="2"/>
  <c r="F447" i="2"/>
  <c r="N447" i="2"/>
  <c r="E447" i="2"/>
  <c r="D447" i="2"/>
  <c r="C447" i="2"/>
  <c r="A447" i="2"/>
  <c r="G584" i="2"/>
  <c r="Q584" i="2"/>
  <c r="D584" i="2"/>
  <c r="P584" i="2"/>
  <c r="C584" i="2"/>
  <c r="N584" i="2"/>
  <c r="A584" i="2"/>
  <c r="M584" i="2"/>
  <c r="O584" i="2"/>
  <c r="L584" i="2"/>
  <c r="K584" i="2" s="1"/>
  <c r="J584" i="2"/>
  <c r="I584" i="2"/>
  <c r="F584" i="2"/>
  <c r="E584" i="2"/>
  <c r="H584" i="2"/>
  <c r="H510" i="2"/>
  <c r="G510" i="2"/>
  <c r="Q510" i="2"/>
  <c r="E510" i="2"/>
  <c r="P510" i="2"/>
  <c r="D510" i="2"/>
  <c r="N510" i="2"/>
  <c r="M510" i="2"/>
  <c r="A510" i="2"/>
  <c r="L510" i="2"/>
  <c r="K510" i="2" s="1"/>
  <c r="O510" i="2"/>
  <c r="J510" i="2"/>
  <c r="I510" i="2"/>
  <c r="F510" i="2"/>
  <c r="C510" i="2"/>
  <c r="F496" i="2"/>
  <c r="Q496" i="2"/>
  <c r="E496" i="2"/>
  <c r="O496" i="2"/>
  <c r="C496" i="2"/>
  <c r="N496" i="2"/>
  <c r="L496" i="2"/>
  <c r="K496" i="2" s="1"/>
  <c r="J496" i="2"/>
  <c r="D496" i="2"/>
  <c r="P496" i="2"/>
  <c r="M496" i="2"/>
  <c r="I496" i="2"/>
  <c r="G496" i="2"/>
  <c r="A496" i="2"/>
  <c r="H496" i="2"/>
  <c r="I537" i="2"/>
  <c r="E537" i="2"/>
  <c r="Q537" i="2"/>
  <c r="D537" i="2"/>
  <c r="O537" i="2"/>
  <c r="N537" i="2"/>
  <c r="A537" i="2"/>
  <c r="L537" i="2"/>
  <c r="K537" i="2" s="1"/>
  <c r="J537" i="2"/>
  <c r="H537" i="2"/>
  <c r="F537" i="2"/>
  <c r="C537" i="2"/>
  <c r="M537" i="2"/>
  <c r="G537" i="2"/>
  <c r="P537" i="2"/>
  <c r="O551" i="2"/>
  <c r="C551" i="2"/>
  <c r="D551" i="2"/>
  <c r="Q551" i="2"/>
  <c r="P551" i="2"/>
  <c r="A551" i="2"/>
  <c r="N551" i="2"/>
  <c r="M551" i="2"/>
  <c r="J551" i="2"/>
  <c r="I551" i="2"/>
  <c r="H551" i="2"/>
  <c r="L551" i="2"/>
  <c r="K551" i="2" s="1"/>
  <c r="F551" i="2"/>
  <c r="E551" i="2"/>
  <c r="G551" i="2"/>
  <c r="N468" i="2"/>
  <c r="J468" i="2"/>
  <c r="E468" i="2"/>
  <c r="Q468" i="2"/>
  <c r="C468" i="2"/>
  <c r="P468" i="2"/>
  <c r="A468" i="2"/>
  <c r="O468" i="2"/>
  <c r="L468" i="2"/>
  <c r="K468" i="2" s="1"/>
  <c r="F468" i="2"/>
  <c r="D468" i="2"/>
  <c r="M468" i="2"/>
  <c r="I468" i="2"/>
  <c r="H468" i="2"/>
  <c r="G468" i="2"/>
  <c r="P617" i="2"/>
  <c r="D617" i="2"/>
  <c r="N617" i="2"/>
  <c r="A617" i="2"/>
  <c r="J617" i="2"/>
  <c r="L617" i="2"/>
  <c r="K617" i="2" s="1"/>
  <c r="H617" i="2"/>
  <c r="G617" i="2"/>
  <c r="E617" i="2"/>
  <c r="C617" i="2"/>
  <c r="Q617" i="2"/>
  <c r="O617" i="2"/>
  <c r="I617" i="2"/>
  <c r="F617" i="2"/>
  <c r="M617" i="2"/>
  <c r="L663" i="2"/>
  <c r="K663" i="2" s="1"/>
  <c r="E663" i="2"/>
  <c r="D663" i="2"/>
  <c r="Q663" i="2"/>
  <c r="C663" i="2"/>
  <c r="O663" i="2"/>
  <c r="A663" i="2"/>
  <c r="N663" i="2"/>
  <c r="J663" i="2"/>
  <c r="I663" i="2"/>
  <c r="M663" i="2"/>
  <c r="H663" i="2"/>
  <c r="F663" i="2"/>
  <c r="G663" i="2"/>
  <c r="P663" i="2"/>
  <c r="F548" i="2"/>
  <c r="N548" i="2"/>
  <c r="J548" i="2"/>
  <c r="I548" i="2"/>
  <c r="H548" i="2"/>
  <c r="G548" i="2"/>
  <c r="D548" i="2"/>
  <c r="Q548" i="2"/>
  <c r="C548" i="2"/>
  <c r="P548" i="2"/>
  <c r="A548" i="2"/>
  <c r="M548" i="2"/>
  <c r="L548" i="2"/>
  <c r="K548" i="2" s="1"/>
  <c r="O548" i="2"/>
  <c r="E548" i="2"/>
  <c r="Q624" i="2"/>
  <c r="E624" i="2"/>
  <c r="M624" i="2"/>
  <c r="I624" i="2"/>
  <c r="C624" i="2"/>
  <c r="O624" i="2"/>
  <c r="N624" i="2"/>
  <c r="J624" i="2"/>
  <c r="H624" i="2"/>
  <c r="P624" i="2"/>
  <c r="L624" i="2"/>
  <c r="K624" i="2" s="1"/>
  <c r="G624" i="2"/>
  <c r="D624" i="2"/>
  <c r="A624" i="2"/>
  <c r="F624" i="2"/>
  <c r="L625" i="2"/>
  <c r="K625" i="2" s="1"/>
  <c r="I625" i="2"/>
  <c r="E625" i="2"/>
  <c r="Q625" i="2"/>
  <c r="P625" i="2"/>
  <c r="A625" i="2"/>
  <c r="N625" i="2"/>
  <c r="M625" i="2"/>
  <c r="J625" i="2"/>
  <c r="H625" i="2"/>
  <c r="G625" i="2"/>
  <c r="D625" i="2"/>
  <c r="C625" i="2"/>
  <c r="F625" i="2"/>
  <c r="O625" i="2"/>
  <c r="I704" i="2"/>
  <c r="H704" i="2"/>
  <c r="F704" i="2"/>
  <c r="E704" i="2"/>
  <c r="Q704" i="2"/>
  <c r="C704" i="2"/>
  <c r="N704" i="2"/>
  <c r="M704" i="2"/>
  <c r="L704" i="2"/>
  <c r="K704" i="2" s="1"/>
  <c r="O704" i="2"/>
  <c r="J704" i="2"/>
  <c r="G704" i="2"/>
  <c r="A704" i="2"/>
  <c r="P704" i="2"/>
  <c r="D704" i="2"/>
  <c r="Q662" i="2"/>
  <c r="E662" i="2"/>
  <c r="I662" i="2"/>
  <c r="G662" i="2"/>
  <c r="F662" i="2"/>
  <c r="C662" i="2"/>
  <c r="P662" i="2"/>
  <c r="N662" i="2"/>
  <c r="M662" i="2"/>
  <c r="L662" i="2"/>
  <c r="K662" i="2" s="1"/>
  <c r="D662" i="2"/>
  <c r="A662" i="2"/>
  <c r="O662" i="2"/>
  <c r="J662" i="2"/>
  <c r="H662" i="2"/>
  <c r="Q600" i="2"/>
  <c r="E600" i="2"/>
  <c r="O600" i="2"/>
  <c r="C600" i="2"/>
  <c r="A600" i="2"/>
  <c r="N600" i="2"/>
  <c r="M600" i="2"/>
  <c r="J600" i="2"/>
  <c r="I600" i="2"/>
  <c r="H600" i="2"/>
  <c r="P600" i="2"/>
  <c r="L600" i="2"/>
  <c r="K600" i="2" s="1"/>
  <c r="G600" i="2"/>
  <c r="F600" i="2"/>
  <c r="D600" i="2"/>
  <c r="G762" i="2"/>
  <c r="F762" i="2"/>
  <c r="Q762" i="2"/>
  <c r="E762" i="2"/>
  <c r="P762" i="2"/>
  <c r="D762" i="2"/>
  <c r="A762" i="2"/>
  <c r="O762" i="2"/>
  <c r="N762" i="2"/>
  <c r="J762" i="2"/>
  <c r="M762" i="2"/>
  <c r="L762" i="2"/>
  <c r="K762" i="2" s="1"/>
  <c r="I762" i="2"/>
  <c r="C762" i="2"/>
  <c r="H762" i="2"/>
  <c r="J680" i="2"/>
  <c r="H680" i="2"/>
  <c r="Q680" i="2"/>
  <c r="O680" i="2"/>
  <c r="N680" i="2"/>
  <c r="A680" i="2"/>
  <c r="P680" i="2"/>
  <c r="M680" i="2"/>
  <c r="I680" i="2"/>
  <c r="G680" i="2"/>
  <c r="F680" i="2"/>
  <c r="E680" i="2"/>
  <c r="D680" i="2"/>
  <c r="L680" i="2"/>
  <c r="K680" i="2" s="1"/>
  <c r="C680" i="2"/>
  <c r="L749" i="2"/>
  <c r="K749" i="2" s="1"/>
  <c r="J749" i="2"/>
  <c r="F749" i="2"/>
  <c r="E749" i="2"/>
  <c r="D749" i="2"/>
  <c r="C749" i="2"/>
  <c r="O749" i="2"/>
  <c r="N749" i="2"/>
  <c r="Q749" i="2"/>
  <c r="P749" i="2"/>
  <c r="I749" i="2"/>
  <c r="A749" i="2"/>
  <c r="G749" i="2"/>
  <c r="M749" i="2"/>
  <c r="H749" i="2"/>
  <c r="G180" i="2"/>
  <c r="F180" i="2"/>
  <c r="Q180" i="2"/>
  <c r="E180" i="2"/>
  <c r="P180" i="2"/>
  <c r="D180" i="2"/>
  <c r="O180" i="2"/>
  <c r="C180" i="2"/>
  <c r="M180" i="2"/>
  <c r="A180" i="2"/>
  <c r="L180" i="2"/>
  <c r="K180" i="2" s="1"/>
  <c r="N180" i="2"/>
  <c r="J180" i="2"/>
  <c r="I180" i="2"/>
  <c r="H180" i="2"/>
  <c r="H115" i="2"/>
  <c r="P115" i="2"/>
  <c r="D115" i="2"/>
  <c r="J115" i="2"/>
  <c r="I115" i="2"/>
  <c r="G115" i="2"/>
  <c r="F115" i="2"/>
  <c r="E115" i="2"/>
  <c r="C115" i="2"/>
  <c r="Q115" i="2"/>
  <c r="O115" i="2"/>
  <c r="A115" i="2"/>
  <c r="N115" i="2"/>
  <c r="M115" i="2"/>
  <c r="L115" i="2"/>
  <c r="K115" i="2" s="1"/>
  <c r="I110" i="2"/>
  <c r="Q110" i="2"/>
  <c r="E110" i="2"/>
  <c r="J110" i="2"/>
  <c r="H110" i="2"/>
  <c r="G110" i="2"/>
  <c r="F110" i="2"/>
  <c r="D110" i="2"/>
  <c r="C110" i="2"/>
  <c r="P110" i="2"/>
  <c r="O110" i="2"/>
  <c r="A110" i="2"/>
  <c r="N110" i="2"/>
  <c r="M110" i="2"/>
  <c r="L110" i="2"/>
  <c r="K110" i="2" s="1"/>
  <c r="L83" i="2"/>
  <c r="K83" i="2" s="1"/>
  <c r="H83" i="2"/>
  <c r="G83" i="2"/>
  <c r="F83" i="2"/>
  <c r="E83" i="2"/>
  <c r="D83" i="2"/>
  <c r="Q83" i="2"/>
  <c r="C83" i="2"/>
  <c r="P83" i="2"/>
  <c r="O83" i="2"/>
  <c r="A83" i="2"/>
  <c r="N83" i="2"/>
  <c r="M83" i="2"/>
  <c r="J83" i="2"/>
  <c r="I83" i="2"/>
  <c r="F55" i="2"/>
  <c r="Q55" i="2"/>
  <c r="E55" i="2"/>
  <c r="P55" i="2"/>
  <c r="D55" i="2"/>
  <c r="O55" i="2"/>
  <c r="C55" i="2"/>
  <c r="N55" i="2"/>
  <c r="M55" i="2"/>
  <c r="A55" i="2"/>
  <c r="L55" i="2"/>
  <c r="K55" i="2" s="1"/>
  <c r="J55" i="2"/>
  <c r="I55" i="2"/>
  <c r="H55" i="2"/>
  <c r="G55" i="2"/>
  <c r="H230" i="2"/>
  <c r="F230" i="2"/>
  <c r="Q230" i="2"/>
  <c r="D230" i="2"/>
  <c r="J230" i="2"/>
  <c r="L230" i="2"/>
  <c r="K230" i="2" s="1"/>
  <c r="I230" i="2"/>
  <c r="G230" i="2"/>
  <c r="E230" i="2"/>
  <c r="C230" i="2"/>
  <c r="A230" i="2"/>
  <c r="P230" i="2"/>
  <c r="O230" i="2"/>
  <c r="N230" i="2"/>
  <c r="M230" i="2"/>
  <c r="H139" i="2"/>
  <c r="P139" i="2"/>
  <c r="D139" i="2"/>
  <c r="F139" i="2"/>
  <c r="E139" i="2"/>
  <c r="C139" i="2"/>
  <c r="Q139" i="2"/>
  <c r="O139" i="2"/>
  <c r="A139" i="2"/>
  <c r="N139" i="2"/>
  <c r="M139" i="2"/>
  <c r="L139" i="2"/>
  <c r="K139" i="2" s="1"/>
  <c r="J139" i="2"/>
  <c r="I139" i="2"/>
  <c r="G139" i="2"/>
  <c r="G112" i="2"/>
  <c r="D112" i="2"/>
  <c r="Q112" i="2"/>
  <c r="C112" i="2"/>
  <c r="P112" i="2"/>
  <c r="O112" i="2"/>
  <c r="A112" i="2"/>
  <c r="N112" i="2"/>
  <c r="M112" i="2"/>
  <c r="L112" i="2"/>
  <c r="K112" i="2" s="1"/>
  <c r="J112" i="2"/>
  <c r="I112" i="2"/>
  <c r="H112" i="2"/>
  <c r="F112" i="2"/>
  <c r="E112" i="2"/>
  <c r="L107" i="2"/>
  <c r="K107" i="2" s="1"/>
  <c r="H107" i="2"/>
  <c r="Q107" i="2"/>
  <c r="C107" i="2"/>
  <c r="P107" i="2"/>
  <c r="O107" i="2"/>
  <c r="A107" i="2"/>
  <c r="N107" i="2"/>
  <c r="M107" i="2"/>
  <c r="J107" i="2"/>
  <c r="I107" i="2"/>
  <c r="G107" i="2"/>
  <c r="F107" i="2"/>
  <c r="E107" i="2"/>
  <c r="D107" i="2"/>
  <c r="I74" i="2"/>
  <c r="Q74" i="2"/>
  <c r="E74" i="2"/>
  <c r="P74" i="2"/>
  <c r="O74" i="2"/>
  <c r="A74" i="2"/>
  <c r="N74" i="2"/>
  <c r="M74" i="2"/>
  <c r="L74" i="2"/>
  <c r="K74" i="2" s="1"/>
  <c r="J74" i="2"/>
  <c r="H74" i="2"/>
  <c r="G74" i="2"/>
  <c r="F74" i="2"/>
  <c r="D74" i="2"/>
  <c r="C74" i="2"/>
  <c r="I210" i="2"/>
  <c r="J210" i="2"/>
  <c r="H210" i="2"/>
  <c r="G210" i="2"/>
  <c r="F210" i="2"/>
  <c r="Q210" i="2"/>
  <c r="D210" i="2"/>
  <c r="P210" i="2"/>
  <c r="C210" i="2"/>
  <c r="O210" i="2"/>
  <c r="N210" i="2"/>
  <c r="M210" i="2"/>
  <c r="L210" i="2"/>
  <c r="K210" i="2" s="1"/>
  <c r="E210" i="2"/>
  <c r="A210" i="2"/>
  <c r="L207" i="2"/>
  <c r="K207" i="2" s="1"/>
  <c r="I207" i="2"/>
  <c r="H207" i="2"/>
  <c r="G207" i="2"/>
  <c r="F207" i="2"/>
  <c r="E207" i="2"/>
  <c r="P207" i="2"/>
  <c r="C207" i="2"/>
  <c r="O207" i="2"/>
  <c r="N207" i="2"/>
  <c r="A207" i="2"/>
  <c r="Q207" i="2"/>
  <c r="M207" i="2"/>
  <c r="J207" i="2"/>
  <c r="D207" i="2"/>
  <c r="P187" i="2"/>
  <c r="D187" i="2"/>
  <c r="I187" i="2"/>
  <c r="H187" i="2"/>
  <c r="G187" i="2"/>
  <c r="F187" i="2"/>
  <c r="E187" i="2"/>
  <c r="O187" i="2"/>
  <c r="N187" i="2"/>
  <c r="A187" i="2"/>
  <c r="M187" i="2"/>
  <c r="Q187" i="2"/>
  <c r="L187" i="2"/>
  <c r="K187" i="2" s="1"/>
  <c r="J187" i="2"/>
  <c r="C187" i="2"/>
  <c r="F125" i="2"/>
  <c r="N125" i="2"/>
  <c r="M125" i="2"/>
  <c r="L125" i="2"/>
  <c r="K125" i="2" s="1"/>
  <c r="J125" i="2"/>
  <c r="I125" i="2"/>
  <c r="H125" i="2"/>
  <c r="G125" i="2"/>
  <c r="E125" i="2"/>
  <c r="D125" i="2"/>
  <c r="Q125" i="2"/>
  <c r="P125" i="2"/>
  <c r="O125" i="2"/>
  <c r="C125" i="2"/>
  <c r="A125" i="2"/>
  <c r="Q166" i="2"/>
  <c r="E166" i="2"/>
  <c r="P166" i="2"/>
  <c r="D166" i="2"/>
  <c r="O166" i="2"/>
  <c r="C166" i="2"/>
  <c r="N166" i="2"/>
  <c r="M166" i="2"/>
  <c r="A166" i="2"/>
  <c r="J166" i="2"/>
  <c r="I166" i="2"/>
  <c r="L166" i="2"/>
  <c r="K166" i="2" s="1"/>
  <c r="H166" i="2"/>
  <c r="G166" i="2"/>
  <c r="F166" i="2"/>
  <c r="J205" i="2"/>
  <c r="Q205" i="2"/>
  <c r="D205" i="2"/>
  <c r="P205" i="2"/>
  <c r="C205" i="2"/>
  <c r="O205" i="2"/>
  <c r="N205" i="2"/>
  <c r="A205" i="2"/>
  <c r="M205" i="2"/>
  <c r="I205" i="2"/>
  <c r="H205" i="2"/>
  <c r="L205" i="2"/>
  <c r="K205" i="2" s="1"/>
  <c r="G205" i="2"/>
  <c r="F205" i="2"/>
  <c r="E205" i="2"/>
  <c r="P212" i="2"/>
  <c r="C212" i="2"/>
  <c r="O212" i="2"/>
  <c r="N212" i="2"/>
  <c r="A212" i="2"/>
  <c r="M212" i="2"/>
  <c r="L212" i="2"/>
  <c r="K212" i="2" s="1"/>
  <c r="I212" i="2"/>
  <c r="H212" i="2"/>
  <c r="G212" i="2"/>
  <c r="Q212" i="2"/>
  <c r="J212" i="2"/>
  <c r="F212" i="2"/>
  <c r="E212" i="2"/>
  <c r="D212" i="2"/>
  <c r="N181" i="2"/>
  <c r="M181" i="2"/>
  <c r="A181" i="2"/>
  <c r="L181" i="2"/>
  <c r="K181" i="2" s="1"/>
  <c r="J181" i="2"/>
  <c r="H181" i="2"/>
  <c r="G181" i="2"/>
  <c r="F181" i="2"/>
  <c r="I181" i="2"/>
  <c r="E181" i="2"/>
  <c r="D181" i="2"/>
  <c r="C181" i="2"/>
  <c r="Q181" i="2"/>
  <c r="P181" i="2"/>
  <c r="O181" i="2"/>
  <c r="J268" i="2"/>
  <c r="P268" i="2"/>
  <c r="C268" i="2"/>
  <c r="L268" i="2"/>
  <c r="K268" i="2" s="1"/>
  <c r="G268" i="2"/>
  <c r="E268" i="2"/>
  <c r="M268" i="2"/>
  <c r="H268" i="2"/>
  <c r="F268" i="2"/>
  <c r="D268" i="2"/>
  <c r="Q268" i="2"/>
  <c r="O268" i="2"/>
  <c r="I268" i="2"/>
  <c r="A268" i="2"/>
  <c r="N268" i="2"/>
  <c r="Q221" i="2"/>
  <c r="N221" i="2"/>
  <c r="G221" i="2"/>
  <c r="F221" i="2"/>
  <c r="E221" i="2"/>
  <c r="D221" i="2"/>
  <c r="P221" i="2"/>
  <c r="C221" i="2"/>
  <c r="M221" i="2"/>
  <c r="L221" i="2"/>
  <c r="K221" i="2" s="1"/>
  <c r="O221" i="2"/>
  <c r="J221" i="2"/>
  <c r="I221" i="2"/>
  <c r="H221" i="2"/>
  <c r="A221" i="2"/>
  <c r="P346" i="2"/>
  <c r="D346" i="2"/>
  <c r="L346" i="2"/>
  <c r="K346" i="2" s="1"/>
  <c r="N346" i="2"/>
  <c r="M346" i="2"/>
  <c r="J346" i="2"/>
  <c r="I346" i="2"/>
  <c r="G346" i="2"/>
  <c r="F346" i="2"/>
  <c r="O346" i="2"/>
  <c r="H346" i="2"/>
  <c r="C346" i="2"/>
  <c r="A346" i="2"/>
  <c r="Q346" i="2"/>
  <c r="E346" i="2"/>
  <c r="G355" i="2"/>
  <c r="O355" i="2"/>
  <c r="C355" i="2"/>
  <c r="E355" i="2"/>
  <c r="D355" i="2"/>
  <c r="P355" i="2"/>
  <c r="A355" i="2"/>
  <c r="N355" i="2"/>
  <c r="L355" i="2"/>
  <c r="K355" i="2" s="1"/>
  <c r="M355" i="2"/>
  <c r="Q355" i="2"/>
  <c r="J355" i="2"/>
  <c r="H355" i="2"/>
  <c r="I355" i="2"/>
  <c r="F355" i="2"/>
  <c r="M365" i="2"/>
  <c r="A365" i="2"/>
  <c r="I365" i="2"/>
  <c r="E365" i="2"/>
  <c r="L365" i="2"/>
  <c r="K365" i="2" s="1"/>
  <c r="H365" i="2"/>
  <c r="G365" i="2"/>
  <c r="D365" i="2"/>
  <c r="C365" i="2"/>
  <c r="O365" i="2"/>
  <c r="J365" i="2"/>
  <c r="F365" i="2"/>
  <c r="Q365" i="2"/>
  <c r="P365" i="2"/>
  <c r="N365" i="2"/>
  <c r="O327" i="2"/>
  <c r="C327" i="2"/>
  <c r="F327" i="2"/>
  <c r="P327" i="2"/>
  <c r="A327" i="2"/>
  <c r="E327" i="2"/>
  <c r="Q327" i="2"/>
  <c r="M327" i="2"/>
  <c r="J327" i="2"/>
  <c r="G327" i="2"/>
  <c r="D327" i="2"/>
  <c r="N327" i="2"/>
  <c r="L327" i="2"/>
  <c r="K327" i="2" s="1"/>
  <c r="I327" i="2"/>
  <c r="H327" i="2"/>
  <c r="G319" i="2"/>
  <c r="O319" i="2"/>
  <c r="C319" i="2"/>
  <c r="L319" i="2"/>
  <c r="K319" i="2" s="1"/>
  <c r="H319" i="2"/>
  <c r="Q319" i="2"/>
  <c r="P319" i="2"/>
  <c r="N319" i="2"/>
  <c r="I319" i="2"/>
  <c r="D319" i="2"/>
  <c r="A319" i="2"/>
  <c r="E319" i="2"/>
  <c r="M319" i="2"/>
  <c r="J319" i="2"/>
  <c r="F319" i="2"/>
  <c r="I421" i="2"/>
  <c r="M421" i="2"/>
  <c r="J421" i="2"/>
  <c r="H421" i="2"/>
  <c r="F421" i="2"/>
  <c r="E421" i="2"/>
  <c r="L421" i="2"/>
  <c r="K421" i="2" s="1"/>
  <c r="D421" i="2"/>
  <c r="C421" i="2"/>
  <c r="A421" i="2"/>
  <c r="Q421" i="2"/>
  <c r="P421" i="2"/>
  <c r="N421" i="2"/>
  <c r="G421" i="2"/>
  <c r="O421" i="2"/>
  <c r="J452" i="2"/>
  <c r="F452" i="2"/>
  <c r="Q452" i="2"/>
  <c r="C452" i="2"/>
  <c r="N452" i="2"/>
  <c r="M452" i="2"/>
  <c r="I452" i="2"/>
  <c r="L452" i="2"/>
  <c r="K452" i="2" s="1"/>
  <c r="H452" i="2"/>
  <c r="G452" i="2"/>
  <c r="E452" i="2"/>
  <c r="D452" i="2"/>
  <c r="A452" i="2"/>
  <c r="O452" i="2"/>
  <c r="P452" i="2"/>
  <c r="G459" i="2"/>
  <c r="N459" i="2"/>
  <c r="J459" i="2"/>
  <c r="I459" i="2"/>
  <c r="F459" i="2"/>
  <c r="E459" i="2"/>
  <c r="P459" i="2"/>
  <c r="O459" i="2"/>
  <c r="M459" i="2"/>
  <c r="L459" i="2"/>
  <c r="K459" i="2" s="1"/>
  <c r="H459" i="2"/>
  <c r="C459" i="2"/>
  <c r="D459" i="2"/>
  <c r="A459" i="2"/>
  <c r="Q459" i="2"/>
  <c r="M590" i="2"/>
  <c r="A590" i="2"/>
  <c r="G590" i="2"/>
  <c r="F590" i="2"/>
  <c r="Q590" i="2"/>
  <c r="D590" i="2"/>
  <c r="P590" i="2"/>
  <c r="C590" i="2"/>
  <c r="L590" i="2"/>
  <c r="K590" i="2" s="1"/>
  <c r="O590" i="2"/>
  <c r="J590" i="2"/>
  <c r="I590" i="2"/>
  <c r="N590" i="2"/>
  <c r="H590" i="2"/>
  <c r="E590" i="2"/>
  <c r="L394" i="2"/>
  <c r="K394" i="2" s="1"/>
  <c r="N394" i="2"/>
  <c r="A394" i="2"/>
  <c r="I394" i="2"/>
  <c r="F394" i="2"/>
  <c r="E394" i="2"/>
  <c r="C394" i="2"/>
  <c r="Q394" i="2"/>
  <c r="O394" i="2"/>
  <c r="M394" i="2"/>
  <c r="D394" i="2"/>
  <c r="P394" i="2"/>
  <c r="J394" i="2"/>
  <c r="H394" i="2"/>
  <c r="G394" i="2"/>
  <c r="L566" i="2"/>
  <c r="K566" i="2" s="1"/>
  <c r="H566" i="2"/>
  <c r="G566" i="2"/>
  <c r="F566" i="2"/>
  <c r="E566" i="2"/>
  <c r="D566" i="2"/>
  <c r="Q566" i="2"/>
  <c r="C566" i="2"/>
  <c r="O566" i="2"/>
  <c r="A566" i="2"/>
  <c r="N566" i="2"/>
  <c r="M566" i="2"/>
  <c r="P566" i="2"/>
  <c r="J566" i="2"/>
  <c r="I566" i="2"/>
  <c r="O275" i="2"/>
  <c r="J275" i="2"/>
  <c r="N275" i="2"/>
  <c r="L275" i="2"/>
  <c r="K275" i="2" s="1"/>
  <c r="F275" i="2"/>
  <c r="E275" i="2"/>
  <c r="C275" i="2"/>
  <c r="A275" i="2"/>
  <c r="Q275" i="2"/>
  <c r="P275" i="2"/>
  <c r="M275" i="2"/>
  <c r="I275" i="2"/>
  <c r="H275" i="2"/>
  <c r="D275" i="2"/>
  <c r="G275" i="2"/>
  <c r="I457" i="2"/>
  <c r="Q457" i="2"/>
  <c r="E457" i="2"/>
  <c r="D457" i="2"/>
  <c r="O457" i="2"/>
  <c r="A457" i="2"/>
  <c r="N457" i="2"/>
  <c r="L457" i="2"/>
  <c r="K457" i="2" s="1"/>
  <c r="M457" i="2"/>
  <c r="J457" i="2"/>
  <c r="P457" i="2"/>
  <c r="H457" i="2"/>
  <c r="G457" i="2"/>
  <c r="F457" i="2"/>
  <c r="C457" i="2"/>
  <c r="H574" i="2"/>
  <c r="P574" i="2"/>
  <c r="D574" i="2"/>
  <c r="O574" i="2"/>
  <c r="A574" i="2"/>
  <c r="N574" i="2"/>
  <c r="M574" i="2"/>
  <c r="L574" i="2"/>
  <c r="K574" i="2" s="1"/>
  <c r="I574" i="2"/>
  <c r="G574" i="2"/>
  <c r="F574" i="2"/>
  <c r="Q574" i="2"/>
  <c r="J574" i="2"/>
  <c r="C574" i="2"/>
  <c r="E574" i="2"/>
  <c r="F312" i="2"/>
  <c r="N312" i="2"/>
  <c r="P312" i="2"/>
  <c r="A312" i="2"/>
  <c r="O312" i="2"/>
  <c r="M312" i="2"/>
  <c r="L312" i="2"/>
  <c r="K312" i="2" s="1"/>
  <c r="I312" i="2"/>
  <c r="J312" i="2"/>
  <c r="H312" i="2"/>
  <c r="G312" i="2"/>
  <c r="E312" i="2"/>
  <c r="D312" i="2"/>
  <c r="Q312" i="2"/>
  <c r="C312" i="2"/>
  <c r="G467" i="2"/>
  <c r="O467" i="2"/>
  <c r="C467" i="2"/>
  <c r="H467" i="2"/>
  <c r="E467" i="2"/>
  <c r="D467" i="2"/>
  <c r="Q467" i="2"/>
  <c r="N467" i="2"/>
  <c r="M467" i="2"/>
  <c r="P467" i="2"/>
  <c r="L467" i="2"/>
  <c r="K467" i="2" s="1"/>
  <c r="I467" i="2"/>
  <c r="F467" i="2"/>
  <c r="A467" i="2"/>
  <c r="J467" i="2"/>
  <c r="L490" i="2"/>
  <c r="K490" i="2" s="1"/>
  <c r="H490" i="2"/>
  <c r="E490" i="2"/>
  <c r="Q490" i="2"/>
  <c r="C490" i="2"/>
  <c r="P490" i="2"/>
  <c r="O490" i="2"/>
  <c r="A490" i="2"/>
  <c r="M490" i="2"/>
  <c r="F490" i="2"/>
  <c r="D490" i="2"/>
  <c r="J490" i="2"/>
  <c r="I490" i="2"/>
  <c r="G490" i="2"/>
  <c r="N490" i="2"/>
  <c r="N308" i="2"/>
  <c r="Q308" i="2"/>
  <c r="D308" i="2"/>
  <c r="L308" i="2"/>
  <c r="K308" i="2" s="1"/>
  <c r="F308" i="2"/>
  <c r="C308" i="2"/>
  <c r="A308" i="2"/>
  <c r="P308" i="2"/>
  <c r="M308" i="2"/>
  <c r="G308" i="2"/>
  <c r="E308" i="2"/>
  <c r="O308" i="2"/>
  <c r="J308" i="2"/>
  <c r="H308" i="2"/>
  <c r="I308" i="2"/>
  <c r="P458" i="2"/>
  <c r="D458" i="2"/>
  <c r="L458" i="2"/>
  <c r="K458" i="2" s="1"/>
  <c r="Q458" i="2"/>
  <c r="M458" i="2"/>
  <c r="I458" i="2"/>
  <c r="H458" i="2"/>
  <c r="G458" i="2"/>
  <c r="F458" i="2"/>
  <c r="E458" i="2"/>
  <c r="C458" i="2"/>
  <c r="A458" i="2"/>
  <c r="N458" i="2"/>
  <c r="J458" i="2"/>
  <c r="O458" i="2"/>
  <c r="F589" i="2"/>
  <c r="J589" i="2"/>
  <c r="H589" i="2"/>
  <c r="G589" i="2"/>
  <c r="P589" i="2"/>
  <c r="C589" i="2"/>
  <c r="Q589" i="2"/>
  <c r="O589" i="2"/>
  <c r="N589" i="2"/>
  <c r="M589" i="2"/>
  <c r="L589" i="2"/>
  <c r="K589" i="2" s="1"/>
  <c r="E589" i="2"/>
  <c r="D589" i="2"/>
  <c r="I589" i="2"/>
  <c r="A589" i="2"/>
  <c r="H522" i="2"/>
  <c r="G522" i="2"/>
  <c r="Q522" i="2"/>
  <c r="E522" i="2"/>
  <c r="P522" i="2"/>
  <c r="D522" i="2"/>
  <c r="N522" i="2"/>
  <c r="M522" i="2"/>
  <c r="A522" i="2"/>
  <c r="L522" i="2"/>
  <c r="K522" i="2" s="1"/>
  <c r="O522" i="2"/>
  <c r="I522" i="2"/>
  <c r="F522" i="2"/>
  <c r="J522" i="2"/>
  <c r="C522" i="2"/>
  <c r="F508" i="2"/>
  <c r="Q508" i="2"/>
  <c r="E508" i="2"/>
  <c r="O508" i="2"/>
  <c r="C508" i="2"/>
  <c r="N508" i="2"/>
  <c r="L508" i="2"/>
  <c r="K508" i="2" s="1"/>
  <c r="J508" i="2"/>
  <c r="A508" i="2"/>
  <c r="P508" i="2"/>
  <c r="M508" i="2"/>
  <c r="D508" i="2"/>
  <c r="I508" i="2"/>
  <c r="H508" i="2"/>
  <c r="G508" i="2"/>
  <c r="H550" i="2"/>
  <c r="P550" i="2"/>
  <c r="D550" i="2"/>
  <c r="F550" i="2"/>
  <c r="E550" i="2"/>
  <c r="C550" i="2"/>
  <c r="Q550" i="2"/>
  <c r="O550" i="2"/>
  <c r="A550" i="2"/>
  <c r="M550" i="2"/>
  <c r="L550" i="2"/>
  <c r="K550" i="2" s="1"/>
  <c r="N550" i="2"/>
  <c r="J550" i="2"/>
  <c r="G550" i="2"/>
  <c r="I550" i="2"/>
  <c r="H562" i="2"/>
  <c r="P562" i="2"/>
  <c r="D562" i="2"/>
  <c r="C562" i="2"/>
  <c r="Q562" i="2"/>
  <c r="O562" i="2"/>
  <c r="A562" i="2"/>
  <c r="N562" i="2"/>
  <c r="M562" i="2"/>
  <c r="J562" i="2"/>
  <c r="I562" i="2"/>
  <c r="L562" i="2"/>
  <c r="K562" i="2" s="1"/>
  <c r="F562" i="2"/>
  <c r="E562" i="2"/>
  <c r="G562" i="2"/>
  <c r="N480" i="2"/>
  <c r="J480" i="2"/>
  <c r="Q480" i="2"/>
  <c r="C480" i="2"/>
  <c r="O480" i="2"/>
  <c r="M480" i="2"/>
  <c r="L480" i="2"/>
  <c r="K480" i="2" s="1"/>
  <c r="I480" i="2"/>
  <c r="H480" i="2"/>
  <c r="D480" i="2"/>
  <c r="A480" i="2"/>
  <c r="P480" i="2"/>
  <c r="G480" i="2"/>
  <c r="F480" i="2"/>
  <c r="E480" i="2"/>
  <c r="H633" i="2"/>
  <c r="Q633" i="2"/>
  <c r="D633" i="2"/>
  <c r="N633" i="2"/>
  <c r="A633" i="2"/>
  <c r="M633" i="2"/>
  <c r="I633" i="2"/>
  <c r="O633" i="2"/>
  <c r="L633" i="2"/>
  <c r="K633" i="2" s="1"/>
  <c r="J633" i="2"/>
  <c r="G633" i="2"/>
  <c r="E633" i="2"/>
  <c r="C633" i="2"/>
  <c r="P633" i="2"/>
  <c r="F633" i="2"/>
  <c r="Q674" i="2"/>
  <c r="E674" i="2"/>
  <c r="N674" i="2"/>
  <c r="A674" i="2"/>
  <c r="L674" i="2"/>
  <c r="K674" i="2" s="1"/>
  <c r="D674" i="2"/>
  <c r="C674" i="2"/>
  <c r="P674" i="2"/>
  <c r="M674" i="2"/>
  <c r="J674" i="2"/>
  <c r="I674" i="2"/>
  <c r="O674" i="2"/>
  <c r="H674" i="2"/>
  <c r="F674" i="2"/>
  <c r="G674" i="2"/>
  <c r="F560" i="2"/>
  <c r="N560" i="2"/>
  <c r="I560" i="2"/>
  <c r="H560" i="2"/>
  <c r="G560" i="2"/>
  <c r="E560" i="2"/>
  <c r="D560" i="2"/>
  <c r="P560" i="2"/>
  <c r="A560" i="2"/>
  <c r="O560" i="2"/>
  <c r="M560" i="2"/>
  <c r="C560" i="2"/>
  <c r="Q560" i="2"/>
  <c r="L560" i="2"/>
  <c r="K560" i="2" s="1"/>
  <c r="J560" i="2"/>
  <c r="N644" i="2"/>
  <c r="A644" i="2"/>
  <c r="M644" i="2"/>
  <c r="L644" i="2"/>
  <c r="K644" i="2" s="1"/>
  <c r="I644" i="2"/>
  <c r="H644" i="2"/>
  <c r="F644" i="2"/>
  <c r="D644" i="2"/>
  <c r="C644" i="2"/>
  <c r="Q644" i="2"/>
  <c r="P644" i="2"/>
  <c r="O644" i="2"/>
  <c r="E644" i="2"/>
  <c r="J644" i="2"/>
  <c r="G644" i="2"/>
  <c r="M646" i="2"/>
  <c r="A646" i="2"/>
  <c r="F646" i="2"/>
  <c r="H646" i="2"/>
  <c r="G646" i="2"/>
  <c r="D646" i="2"/>
  <c r="Q646" i="2"/>
  <c r="C646" i="2"/>
  <c r="O646" i="2"/>
  <c r="N646" i="2"/>
  <c r="L646" i="2"/>
  <c r="K646" i="2" s="1"/>
  <c r="P646" i="2"/>
  <c r="I646" i="2"/>
  <c r="E646" i="2"/>
  <c r="J646" i="2"/>
  <c r="L651" i="2"/>
  <c r="K651" i="2" s="1"/>
  <c r="M651" i="2"/>
  <c r="H651" i="2"/>
  <c r="G651" i="2"/>
  <c r="E651" i="2"/>
  <c r="D651" i="2"/>
  <c r="P651" i="2"/>
  <c r="O651" i="2"/>
  <c r="A651" i="2"/>
  <c r="N651" i="2"/>
  <c r="Q651" i="2"/>
  <c r="J651" i="2"/>
  <c r="I651" i="2"/>
  <c r="C651" i="2"/>
  <c r="F651" i="2"/>
  <c r="L687" i="2"/>
  <c r="K687" i="2" s="1"/>
  <c r="I687" i="2"/>
  <c r="Q687" i="2"/>
  <c r="E687" i="2"/>
  <c r="M687" i="2"/>
  <c r="H687" i="2"/>
  <c r="G687" i="2"/>
  <c r="J687" i="2"/>
  <c r="F687" i="2"/>
  <c r="C687" i="2"/>
  <c r="D687" i="2"/>
  <c r="A687" i="2"/>
  <c r="O687" i="2"/>
  <c r="N687" i="2"/>
  <c r="P687" i="2"/>
  <c r="O610" i="2"/>
  <c r="C610" i="2"/>
  <c r="P610" i="2"/>
  <c r="F610" i="2"/>
  <c r="E610" i="2"/>
  <c r="A610" i="2"/>
  <c r="Q610" i="2"/>
  <c r="M610" i="2"/>
  <c r="L610" i="2"/>
  <c r="K610" i="2" s="1"/>
  <c r="J610" i="2"/>
  <c r="N610" i="2"/>
  <c r="I610" i="2"/>
  <c r="H610" i="2"/>
  <c r="D610" i="2"/>
  <c r="G610" i="2"/>
  <c r="J780" i="2"/>
  <c r="L780" i="2"/>
  <c r="K780" i="2" s="1"/>
  <c r="I780" i="2"/>
  <c r="H780" i="2"/>
  <c r="G780" i="2"/>
  <c r="D780" i="2"/>
  <c r="Q780" i="2"/>
  <c r="C780" i="2"/>
  <c r="N780" i="2"/>
  <c r="M780" i="2"/>
  <c r="P780" i="2"/>
  <c r="O780" i="2"/>
  <c r="F780" i="2"/>
  <c r="E780" i="2"/>
  <c r="A780" i="2"/>
  <c r="M694" i="2"/>
  <c r="A694" i="2"/>
  <c r="L694" i="2"/>
  <c r="K694" i="2" s="1"/>
  <c r="J694" i="2"/>
  <c r="F694" i="2"/>
  <c r="P694" i="2"/>
  <c r="O694" i="2"/>
  <c r="H694" i="2"/>
  <c r="I694" i="2"/>
  <c r="E694" i="2"/>
  <c r="D694" i="2"/>
  <c r="C694" i="2"/>
  <c r="Q694" i="2"/>
  <c r="N694" i="2"/>
  <c r="G694" i="2"/>
  <c r="J772" i="2"/>
  <c r="L772" i="2"/>
  <c r="K772" i="2" s="1"/>
  <c r="I772" i="2"/>
  <c r="H772" i="2"/>
  <c r="Q772" i="2"/>
  <c r="D772" i="2"/>
  <c r="G772" i="2"/>
  <c r="F772" i="2"/>
  <c r="E772" i="2"/>
  <c r="C772" i="2"/>
  <c r="P772" i="2"/>
  <c r="O772" i="2"/>
  <c r="A772" i="2"/>
  <c r="N772" i="2"/>
  <c r="M772" i="2"/>
  <c r="G395" i="2"/>
  <c r="J395" i="2"/>
  <c r="E395" i="2"/>
  <c r="D395" i="2"/>
  <c r="C395" i="2"/>
  <c r="P395" i="2"/>
  <c r="A395" i="2"/>
  <c r="O395" i="2"/>
  <c r="M395" i="2"/>
  <c r="L395" i="2"/>
  <c r="K395" i="2" s="1"/>
  <c r="Q395" i="2"/>
  <c r="N395" i="2"/>
  <c r="I395" i="2"/>
  <c r="H395" i="2"/>
  <c r="F395" i="2"/>
  <c r="J239" i="2"/>
  <c r="H239" i="2"/>
  <c r="O239" i="2"/>
  <c r="N239" i="2"/>
  <c r="G239" i="2"/>
  <c r="F239" i="2"/>
  <c r="E239" i="2"/>
  <c r="D239" i="2"/>
  <c r="C239" i="2"/>
  <c r="A239" i="2"/>
  <c r="Q239" i="2"/>
  <c r="P239" i="2"/>
  <c r="M239" i="2"/>
  <c r="L239" i="2"/>
  <c r="K239" i="2" s="1"/>
  <c r="I239" i="2"/>
  <c r="L143" i="2"/>
  <c r="K143" i="2" s="1"/>
  <c r="H143" i="2"/>
  <c r="J143" i="2"/>
  <c r="I143" i="2"/>
  <c r="G143" i="2"/>
  <c r="F143" i="2"/>
  <c r="E143" i="2"/>
  <c r="D143" i="2"/>
  <c r="Q143" i="2"/>
  <c r="C143" i="2"/>
  <c r="P143" i="2"/>
  <c r="O143" i="2"/>
  <c r="A143" i="2"/>
  <c r="N143" i="2"/>
  <c r="M143" i="2"/>
  <c r="G132" i="2"/>
  <c r="O132" i="2"/>
  <c r="C132" i="2"/>
  <c r="J132" i="2"/>
  <c r="I132" i="2"/>
  <c r="H132" i="2"/>
  <c r="F132" i="2"/>
  <c r="E132" i="2"/>
  <c r="D132" i="2"/>
  <c r="Q132" i="2"/>
  <c r="P132" i="2"/>
  <c r="A132" i="2"/>
  <c r="N132" i="2"/>
  <c r="M132" i="2"/>
  <c r="L132" i="2"/>
  <c r="K132" i="2" s="1"/>
  <c r="Q94" i="2"/>
  <c r="E94" i="2"/>
  <c r="M94" i="2"/>
  <c r="A94" i="2"/>
  <c r="H94" i="2"/>
  <c r="G94" i="2"/>
  <c r="F94" i="2"/>
  <c r="D94" i="2"/>
  <c r="C94" i="2"/>
  <c r="P94" i="2"/>
  <c r="O94" i="2"/>
  <c r="N94" i="2"/>
  <c r="L94" i="2"/>
  <c r="K94" i="2" s="1"/>
  <c r="J94" i="2"/>
  <c r="I94" i="2"/>
  <c r="P67" i="2"/>
  <c r="D67" i="2"/>
  <c r="G67" i="2"/>
  <c r="F67" i="2"/>
  <c r="E67" i="2"/>
  <c r="Q67" i="2"/>
  <c r="C67" i="2"/>
  <c r="O67" i="2"/>
  <c r="N67" i="2"/>
  <c r="A67" i="2"/>
  <c r="M67" i="2"/>
  <c r="L67" i="2"/>
  <c r="K67" i="2" s="1"/>
  <c r="J67" i="2"/>
  <c r="I67" i="2"/>
  <c r="H67" i="2"/>
  <c r="F240" i="2"/>
  <c r="G240" i="2"/>
  <c r="Q240" i="2"/>
  <c r="D240" i="2"/>
  <c r="M240" i="2"/>
  <c r="L240" i="2"/>
  <c r="K240" i="2" s="1"/>
  <c r="J240" i="2"/>
  <c r="I240" i="2"/>
  <c r="H240" i="2"/>
  <c r="E240" i="2"/>
  <c r="C240" i="2"/>
  <c r="A240" i="2"/>
  <c r="P240" i="2"/>
  <c r="O240" i="2"/>
  <c r="N240" i="2"/>
  <c r="M162" i="2"/>
  <c r="A162" i="2"/>
  <c r="L162" i="2"/>
  <c r="K162" i="2" s="1"/>
  <c r="J162" i="2"/>
  <c r="I162" i="2"/>
  <c r="G162" i="2"/>
  <c r="F162" i="2"/>
  <c r="Q162" i="2"/>
  <c r="E162" i="2"/>
  <c r="H162" i="2"/>
  <c r="D162" i="2"/>
  <c r="C162" i="2"/>
  <c r="P162" i="2"/>
  <c r="O162" i="2"/>
  <c r="N162" i="2"/>
  <c r="P123" i="2"/>
  <c r="D123" i="2"/>
  <c r="L123" i="2"/>
  <c r="K123" i="2" s="1"/>
  <c r="E123" i="2"/>
  <c r="C123" i="2"/>
  <c r="Q123" i="2"/>
  <c r="O123" i="2"/>
  <c r="A123" i="2"/>
  <c r="N123" i="2"/>
  <c r="M123" i="2"/>
  <c r="J123" i="2"/>
  <c r="I123" i="2"/>
  <c r="H123" i="2"/>
  <c r="G123" i="2"/>
  <c r="F123" i="2"/>
  <c r="Q118" i="2"/>
  <c r="E118" i="2"/>
  <c r="M118" i="2"/>
  <c r="A118" i="2"/>
  <c r="C118" i="2"/>
  <c r="P118" i="2"/>
  <c r="O118" i="2"/>
  <c r="N118" i="2"/>
  <c r="L118" i="2"/>
  <c r="K118" i="2" s="1"/>
  <c r="J118" i="2"/>
  <c r="I118" i="2"/>
  <c r="H118" i="2"/>
  <c r="G118" i="2"/>
  <c r="F118" i="2"/>
  <c r="D118" i="2"/>
  <c r="G96" i="2"/>
  <c r="O96" i="2"/>
  <c r="C96" i="2"/>
  <c r="Q96" i="2"/>
  <c r="P96" i="2"/>
  <c r="A96" i="2"/>
  <c r="N96" i="2"/>
  <c r="M96" i="2"/>
  <c r="L96" i="2"/>
  <c r="K96" i="2" s="1"/>
  <c r="J96" i="2"/>
  <c r="I96" i="2"/>
  <c r="H96" i="2"/>
  <c r="F96" i="2"/>
  <c r="E96" i="2"/>
  <c r="D96" i="2"/>
  <c r="G220" i="2"/>
  <c r="J220" i="2"/>
  <c r="I220" i="2"/>
  <c r="H220" i="2"/>
  <c r="F220" i="2"/>
  <c r="Q220" i="2"/>
  <c r="D220" i="2"/>
  <c r="P220" i="2"/>
  <c r="C220" i="2"/>
  <c r="O220" i="2"/>
  <c r="E220" i="2"/>
  <c r="A220" i="2"/>
  <c r="N220" i="2"/>
  <c r="M220" i="2"/>
  <c r="L220" i="2"/>
  <c r="K220" i="2" s="1"/>
  <c r="J217" i="2"/>
  <c r="I217" i="2"/>
  <c r="H217" i="2"/>
  <c r="G217" i="2"/>
  <c r="F217" i="2"/>
  <c r="E217" i="2"/>
  <c r="P217" i="2"/>
  <c r="C217" i="2"/>
  <c r="O217" i="2"/>
  <c r="N217" i="2"/>
  <c r="A217" i="2"/>
  <c r="Q217" i="2"/>
  <c r="M217" i="2"/>
  <c r="L217" i="2"/>
  <c r="K217" i="2" s="1"/>
  <c r="D217" i="2"/>
  <c r="M214" i="2"/>
  <c r="A214" i="2"/>
  <c r="H214" i="2"/>
  <c r="G214" i="2"/>
  <c r="F214" i="2"/>
  <c r="E214" i="2"/>
  <c r="Q214" i="2"/>
  <c r="D214" i="2"/>
  <c r="O214" i="2"/>
  <c r="N214" i="2"/>
  <c r="L214" i="2"/>
  <c r="K214" i="2" s="1"/>
  <c r="P214" i="2"/>
  <c r="J214" i="2"/>
  <c r="I214" i="2"/>
  <c r="C214" i="2"/>
  <c r="F137" i="2"/>
  <c r="N137" i="2"/>
  <c r="J137" i="2"/>
  <c r="I137" i="2"/>
  <c r="H137" i="2"/>
  <c r="G137" i="2"/>
  <c r="E137" i="2"/>
  <c r="D137" i="2"/>
  <c r="Q137" i="2"/>
  <c r="C137" i="2"/>
  <c r="P137" i="2"/>
  <c r="A137" i="2"/>
  <c r="O137" i="2"/>
  <c r="M137" i="2"/>
  <c r="L137" i="2"/>
  <c r="K137" i="2" s="1"/>
  <c r="Q178" i="2"/>
  <c r="E178" i="2"/>
  <c r="P178" i="2"/>
  <c r="D178" i="2"/>
  <c r="O178" i="2"/>
  <c r="C178" i="2"/>
  <c r="N178" i="2"/>
  <c r="M178" i="2"/>
  <c r="A178" i="2"/>
  <c r="J178" i="2"/>
  <c r="I178" i="2"/>
  <c r="L178" i="2"/>
  <c r="K178" i="2" s="1"/>
  <c r="H178" i="2"/>
  <c r="G178" i="2"/>
  <c r="F178" i="2"/>
  <c r="H215" i="2"/>
  <c r="Q215" i="2"/>
  <c r="D215" i="2"/>
  <c r="P215" i="2"/>
  <c r="C215" i="2"/>
  <c r="O215" i="2"/>
  <c r="N215" i="2"/>
  <c r="A215" i="2"/>
  <c r="M215" i="2"/>
  <c r="J215" i="2"/>
  <c r="I215" i="2"/>
  <c r="L215" i="2"/>
  <c r="K215" i="2" s="1"/>
  <c r="G215" i="2"/>
  <c r="F215" i="2"/>
  <c r="E215" i="2"/>
  <c r="Q269" i="2"/>
  <c r="E269" i="2"/>
  <c r="L269" i="2"/>
  <c r="K269" i="2" s="1"/>
  <c r="H269" i="2"/>
  <c r="F269" i="2"/>
  <c r="C269" i="2"/>
  <c r="N269" i="2"/>
  <c r="M269" i="2"/>
  <c r="J269" i="2"/>
  <c r="I269" i="2"/>
  <c r="G269" i="2"/>
  <c r="D269" i="2"/>
  <c r="A269" i="2"/>
  <c r="P269" i="2"/>
  <c r="O269" i="2"/>
  <c r="O192" i="2"/>
  <c r="C192" i="2"/>
  <c r="P192" i="2"/>
  <c r="N192" i="2"/>
  <c r="A192" i="2"/>
  <c r="M192" i="2"/>
  <c r="L192" i="2"/>
  <c r="K192" i="2" s="1"/>
  <c r="I192" i="2"/>
  <c r="H192" i="2"/>
  <c r="G192" i="2"/>
  <c r="J192" i="2"/>
  <c r="F192" i="2"/>
  <c r="E192" i="2"/>
  <c r="D192" i="2"/>
  <c r="Q192" i="2"/>
  <c r="H278" i="2"/>
  <c r="P278" i="2"/>
  <c r="C278" i="2"/>
  <c r="L278" i="2"/>
  <c r="K278" i="2" s="1"/>
  <c r="J278" i="2"/>
  <c r="G278" i="2"/>
  <c r="M278" i="2"/>
  <c r="F278" i="2"/>
  <c r="E278" i="2"/>
  <c r="D278" i="2"/>
  <c r="I278" i="2"/>
  <c r="A278" i="2"/>
  <c r="Q278" i="2"/>
  <c r="O278" i="2"/>
  <c r="N278" i="2"/>
  <c r="G247" i="2"/>
  <c r="E247" i="2"/>
  <c r="Q247" i="2"/>
  <c r="C247" i="2"/>
  <c r="D247" i="2"/>
  <c r="F247" i="2"/>
  <c r="A247" i="2"/>
  <c r="P247" i="2"/>
  <c r="N247" i="2"/>
  <c r="M247" i="2"/>
  <c r="L247" i="2"/>
  <c r="K247" i="2" s="1"/>
  <c r="O247" i="2"/>
  <c r="J247" i="2"/>
  <c r="I247" i="2"/>
  <c r="H247" i="2"/>
  <c r="P362" i="2"/>
  <c r="H362" i="2"/>
  <c r="Q362" i="2"/>
  <c r="D362" i="2"/>
  <c r="O362" i="2"/>
  <c r="A362" i="2"/>
  <c r="N362" i="2"/>
  <c r="L362" i="2"/>
  <c r="K362" i="2" s="1"/>
  <c r="I362" i="2"/>
  <c r="G362" i="2"/>
  <c r="J362" i="2"/>
  <c r="M362" i="2"/>
  <c r="F362" i="2"/>
  <c r="E362" i="2"/>
  <c r="C362" i="2"/>
  <c r="M509" i="2"/>
  <c r="A509" i="2"/>
  <c r="L509" i="2"/>
  <c r="K509" i="2" s="1"/>
  <c r="J509" i="2"/>
  <c r="I509" i="2"/>
  <c r="G509" i="2"/>
  <c r="F509" i="2"/>
  <c r="Q509" i="2"/>
  <c r="E509" i="2"/>
  <c r="N509" i="2"/>
  <c r="H509" i="2"/>
  <c r="D509" i="2"/>
  <c r="C509" i="2"/>
  <c r="O509" i="2"/>
  <c r="P509" i="2"/>
  <c r="P398" i="2"/>
  <c r="D398" i="2"/>
  <c r="G398" i="2"/>
  <c r="Q398" i="2"/>
  <c r="A398" i="2"/>
  <c r="O398" i="2"/>
  <c r="M398" i="2"/>
  <c r="L398" i="2"/>
  <c r="K398" i="2" s="1"/>
  <c r="I398" i="2"/>
  <c r="H398" i="2"/>
  <c r="F398" i="2"/>
  <c r="E398" i="2"/>
  <c r="J398" i="2"/>
  <c r="C398" i="2"/>
  <c r="N398" i="2"/>
  <c r="J328" i="2"/>
  <c r="F328" i="2"/>
  <c r="Q328" i="2"/>
  <c r="C328" i="2"/>
  <c r="M328" i="2"/>
  <c r="E328" i="2"/>
  <c r="A328" i="2"/>
  <c r="O328" i="2"/>
  <c r="L328" i="2"/>
  <c r="K328" i="2" s="1"/>
  <c r="N328" i="2"/>
  <c r="I328" i="2"/>
  <c r="H328" i="2"/>
  <c r="G328" i="2"/>
  <c r="D328" i="2"/>
  <c r="P328" i="2"/>
  <c r="P358" i="2"/>
  <c r="D358" i="2"/>
  <c r="L358" i="2"/>
  <c r="K358" i="2" s="1"/>
  <c r="J358" i="2"/>
  <c r="H358" i="2"/>
  <c r="G358" i="2"/>
  <c r="E358" i="2"/>
  <c r="C358" i="2"/>
  <c r="Q358" i="2"/>
  <c r="O358" i="2"/>
  <c r="N358" i="2"/>
  <c r="I358" i="2"/>
  <c r="F358" i="2"/>
  <c r="A358" i="2"/>
  <c r="M358" i="2"/>
  <c r="P470" i="2"/>
  <c r="D470" i="2"/>
  <c r="L470" i="2"/>
  <c r="K470" i="2" s="1"/>
  <c r="N470" i="2"/>
  <c r="J470" i="2"/>
  <c r="I470" i="2"/>
  <c r="G470" i="2"/>
  <c r="F470" i="2"/>
  <c r="A470" i="2"/>
  <c r="O470" i="2"/>
  <c r="M470" i="2"/>
  <c r="Q470" i="2"/>
  <c r="E470" i="2"/>
  <c r="C470" i="2"/>
  <c r="H470" i="2"/>
  <c r="G515" i="2"/>
  <c r="F515" i="2"/>
  <c r="P515" i="2"/>
  <c r="D515" i="2"/>
  <c r="O515" i="2"/>
  <c r="C515" i="2"/>
  <c r="M515" i="2"/>
  <c r="A515" i="2"/>
  <c r="L515" i="2"/>
  <c r="K515" i="2" s="1"/>
  <c r="Q515" i="2"/>
  <c r="J515" i="2"/>
  <c r="I515" i="2"/>
  <c r="E515" i="2"/>
  <c r="N515" i="2"/>
  <c r="H515" i="2"/>
  <c r="H474" i="2"/>
  <c r="P474" i="2"/>
  <c r="D474" i="2"/>
  <c r="C474" i="2"/>
  <c r="O474" i="2"/>
  <c r="A474" i="2"/>
  <c r="N474" i="2"/>
  <c r="M474" i="2"/>
  <c r="J474" i="2"/>
  <c r="Q474" i="2"/>
  <c r="L474" i="2"/>
  <c r="K474" i="2" s="1"/>
  <c r="I474" i="2"/>
  <c r="G474" i="2"/>
  <c r="E474" i="2"/>
  <c r="F474" i="2"/>
  <c r="N224" i="2"/>
  <c r="Q224" i="2"/>
  <c r="D224" i="2"/>
  <c r="P224" i="2"/>
  <c r="C224" i="2"/>
  <c r="M224" i="2"/>
  <c r="L224" i="2"/>
  <c r="K224" i="2" s="1"/>
  <c r="J224" i="2"/>
  <c r="I224" i="2"/>
  <c r="G224" i="2"/>
  <c r="F224" i="2"/>
  <c r="E224" i="2"/>
  <c r="O224" i="2"/>
  <c r="H224" i="2"/>
  <c r="A224" i="2"/>
  <c r="M425" i="2"/>
  <c r="A425" i="2"/>
  <c r="J425" i="2"/>
  <c r="G425" i="2"/>
  <c r="F425" i="2"/>
  <c r="Q425" i="2"/>
  <c r="D425" i="2"/>
  <c r="P425" i="2"/>
  <c r="C425" i="2"/>
  <c r="I425" i="2"/>
  <c r="E425" i="2"/>
  <c r="O425" i="2"/>
  <c r="L425" i="2"/>
  <c r="K425" i="2" s="1"/>
  <c r="H425" i="2"/>
  <c r="N425" i="2"/>
  <c r="G602" i="2"/>
  <c r="H602" i="2"/>
  <c r="P602" i="2"/>
  <c r="C602" i="2"/>
  <c r="O602" i="2"/>
  <c r="N602" i="2"/>
  <c r="L602" i="2"/>
  <c r="K602" i="2" s="1"/>
  <c r="I602" i="2"/>
  <c r="F602" i="2"/>
  <c r="E602" i="2"/>
  <c r="Q602" i="2"/>
  <c r="M602" i="2"/>
  <c r="J602" i="2"/>
  <c r="D602" i="2"/>
  <c r="A602" i="2"/>
  <c r="I285" i="2"/>
  <c r="O285" i="2"/>
  <c r="Q285" i="2"/>
  <c r="A285" i="2"/>
  <c r="N285" i="2"/>
  <c r="F285" i="2"/>
  <c r="E285" i="2"/>
  <c r="C285" i="2"/>
  <c r="P285" i="2"/>
  <c r="D285" i="2"/>
  <c r="M285" i="2"/>
  <c r="L285" i="2"/>
  <c r="K285" i="2" s="1"/>
  <c r="J285" i="2"/>
  <c r="H285" i="2"/>
  <c r="G285" i="2"/>
  <c r="O475" i="2"/>
  <c r="C475" i="2"/>
  <c r="P475" i="2"/>
  <c r="A475" i="2"/>
  <c r="M475" i="2"/>
  <c r="L475" i="2"/>
  <c r="K475" i="2" s="1"/>
  <c r="J475" i="2"/>
  <c r="H475" i="2"/>
  <c r="G475" i="2"/>
  <c r="Q475" i="2"/>
  <c r="N475" i="2"/>
  <c r="F475" i="2"/>
  <c r="E475" i="2"/>
  <c r="D475" i="2"/>
  <c r="I475" i="2"/>
  <c r="F412" i="2"/>
  <c r="I412" i="2"/>
  <c r="E412" i="2"/>
  <c r="Q412" i="2"/>
  <c r="D412" i="2"/>
  <c r="O412" i="2"/>
  <c r="N412" i="2"/>
  <c r="A412" i="2"/>
  <c r="H412" i="2"/>
  <c r="G412" i="2"/>
  <c r="P412" i="2"/>
  <c r="M412" i="2"/>
  <c r="L412" i="2"/>
  <c r="K412" i="2" s="1"/>
  <c r="C412" i="2"/>
  <c r="J412" i="2"/>
  <c r="F324" i="2"/>
  <c r="N324" i="2"/>
  <c r="M324" i="2"/>
  <c r="I324" i="2"/>
  <c r="D324" i="2"/>
  <c r="A324" i="2"/>
  <c r="Q324" i="2"/>
  <c r="P324" i="2"/>
  <c r="L324" i="2"/>
  <c r="K324" i="2" s="1"/>
  <c r="J324" i="2"/>
  <c r="H324" i="2"/>
  <c r="G324" i="2"/>
  <c r="E324" i="2"/>
  <c r="C324" i="2"/>
  <c r="O324" i="2"/>
  <c r="M473" i="2"/>
  <c r="A473" i="2"/>
  <c r="I473" i="2"/>
  <c r="F473" i="2"/>
  <c r="D473" i="2"/>
  <c r="Q473" i="2"/>
  <c r="C473" i="2"/>
  <c r="P473" i="2"/>
  <c r="N473" i="2"/>
  <c r="L473" i="2"/>
  <c r="K473" i="2" s="1"/>
  <c r="G473" i="2"/>
  <c r="E473" i="2"/>
  <c r="O473" i="2"/>
  <c r="J473" i="2"/>
  <c r="H473" i="2"/>
  <c r="P494" i="2"/>
  <c r="D494" i="2"/>
  <c r="O494" i="2"/>
  <c r="C494" i="2"/>
  <c r="M494" i="2"/>
  <c r="A494" i="2"/>
  <c r="L494" i="2"/>
  <c r="K494" i="2" s="1"/>
  <c r="J494" i="2"/>
  <c r="I494" i="2"/>
  <c r="H494" i="2"/>
  <c r="G494" i="2"/>
  <c r="E494" i="2"/>
  <c r="F494" i="2"/>
  <c r="Q494" i="2"/>
  <c r="N494" i="2"/>
  <c r="N320" i="2"/>
  <c r="J320" i="2"/>
  <c r="I320" i="2"/>
  <c r="E320" i="2"/>
  <c r="C320" i="2"/>
  <c r="Q320" i="2"/>
  <c r="P320" i="2"/>
  <c r="O320" i="2"/>
  <c r="L320" i="2"/>
  <c r="K320" i="2" s="1"/>
  <c r="H320" i="2"/>
  <c r="G320" i="2"/>
  <c r="F320" i="2"/>
  <c r="D320" i="2"/>
  <c r="A320" i="2"/>
  <c r="M320" i="2"/>
  <c r="I469" i="2"/>
  <c r="Q469" i="2"/>
  <c r="E469" i="2"/>
  <c r="P469" i="2"/>
  <c r="N469" i="2"/>
  <c r="M469" i="2"/>
  <c r="L469" i="2"/>
  <c r="K469" i="2" s="1"/>
  <c r="J469" i="2"/>
  <c r="H469" i="2"/>
  <c r="O469" i="2"/>
  <c r="G469" i="2"/>
  <c r="F469" i="2"/>
  <c r="C469" i="2"/>
  <c r="A469" i="2"/>
  <c r="D469" i="2"/>
  <c r="G626" i="2"/>
  <c r="E626" i="2"/>
  <c r="N626" i="2"/>
  <c r="A626" i="2"/>
  <c r="P626" i="2"/>
  <c r="O626" i="2"/>
  <c r="L626" i="2"/>
  <c r="K626" i="2" s="1"/>
  <c r="I626" i="2"/>
  <c r="H626" i="2"/>
  <c r="F626" i="2"/>
  <c r="Q626" i="2"/>
  <c r="M626" i="2"/>
  <c r="D626" i="2"/>
  <c r="C626" i="2"/>
  <c r="J626" i="2"/>
  <c r="G543" i="2"/>
  <c r="O543" i="2"/>
  <c r="C543" i="2"/>
  <c r="J543" i="2"/>
  <c r="I543" i="2"/>
  <c r="F543" i="2"/>
  <c r="E543" i="2"/>
  <c r="Q543" i="2"/>
  <c r="P543" i="2"/>
  <c r="A543" i="2"/>
  <c r="N543" i="2"/>
  <c r="D543" i="2"/>
  <c r="H543" i="2"/>
  <c r="M543" i="2"/>
  <c r="L543" i="2"/>
  <c r="K543" i="2" s="1"/>
  <c r="F520" i="2"/>
  <c r="Q520" i="2"/>
  <c r="E520" i="2"/>
  <c r="O520" i="2"/>
  <c r="C520" i="2"/>
  <c r="N520" i="2"/>
  <c r="L520" i="2"/>
  <c r="K520" i="2" s="1"/>
  <c r="J520" i="2"/>
  <c r="M520" i="2"/>
  <c r="I520" i="2"/>
  <c r="P520" i="2"/>
  <c r="H520" i="2"/>
  <c r="G520" i="2"/>
  <c r="A520" i="2"/>
  <c r="D520" i="2"/>
  <c r="O598" i="2"/>
  <c r="C598" i="2"/>
  <c r="J598" i="2"/>
  <c r="F598" i="2"/>
  <c r="E598" i="2"/>
  <c r="D598" i="2"/>
  <c r="Q598" i="2"/>
  <c r="A598" i="2"/>
  <c r="P598" i="2"/>
  <c r="M598" i="2"/>
  <c r="L598" i="2"/>
  <c r="K598" i="2" s="1"/>
  <c r="I598" i="2"/>
  <c r="H598" i="2"/>
  <c r="G598" i="2"/>
  <c r="N598" i="2"/>
  <c r="G614" i="2"/>
  <c r="M614" i="2"/>
  <c r="I614" i="2"/>
  <c r="P614" i="2"/>
  <c r="A614" i="2"/>
  <c r="O614" i="2"/>
  <c r="L614" i="2"/>
  <c r="K614" i="2" s="1"/>
  <c r="H614" i="2"/>
  <c r="F614" i="2"/>
  <c r="E614" i="2"/>
  <c r="C614" i="2"/>
  <c r="Q614" i="2"/>
  <c r="N614" i="2"/>
  <c r="D614" i="2"/>
  <c r="J614" i="2"/>
  <c r="N492" i="2"/>
  <c r="M492" i="2"/>
  <c r="J492" i="2"/>
  <c r="P492" i="2"/>
  <c r="L492" i="2"/>
  <c r="K492" i="2" s="1"/>
  <c r="I492" i="2"/>
  <c r="G492" i="2"/>
  <c r="F492" i="2"/>
  <c r="A492" i="2"/>
  <c r="Q492" i="2"/>
  <c r="O492" i="2"/>
  <c r="C492" i="2"/>
  <c r="E492" i="2"/>
  <c r="D492" i="2"/>
  <c r="H492" i="2"/>
  <c r="L639" i="2"/>
  <c r="K639" i="2" s="1"/>
  <c r="G639" i="2"/>
  <c r="M639" i="2"/>
  <c r="I639" i="2"/>
  <c r="H639" i="2"/>
  <c r="Q639" i="2"/>
  <c r="C639" i="2"/>
  <c r="P639" i="2"/>
  <c r="O639" i="2"/>
  <c r="J639" i="2"/>
  <c r="E639" i="2"/>
  <c r="D639" i="2"/>
  <c r="N639" i="2"/>
  <c r="A639" i="2"/>
  <c r="F639" i="2"/>
  <c r="J692" i="2"/>
  <c r="H692" i="2"/>
  <c r="P692" i="2"/>
  <c r="D692" i="2"/>
  <c r="Q692" i="2"/>
  <c r="N692" i="2"/>
  <c r="M692" i="2"/>
  <c r="O692" i="2"/>
  <c r="L692" i="2"/>
  <c r="K692" i="2" s="1"/>
  <c r="G692" i="2"/>
  <c r="F692" i="2"/>
  <c r="E692" i="2"/>
  <c r="C692" i="2"/>
  <c r="A692" i="2"/>
  <c r="I692" i="2"/>
  <c r="F572" i="2"/>
  <c r="N572" i="2"/>
  <c r="G572" i="2"/>
  <c r="E572" i="2"/>
  <c r="D572" i="2"/>
  <c r="Q572" i="2"/>
  <c r="C572" i="2"/>
  <c r="P572" i="2"/>
  <c r="A572" i="2"/>
  <c r="M572" i="2"/>
  <c r="L572" i="2"/>
  <c r="K572" i="2" s="1"/>
  <c r="O572" i="2"/>
  <c r="I572" i="2"/>
  <c r="H572" i="2"/>
  <c r="J572" i="2"/>
  <c r="I654" i="2"/>
  <c r="N654" i="2"/>
  <c r="A654" i="2"/>
  <c r="O654" i="2"/>
  <c r="M654" i="2"/>
  <c r="J654" i="2"/>
  <c r="G654" i="2"/>
  <c r="F654" i="2"/>
  <c r="E654" i="2"/>
  <c r="C654" i="2"/>
  <c r="Q654" i="2"/>
  <c r="P654" i="2"/>
  <c r="L654" i="2"/>
  <c r="K654" i="2" s="1"/>
  <c r="H654" i="2"/>
  <c r="D654" i="2"/>
  <c r="M722" i="2"/>
  <c r="A722" i="2"/>
  <c r="L722" i="2"/>
  <c r="K722" i="2" s="1"/>
  <c r="J722" i="2"/>
  <c r="I722" i="2"/>
  <c r="F722" i="2"/>
  <c r="E722" i="2"/>
  <c r="C722" i="2"/>
  <c r="Q722" i="2"/>
  <c r="P722" i="2"/>
  <c r="O722" i="2"/>
  <c r="N722" i="2"/>
  <c r="H722" i="2"/>
  <c r="G722" i="2"/>
  <c r="D722" i="2"/>
  <c r="F656" i="2"/>
  <c r="I656" i="2"/>
  <c r="H656" i="2"/>
  <c r="E656" i="2"/>
  <c r="D656" i="2"/>
  <c r="P656" i="2"/>
  <c r="O656" i="2"/>
  <c r="A656" i="2"/>
  <c r="N656" i="2"/>
  <c r="C656" i="2"/>
  <c r="Q656" i="2"/>
  <c r="M656" i="2"/>
  <c r="L656" i="2"/>
  <c r="K656" i="2" s="1"/>
  <c r="G656" i="2"/>
  <c r="J656" i="2"/>
  <c r="J759" i="2"/>
  <c r="I759" i="2"/>
  <c r="H759" i="2"/>
  <c r="G759" i="2"/>
  <c r="P759" i="2"/>
  <c r="O759" i="2"/>
  <c r="N759" i="2"/>
  <c r="M759" i="2"/>
  <c r="F759" i="2"/>
  <c r="E759" i="2"/>
  <c r="L759" i="2"/>
  <c r="K759" i="2" s="1"/>
  <c r="C759" i="2"/>
  <c r="A759" i="2"/>
  <c r="D759" i="2"/>
  <c r="Q759" i="2"/>
  <c r="O648" i="2"/>
  <c r="C648" i="2"/>
  <c r="Q648" i="2"/>
  <c r="P648" i="2"/>
  <c r="A648" i="2"/>
  <c r="M648" i="2"/>
  <c r="L648" i="2"/>
  <c r="K648" i="2" s="1"/>
  <c r="I648" i="2"/>
  <c r="H648" i="2"/>
  <c r="G648" i="2"/>
  <c r="D648" i="2"/>
  <c r="N648" i="2"/>
  <c r="J648" i="2"/>
  <c r="F648" i="2"/>
  <c r="E648" i="2"/>
  <c r="M670" i="2"/>
  <c r="A670" i="2"/>
  <c r="Q670" i="2"/>
  <c r="D670" i="2"/>
  <c r="O670" i="2"/>
  <c r="N670" i="2"/>
  <c r="C670" i="2"/>
  <c r="P670" i="2"/>
  <c r="L670" i="2"/>
  <c r="K670" i="2" s="1"/>
  <c r="J670" i="2"/>
  <c r="I670" i="2"/>
  <c r="H670" i="2"/>
  <c r="G670" i="2"/>
  <c r="F670" i="2"/>
  <c r="E670" i="2"/>
  <c r="H695" i="2"/>
  <c r="G695" i="2"/>
  <c r="Q695" i="2"/>
  <c r="E695" i="2"/>
  <c r="M695" i="2"/>
  <c r="A695" i="2"/>
  <c r="P695" i="2"/>
  <c r="O695" i="2"/>
  <c r="J695" i="2"/>
  <c r="N695" i="2"/>
  <c r="L695" i="2"/>
  <c r="K695" i="2" s="1"/>
  <c r="I695" i="2"/>
  <c r="F695" i="2"/>
  <c r="D695" i="2"/>
  <c r="C695" i="2"/>
  <c r="G822" i="2"/>
  <c r="F822" i="2"/>
  <c r="P822" i="2"/>
  <c r="D822" i="2"/>
  <c r="O822" i="2"/>
  <c r="N822" i="2"/>
  <c r="E822" i="2"/>
  <c r="Q822" i="2"/>
  <c r="M822" i="2"/>
  <c r="L822" i="2"/>
  <c r="K822" i="2" s="1"/>
  <c r="H822" i="2"/>
  <c r="C822" i="2"/>
  <c r="J822" i="2"/>
  <c r="I822" i="2"/>
  <c r="A822" i="2"/>
  <c r="H790" i="2"/>
  <c r="G790" i="2"/>
  <c r="F790" i="2"/>
  <c r="N790" i="2"/>
  <c r="O790" i="2"/>
  <c r="M790" i="2"/>
  <c r="L790" i="2"/>
  <c r="K790" i="2" s="1"/>
  <c r="E790" i="2"/>
  <c r="D790" i="2"/>
  <c r="Q790" i="2"/>
  <c r="P790" i="2"/>
  <c r="J790" i="2"/>
  <c r="I790" i="2"/>
  <c r="A790" i="2"/>
  <c r="C790" i="2"/>
  <c r="H103" i="2"/>
  <c r="P103" i="2"/>
  <c r="D103" i="2"/>
  <c r="M103" i="2"/>
  <c r="L103" i="2"/>
  <c r="K103" i="2" s="1"/>
  <c r="J103" i="2"/>
  <c r="I103" i="2"/>
  <c r="G103" i="2"/>
  <c r="F103" i="2"/>
  <c r="E103" i="2"/>
  <c r="C103" i="2"/>
  <c r="A103" i="2"/>
  <c r="Q103" i="2"/>
  <c r="O103" i="2"/>
  <c r="N103" i="2"/>
  <c r="H4" i="2"/>
  <c r="G4" i="2"/>
  <c r="F4" i="2"/>
  <c r="Q4" i="2"/>
  <c r="E4" i="2"/>
  <c r="P4" i="2"/>
  <c r="D4" i="2"/>
  <c r="O4" i="2"/>
  <c r="C4" i="2"/>
  <c r="N4" i="2"/>
  <c r="A4" i="2"/>
  <c r="M4" i="2"/>
  <c r="L4" i="2"/>
  <c r="M174" i="2"/>
  <c r="A174" i="2"/>
  <c r="L174" i="2"/>
  <c r="K174" i="2" s="1"/>
  <c r="J174" i="2"/>
  <c r="I174" i="2"/>
  <c r="G174" i="2"/>
  <c r="F174" i="2"/>
  <c r="Q174" i="2"/>
  <c r="E174" i="2"/>
  <c r="P174" i="2"/>
  <c r="O174" i="2"/>
  <c r="N174" i="2"/>
  <c r="H174" i="2"/>
  <c r="D174" i="2"/>
  <c r="C174" i="2"/>
  <c r="M138" i="2"/>
  <c r="A138" i="2"/>
  <c r="I138" i="2"/>
  <c r="H138" i="2"/>
  <c r="G138" i="2"/>
  <c r="F138" i="2"/>
  <c r="E138" i="2"/>
  <c r="D138" i="2"/>
  <c r="Q138" i="2"/>
  <c r="C138" i="2"/>
  <c r="P138" i="2"/>
  <c r="O138" i="2"/>
  <c r="N138" i="2"/>
  <c r="L138" i="2"/>
  <c r="K138" i="2" s="1"/>
  <c r="J138" i="2"/>
  <c r="J105" i="2"/>
  <c r="F105" i="2"/>
  <c r="H105" i="2"/>
  <c r="G105" i="2"/>
  <c r="E105" i="2"/>
  <c r="D105" i="2"/>
  <c r="Q105" i="2"/>
  <c r="C105" i="2"/>
  <c r="P105" i="2"/>
  <c r="O105" i="2"/>
  <c r="A105" i="2"/>
  <c r="N105" i="2"/>
  <c r="M105" i="2"/>
  <c r="L105" i="2"/>
  <c r="K105" i="2" s="1"/>
  <c r="I105" i="2"/>
  <c r="G72" i="2"/>
  <c r="O72" i="2"/>
  <c r="C72" i="2"/>
  <c r="H72" i="2"/>
  <c r="F72" i="2"/>
  <c r="E72" i="2"/>
  <c r="D72" i="2"/>
  <c r="Q72" i="2"/>
  <c r="P72" i="2"/>
  <c r="A72" i="2"/>
  <c r="N72" i="2"/>
  <c r="M72" i="2"/>
  <c r="L72" i="2"/>
  <c r="K72" i="2" s="1"/>
  <c r="J72" i="2"/>
  <c r="I72" i="2"/>
  <c r="Q293" i="2"/>
  <c r="E293" i="2"/>
  <c r="J293" i="2"/>
  <c r="F293" i="2"/>
  <c r="G293" i="2"/>
  <c r="C293" i="2"/>
  <c r="A293" i="2"/>
  <c r="O293" i="2"/>
  <c r="N293" i="2"/>
  <c r="M293" i="2"/>
  <c r="L293" i="2"/>
  <c r="K293" i="2" s="1"/>
  <c r="P293" i="2"/>
  <c r="I293" i="2"/>
  <c r="H293" i="2"/>
  <c r="D293" i="2"/>
  <c r="P199" i="2"/>
  <c r="D199" i="2"/>
  <c r="N199" i="2"/>
  <c r="A199" i="2"/>
  <c r="M199" i="2"/>
  <c r="L199" i="2"/>
  <c r="K199" i="2" s="1"/>
  <c r="J199" i="2"/>
  <c r="H199" i="2"/>
  <c r="G199" i="2"/>
  <c r="F199" i="2"/>
  <c r="I199" i="2"/>
  <c r="E199" i="2"/>
  <c r="C199" i="2"/>
  <c r="Q199" i="2"/>
  <c r="O199" i="2"/>
  <c r="I134" i="2"/>
  <c r="Q134" i="2"/>
  <c r="E134" i="2"/>
  <c r="D134" i="2"/>
  <c r="C134" i="2"/>
  <c r="P134" i="2"/>
  <c r="O134" i="2"/>
  <c r="A134" i="2"/>
  <c r="N134" i="2"/>
  <c r="M134" i="2"/>
  <c r="L134" i="2"/>
  <c r="K134" i="2" s="1"/>
  <c r="J134" i="2"/>
  <c r="H134" i="2"/>
  <c r="G134" i="2"/>
  <c r="F134" i="2"/>
  <c r="J129" i="2"/>
  <c r="F129" i="2"/>
  <c r="Q129" i="2"/>
  <c r="C129" i="2"/>
  <c r="P129" i="2"/>
  <c r="O129" i="2"/>
  <c r="A129" i="2"/>
  <c r="N129" i="2"/>
  <c r="M129" i="2"/>
  <c r="L129" i="2"/>
  <c r="K129" i="2" s="1"/>
  <c r="I129" i="2"/>
  <c r="H129" i="2"/>
  <c r="G129" i="2"/>
  <c r="E129" i="2"/>
  <c r="D129" i="2"/>
  <c r="M102" i="2"/>
  <c r="A102" i="2"/>
  <c r="I102" i="2"/>
  <c r="P102" i="2"/>
  <c r="O102" i="2"/>
  <c r="N102" i="2"/>
  <c r="L102" i="2"/>
  <c r="K102" i="2" s="1"/>
  <c r="J102" i="2"/>
  <c r="H102" i="2"/>
  <c r="G102" i="2"/>
  <c r="F102" i="2"/>
  <c r="Q102" i="2"/>
  <c r="E102" i="2"/>
  <c r="D102" i="2"/>
  <c r="C102" i="2"/>
  <c r="J232" i="2"/>
  <c r="L232" i="2"/>
  <c r="K232" i="2" s="1"/>
  <c r="I232" i="2"/>
  <c r="G232" i="2"/>
  <c r="F232" i="2"/>
  <c r="O232" i="2"/>
  <c r="N232" i="2"/>
  <c r="M232" i="2"/>
  <c r="H232" i="2"/>
  <c r="D232" i="2"/>
  <c r="C232" i="2"/>
  <c r="Q232" i="2"/>
  <c r="P232" i="2"/>
  <c r="E232" i="2"/>
  <c r="A232" i="2"/>
  <c r="P226" i="2"/>
  <c r="D226" i="2"/>
  <c r="I226" i="2"/>
  <c r="H226" i="2"/>
  <c r="L226" i="2"/>
  <c r="K226" i="2" s="1"/>
  <c r="J226" i="2"/>
  <c r="G226" i="2"/>
  <c r="F226" i="2"/>
  <c r="C226" i="2"/>
  <c r="Q226" i="2"/>
  <c r="A226" i="2"/>
  <c r="O226" i="2"/>
  <c r="N226" i="2"/>
  <c r="M226" i="2"/>
  <c r="E226" i="2"/>
  <c r="E227" i="2"/>
  <c r="Q227" i="2"/>
  <c r="D227" i="2"/>
  <c r="J227" i="2"/>
  <c r="I227" i="2"/>
  <c r="H227" i="2"/>
  <c r="G227" i="2"/>
  <c r="F227" i="2"/>
  <c r="P227" i="2"/>
  <c r="A227" i="2"/>
  <c r="O227" i="2"/>
  <c r="N227" i="2"/>
  <c r="M227" i="2"/>
  <c r="L227" i="2"/>
  <c r="K227" i="2" s="1"/>
  <c r="C227" i="2"/>
  <c r="F149" i="2"/>
  <c r="O149" i="2"/>
  <c r="C149" i="2"/>
  <c r="N149" i="2"/>
  <c r="L149" i="2"/>
  <c r="K149" i="2" s="1"/>
  <c r="P149" i="2"/>
  <c r="M149" i="2"/>
  <c r="J149" i="2"/>
  <c r="I149" i="2"/>
  <c r="H149" i="2"/>
  <c r="G149" i="2"/>
  <c r="E149" i="2"/>
  <c r="D149" i="2"/>
  <c r="A149" i="2"/>
  <c r="Q149" i="2"/>
  <c r="E188" i="2"/>
  <c r="Q188" i="2"/>
  <c r="D188" i="2"/>
  <c r="P188" i="2"/>
  <c r="C188" i="2"/>
  <c r="O188" i="2"/>
  <c r="N188" i="2"/>
  <c r="A188" i="2"/>
  <c r="L188" i="2"/>
  <c r="K188" i="2" s="1"/>
  <c r="J188" i="2"/>
  <c r="I188" i="2"/>
  <c r="M188" i="2"/>
  <c r="H188" i="2"/>
  <c r="G188" i="2"/>
  <c r="F188" i="2"/>
  <c r="L222" i="2"/>
  <c r="K222" i="2" s="1"/>
  <c r="J222" i="2"/>
  <c r="D222" i="2"/>
  <c r="Q222" i="2"/>
  <c r="C222" i="2"/>
  <c r="P222" i="2"/>
  <c r="O222" i="2"/>
  <c r="A222" i="2"/>
  <c r="N222" i="2"/>
  <c r="I222" i="2"/>
  <c r="H222" i="2"/>
  <c r="M222" i="2"/>
  <c r="G222" i="2"/>
  <c r="F222" i="2"/>
  <c r="E222" i="2"/>
  <c r="M449" i="2"/>
  <c r="A449" i="2"/>
  <c r="I449" i="2"/>
  <c r="G449" i="2"/>
  <c r="F449" i="2"/>
  <c r="D449" i="2"/>
  <c r="Q449" i="2"/>
  <c r="C449" i="2"/>
  <c r="N449" i="2"/>
  <c r="L449" i="2"/>
  <c r="K449" i="2" s="1"/>
  <c r="J449" i="2"/>
  <c r="H449" i="2"/>
  <c r="E449" i="2"/>
  <c r="P449" i="2"/>
  <c r="O449" i="2"/>
  <c r="L219" i="2"/>
  <c r="K219" i="2" s="1"/>
  <c r="O219" i="2"/>
  <c r="N219" i="2"/>
  <c r="A219" i="2"/>
  <c r="M219" i="2"/>
  <c r="J219" i="2"/>
  <c r="H219" i="2"/>
  <c r="G219" i="2"/>
  <c r="F219" i="2"/>
  <c r="Q219" i="2"/>
  <c r="P219" i="2"/>
  <c r="I219" i="2"/>
  <c r="E219" i="2"/>
  <c r="D219" i="2"/>
  <c r="C219" i="2"/>
  <c r="F288" i="2"/>
  <c r="P288" i="2"/>
  <c r="C288" i="2"/>
  <c r="L288" i="2"/>
  <c r="K288" i="2" s="1"/>
  <c r="M288" i="2"/>
  <c r="J288" i="2"/>
  <c r="I288" i="2"/>
  <c r="G288" i="2"/>
  <c r="E288" i="2"/>
  <c r="D288" i="2"/>
  <c r="Q288" i="2"/>
  <c r="O288" i="2"/>
  <c r="H288" i="2"/>
  <c r="A288" i="2"/>
  <c r="N288" i="2"/>
  <c r="M277" i="2"/>
  <c r="A277" i="2"/>
  <c r="G277" i="2"/>
  <c r="P277" i="2"/>
  <c r="C277" i="2"/>
  <c r="I277" i="2"/>
  <c r="J277" i="2"/>
  <c r="H277" i="2"/>
  <c r="E277" i="2"/>
  <c r="D277" i="2"/>
  <c r="Q277" i="2"/>
  <c r="O277" i="2"/>
  <c r="N277" i="2"/>
  <c r="F277" i="2"/>
  <c r="L277" i="2"/>
  <c r="K277" i="2" s="1"/>
  <c r="G399" i="2"/>
  <c r="P399" i="2"/>
  <c r="C399" i="2"/>
  <c r="O399" i="2"/>
  <c r="N399" i="2"/>
  <c r="L399" i="2"/>
  <c r="K399" i="2" s="1"/>
  <c r="J399" i="2"/>
  <c r="H399" i="2"/>
  <c r="F399" i="2"/>
  <c r="M399" i="2"/>
  <c r="I399" i="2"/>
  <c r="A399" i="2"/>
  <c r="Q399" i="2"/>
  <c r="E399" i="2"/>
  <c r="D399" i="2"/>
  <c r="I357" i="2"/>
  <c r="Q357" i="2"/>
  <c r="E357" i="2"/>
  <c r="N357" i="2"/>
  <c r="M357" i="2"/>
  <c r="J357" i="2"/>
  <c r="G357" i="2"/>
  <c r="F357" i="2"/>
  <c r="H357" i="2"/>
  <c r="P357" i="2"/>
  <c r="O357" i="2"/>
  <c r="L357" i="2"/>
  <c r="K357" i="2" s="1"/>
  <c r="C357" i="2"/>
  <c r="A357" i="2"/>
  <c r="D357" i="2"/>
  <c r="Q553" i="2"/>
  <c r="E553" i="2"/>
  <c r="M553" i="2"/>
  <c r="A553" i="2"/>
  <c r="L553" i="2"/>
  <c r="K553" i="2" s="1"/>
  <c r="J553" i="2"/>
  <c r="I553" i="2"/>
  <c r="H553" i="2"/>
  <c r="F553" i="2"/>
  <c r="D553" i="2"/>
  <c r="C553" i="2"/>
  <c r="O553" i="2"/>
  <c r="N553" i="2"/>
  <c r="P553" i="2"/>
  <c r="G553" i="2"/>
  <c r="M401" i="2"/>
  <c r="A401" i="2"/>
  <c r="L401" i="2"/>
  <c r="K401" i="2" s="1"/>
  <c r="I401" i="2"/>
  <c r="H401" i="2"/>
  <c r="E401" i="2"/>
  <c r="P401" i="2"/>
  <c r="O401" i="2"/>
  <c r="J401" i="2"/>
  <c r="F401" i="2"/>
  <c r="D401" i="2"/>
  <c r="Q401" i="2"/>
  <c r="N401" i="2"/>
  <c r="G401" i="2"/>
  <c r="C401" i="2"/>
  <c r="P374" i="2"/>
  <c r="D374" i="2"/>
  <c r="M374" i="2"/>
  <c r="I374" i="2"/>
  <c r="Q374" i="2"/>
  <c r="A374" i="2"/>
  <c r="O374" i="2"/>
  <c r="L374" i="2"/>
  <c r="K374" i="2" s="1"/>
  <c r="H374" i="2"/>
  <c r="G374" i="2"/>
  <c r="N374" i="2"/>
  <c r="J374" i="2"/>
  <c r="F374" i="2"/>
  <c r="E374" i="2"/>
  <c r="C374" i="2"/>
  <c r="J519" i="2"/>
  <c r="H519" i="2"/>
  <c r="G519" i="2"/>
  <c r="Q519" i="2"/>
  <c r="E519" i="2"/>
  <c r="P519" i="2"/>
  <c r="D519" i="2"/>
  <c r="O519" i="2"/>
  <c r="C519" i="2"/>
  <c r="N519" i="2"/>
  <c r="L519" i="2"/>
  <c r="K519" i="2" s="1"/>
  <c r="I519" i="2"/>
  <c r="F519" i="2"/>
  <c r="A519" i="2"/>
  <c r="M519" i="2"/>
  <c r="L675" i="2"/>
  <c r="K675" i="2" s="1"/>
  <c r="J675" i="2"/>
  <c r="H675" i="2"/>
  <c r="G675" i="2"/>
  <c r="D675" i="2"/>
  <c r="C675" i="2"/>
  <c r="Q675" i="2"/>
  <c r="A675" i="2"/>
  <c r="P675" i="2"/>
  <c r="N675" i="2"/>
  <c r="M675" i="2"/>
  <c r="F675" i="2"/>
  <c r="E675" i="2"/>
  <c r="O675" i="2"/>
  <c r="I675" i="2"/>
  <c r="I545" i="2"/>
  <c r="Q545" i="2"/>
  <c r="E545" i="2"/>
  <c r="D545" i="2"/>
  <c r="C545" i="2"/>
  <c r="O545" i="2"/>
  <c r="A545" i="2"/>
  <c r="N545" i="2"/>
  <c r="L545" i="2"/>
  <c r="K545" i="2" s="1"/>
  <c r="J545" i="2"/>
  <c r="F545" i="2"/>
  <c r="P545" i="2"/>
  <c r="M545" i="2"/>
  <c r="G545" i="2"/>
  <c r="H545" i="2"/>
  <c r="N236" i="2"/>
  <c r="I236" i="2"/>
  <c r="G236" i="2"/>
  <c r="C236" i="2"/>
  <c r="Q236" i="2"/>
  <c r="A236" i="2"/>
  <c r="D236" i="2"/>
  <c r="P236" i="2"/>
  <c r="O236" i="2"/>
  <c r="L236" i="2"/>
  <c r="K236" i="2" s="1"/>
  <c r="J236" i="2"/>
  <c r="M236" i="2"/>
  <c r="H236" i="2"/>
  <c r="F236" i="2"/>
  <c r="E236" i="2"/>
  <c r="Q429" i="2"/>
  <c r="E429" i="2"/>
  <c r="H429" i="2"/>
  <c r="D429" i="2"/>
  <c r="P429" i="2"/>
  <c r="C429" i="2"/>
  <c r="N429" i="2"/>
  <c r="A429" i="2"/>
  <c r="M429" i="2"/>
  <c r="J429" i="2"/>
  <c r="I429" i="2"/>
  <c r="F429" i="2"/>
  <c r="O429" i="2"/>
  <c r="G429" i="2"/>
  <c r="L429" i="2"/>
  <c r="K429" i="2" s="1"/>
  <c r="L478" i="2"/>
  <c r="K478" i="2" s="1"/>
  <c r="H478" i="2"/>
  <c r="G478" i="2"/>
  <c r="E478" i="2"/>
  <c r="D478" i="2"/>
  <c r="Q478" i="2"/>
  <c r="C478" i="2"/>
  <c r="O478" i="2"/>
  <c r="A478" i="2"/>
  <c r="N478" i="2"/>
  <c r="I478" i="2"/>
  <c r="F478" i="2"/>
  <c r="P478" i="2"/>
  <c r="J478" i="2"/>
  <c r="M478" i="2"/>
  <c r="G295" i="2"/>
  <c r="O295" i="2"/>
  <c r="D295" i="2"/>
  <c r="Q295" i="2"/>
  <c r="A295" i="2"/>
  <c r="F295" i="2"/>
  <c r="E295" i="2"/>
  <c r="P295" i="2"/>
  <c r="N295" i="2"/>
  <c r="M295" i="2"/>
  <c r="L295" i="2"/>
  <c r="K295" i="2" s="1"/>
  <c r="J295" i="2"/>
  <c r="I295" i="2"/>
  <c r="C295" i="2"/>
  <c r="H295" i="2"/>
  <c r="J532" i="2"/>
  <c r="L532" i="2"/>
  <c r="K532" i="2" s="1"/>
  <c r="H532" i="2"/>
  <c r="G532" i="2"/>
  <c r="E532" i="2"/>
  <c r="Q532" i="2"/>
  <c r="D532" i="2"/>
  <c r="P532" i="2"/>
  <c r="C532" i="2"/>
  <c r="A532" i="2"/>
  <c r="O532" i="2"/>
  <c r="N532" i="2"/>
  <c r="F532" i="2"/>
  <c r="M532" i="2"/>
  <c r="I532" i="2"/>
  <c r="P422" i="2"/>
  <c r="D422" i="2"/>
  <c r="I422" i="2"/>
  <c r="F422" i="2"/>
  <c r="E422" i="2"/>
  <c r="O422" i="2"/>
  <c r="N422" i="2"/>
  <c r="A422" i="2"/>
  <c r="Q422" i="2"/>
  <c r="M422" i="2"/>
  <c r="J422" i="2"/>
  <c r="G422" i="2"/>
  <c r="C422" i="2"/>
  <c r="L422" i="2"/>
  <c r="K422" i="2" s="1"/>
  <c r="H422" i="2"/>
  <c r="F336" i="2"/>
  <c r="N336" i="2"/>
  <c r="J336" i="2"/>
  <c r="G336" i="2"/>
  <c r="D336" i="2"/>
  <c r="M336" i="2"/>
  <c r="P336" i="2"/>
  <c r="O336" i="2"/>
  <c r="L336" i="2"/>
  <c r="K336" i="2" s="1"/>
  <c r="H336" i="2"/>
  <c r="C336" i="2"/>
  <c r="Q336" i="2"/>
  <c r="E336" i="2"/>
  <c r="A336" i="2"/>
  <c r="I336" i="2"/>
  <c r="M521" i="2"/>
  <c r="A521" i="2"/>
  <c r="L521" i="2"/>
  <c r="K521" i="2" s="1"/>
  <c r="J521" i="2"/>
  <c r="I521" i="2"/>
  <c r="G521" i="2"/>
  <c r="F521" i="2"/>
  <c r="Q521" i="2"/>
  <c r="E521" i="2"/>
  <c r="D521" i="2"/>
  <c r="C521" i="2"/>
  <c r="N521" i="2"/>
  <c r="H521" i="2"/>
  <c r="O521" i="2"/>
  <c r="P521" i="2"/>
  <c r="J552" i="2"/>
  <c r="F552" i="2"/>
  <c r="O552" i="2"/>
  <c r="A552" i="2"/>
  <c r="N552" i="2"/>
  <c r="M552" i="2"/>
  <c r="L552" i="2"/>
  <c r="K552" i="2" s="1"/>
  <c r="H552" i="2"/>
  <c r="G552" i="2"/>
  <c r="E552" i="2"/>
  <c r="I552" i="2"/>
  <c r="C552" i="2"/>
  <c r="P552" i="2"/>
  <c r="D552" i="2"/>
  <c r="Q552" i="2"/>
  <c r="N332" i="2"/>
  <c r="J332" i="2"/>
  <c r="G332" i="2"/>
  <c r="F332" i="2"/>
  <c r="Q332" i="2"/>
  <c r="C332" i="2"/>
  <c r="O332" i="2"/>
  <c r="P332" i="2"/>
  <c r="L332" i="2"/>
  <c r="K332" i="2" s="1"/>
  <c r="I332" i="2"/>
  <c r="E332" i="2"/>
  <c r="A332" i="2"/>
  <c r="M332" i="2"/>
  <c r="H332" i="2"/>
  <c r="D332" i="2"/>
  <c r="G491" i="2"/>
  <c r="O491" i="2"/>
  <c r="C491" i="2"/>
  <c r="Q491" i="2"/>
  <c r="N491" i="2"/>
  <c r="M491" i="2"/>
  <c r="L491" i="2"/>
  <c r="K491" i="2" s="1"/>
  <c r="J491" i="2"/>
  <c r="I491" i="2"/>
  <c r="P491" i="2"/>
  <c r="H491" i="2"/>
  <c r="F491" i="2"/>
  <c r="D491" i="2"/>
  <c r="A491" i="2"/>
  <c r="E491" i="2"/>
  <c r="I628" i="2"/>
  <c r="F628" i="2"/>
  <c r="N628" i="2"/>
  <c r="M628" i="2"/>
  <c r="J628" i="2"/>
  <c r="H628" i="2"/>
  <c r="E628" i="2"/>
  <c r="D628" i="2"/>
  <c r="C628" i="2"/>
  <c r="Q628" i="2"/>
  <c r="P628" i="2"/>
  <c r="L628" i="2"/>
  <c r="K628" i="2" s="1"/>
  <c r="G628" i="2"/>
  <c r="O628" i="2"/>
  <c r="A628" i="2"/>
  <c r="M549" i="2"/>
  <c r="A549" i="2"/>
  <c r="I549" i="2"/>
  <c r="H549" i="2"/>
  <c r="G549" i="2"/>
  <c r="F549" i="2"/>
  <c r="E549" i="2"/>
  <c r="D549" i="2"/>
  <c r="P549" i="2"/>
  <c r="O549" i="2"/>
  <c r="N549" i="2"/>
  <c r="Q549" i="2"/>
  <c r="J549" i="2"/>
  <c r="C549" i="2"/>
  <c r="L549" i="2"/>
  <c r="K549" i="2" s="1"/>
  <c r="H530" i="2"/>
  <c r="F530" i="2"/>
  <c r="E530" i="2"/>
  <c r="P530" i="2"/>
  <c r="C530" i="2"/>
  <c r="O530" i="2"/>
  <c r="M530" i="2"/>
  <c r="L530" i="2"/>
  <c r="K530" i="2" s="1"/>
  <c r="D530" i="2"/>
  <c r="Q530" i="2"/>
  <c r="N530" i="2"/>
  <c r="J530" i="2"/>
  <c r="G530" i="2"/>
  <c r="A530" i="2"/>
  <c r="I530" i="2"/>
  <c r="G567" i="2"/>
  <c r="O567" i="2"/>
  <c r="C567" i="2"/>
  <c r="E567" i="2"/>
  <c r="D567" i="2"/>
  <c r="Q567" i="2"/>
  <c r="P567" i="2"/>
  <c r="A567" i="2"/>
  <c r="N567" i="2"/>
  <c r="L567" i="2"/>
  <c r="K567" i="2" s="1"/>
  <c r="J567" i="2"/>
  <c r="M567" i="2"/>
  <c r="H567" i="2"/>
  <c r="F567" i="2"/>
  <c r="I567" i="2"/>
  <c r="I616" i="2"/>
  <c r="E616" i="2"/>
  <c r="N616" i="2"/>
  <c r="A616" i="2"/>
  <c r="M616" i="2"/>
  <c r="L616" i="2"/>
  <c r="K616" i="2" s="1"/>
  <c r="J616" i="2"/>
  <c r="H616" i="2"/>
  <c r="F616" i="2"/>
  <c r="D616" i="2"/>
  <c r="C616" i="2"/>
  <c r="G616" i="2"/>
  <c r="Q616" i="2"/>
  <c r="O616" i="2"/>
  <c r="P616" i="2"/>
  <c r="N504" i="2"/>
  <c r="M504" i="2"/>
  <c r="A504" i="2"/>
  <c r="J504" i="2"/>
  <c r="H504" i="2"/>
  <c r="G504" i="2"/>
  <c r="F504" i="2"/>
  <c r="L504" i="2"/>
  <c r="K504" i="2" s="1"/>
  <c r="E504" i="2"/>
  <c r="D504" i="2"/>
  <c r="C504" i="2"/>
  <c r="O504" i="2"/>
  <c r="I504" i="2"/>
  <c r="Q504" i="2"/>
  <c r="P504" i="2"/>
  <c r="P643" i="2"/>
  <c r="D643" i="2"/>
  <c r="E643" i="2"/>
  <c r="O643" i="2"/>
  <c r="A643" i="2"/>
  <c r="N643" i="2"/>
  <c r="L643" i="2"/>
  <c r="K643" i="2" s="1"/>
  <c r="I643" i="2"/>
  <c r="G643" i="2"/>
  <c r="M643" i="2"/>
  <c r="J643" i="2"/>
  <c r="F643" i="2"/>
  <c r="C643" i="2"/>
  <c r="Q643" i="2"/>
  <c r="H643" i="2"/>
  <c r="G716" i="2"/>
  <c r="I716" i="2"/>
  <c r="H716" i="2"/>
  <c r="P716" i="2"/>
  <c r="A716" i="2"/>
  <c r="O716" i="2"/>
  <c r="M716" i="2"/>
  <c r="J716" i="2"/>
  <c r="F716" i="2"/>
  <c r="E716" i="2"/>
  <c r="Q716" i="2"/>
  <c r="D716" i="2"/>
  <c r="C716" i="2"/>
  <c r="N716" i="2"/>
  <c r="L716" i="2"/>
  <c r="K716" i="2" s="1"/>
  <c r="O580" i="2"/>
  <c r="C580" i="2"/>
  <c r="G580" i="2"/>
  <c r="F580" i="2"/>
  <c r="Q580" i="2"/>
  <c r="D580" i="2"/>
  <c r="P580" i="2"/>
  <c r="E580" i="2"/>
  <c r="A580" i="2"/>
  <c r="M580" i="2"/>
  <c r="L580" i="2"/>
  <c r="K580" i="2" s="1"/>
  <c r="N580" i="2"/>
  <c r="I580" i="2"/>
  <c r="H580" i="2"/>
  <c r="J580" i="2"/>
  <c r="M658" i="2"/>
  <c r="A658" i="2"/>
  <c r="D658" i="2"/>
  <c r="Q658" i="2"/>
  <c r="C658" i="2"/>
  <c r="O658" i="2"/>
  <c r="N658" i="2"/>
  <c r="J658" i="2"/>
  <c r="I658" i="2"/>
  <c r="H658" i="2"/>
  <c r="E658" i="2"/>
  <c r="P658" i="2"/>
  <c r="G658" i="2"/>
  <c r="F658" i="2"/>
  <c r="L658" i="2"/>
  <c r="K658" i="2" s="1"/>
  <c r="P655" i="2"/>
  <c r="D655" i="2"/>
  <c r="J655" i="2"/>
  <c r="L655" i="2"/>
  <c r="K655" i="2" s="1"/>
  <c r="H655" i="2"/>
  <c r="G655" i="2"/>
  <c r="E655" i="2"/>
  <c r="C655" i="2"/>
  <c r="Q655" i="2"/>
  <c r="O655" i="2"/>
  <c r="M655" i="2"/>
  <c r="I655" i="2"/>
  <c r="A655" i="2"/>
  <c r="N655" i="2"/>
  <c r="F655" i="2"/>
  <c r="I678" i="2"/>
  <c r="H678" i="2"/>
  <c r="F678" i="2"/>
  <c r="C678" i="2"/>
  <c r="P678" i="2"/>
  <c r="A678" i="2"/>
  <c r="O678" i="2"/>
  <c r="L678" i="2"/>
  <c r="K678" i="2" s="1"/>
  <c r="G678" i="2"/>
  <c r="E678" i="2"/>
  <c r="D678" i="2"/>
  <c r="Q678" i="2"/>
  <c r="N678" i="2"/>
  <c r="M678" i="2"/>
  <c r="J678" i="2"/>
  <c r="O636" i="2"/>
  <c r="C636" i="2"/>
  <c r="F636" i="2"/>
  <c r="G636" i="2"/>
  <c r="Q636" i="2"/>
  <c r="P636" i="2"/>
  <c r="A636" i="2"/>
  <c r="D636" i="2"/>
  <c r="M636" i="2"/>
  <c r="L636" i="2"/>
  <c r="K636" i="2" s="1"/>
  <c r="J636" i="2"/>
  <c r="N636" i="2"/>
  <c r="I636" i="2"/>
  <c r="E636" i="2"/>
  <c r="H636" i="2"/>
  <c r="G664" i="2"/>
  <c r="N664" i="2"/>
  <c r="A664" i="2"/>
  <c r="P664" i="2"/>
  <c r="O664" i="2"/>
  <c r="L664" i="2"/>
  <c r="K664" i="2" s="1"/>
  <c r="I664" i="2"/>
  <c r="H664" i="2"/>
  <c r="F664" i="2"/>
  <c r="D664" i="2"/>
  <c r="C664" i="2"/>
  <c r="Q664" i="2"/>
  <c r="M664" i="2"/>
  <c r="E664" i="2"/>
  <c r="J664" i="2"/>
  <c r="P719" i="2"/>
  <c r="D719" i="2"/>
  <c r="J719" i="2"/>
  <c r="I719" i="2"/>
  <c r="H719" i="2"/>
  <c r="Q719" i="2"/>
  <c r="N719" i="2"/>
  <c r="G719" i="2"/>
  <c r="F719" i="2"/>
  <c r="E719" i="2"/>
  <c r="L719" i="2"/>
  <c r="K719" i="2" s="1"/>
  <c r="A719" i="2"/>
  <c r="O719" i="2"/>
  <c r="M719" i="2"/>
  <c r="C719" i="2"/>
  <c r="M710" i="2"/>
  <c r="A710" i="2"/>
  <c r="F710" i="2"/>
  <c r="E710" i="2"/>
  <c r="I710" i="2"/>
  <c r="H710" i="2"/>
  <c r="D710" i="2"/>
  <c r="P710" i="2"/>
  <c r="O710" i="2"/>
  <c r="N710" i="2"/>
  <c r="Q710" i="2"/>
  <c r="L710" i="2"/>
  <c r="K710" i="2" s="1"/>
  <c r="J710" i="2"/>
  <c r="C710" i="2"/>
  <c r="G710" i="2"/>
  <c r="Q686" i="2"/>
  <c r="E686" i="2"/>
  <c r="P686" i="2"/>
  <c r="D686" i="2"/>
  <c r="N686" i="2"/>
  <c r="I686" i="2"/>
  <c r="H686" i="2"/>
  <c r="C686" i="2"/>
  <c r="A686" i="2"/>
  <c r="O686" i="2"/>
  <c r="M686" i="2"/>
  <c r="L686" i="2"/>
  <c r="K686" i="2" s="1"/>
  <c r="G686" i="2"/>
  <c r="F686" i="2"/>
  <c r="J686" i="2"/>
  <c r="N641" i="2"/>
  <c r="L641" i="2"/>
  <c r="K641" i="2" s="1"/>
  <c r="G641" i="2"/>
  <c r="D641" i="2"/>
  <c r="Q641" i="2"/>
  <c r="C641" i="2"/>
  <c r="E641" i="2"/>
  <c r="A641" i="2"/>
  <c r="O641" i="2"/>
  <c r="M641" i="2"/>
  <c r="J641" i="2"/>
  <c r="P641" i="2"/>
  <c r="I641" i="2"/>
  <c r="H641" i="2"/>
  <c r="F641" i="2"/>
  <c r="F743" i="2"/>
  <c r="Q743" i="2"/>
  <c r="E743" i="2"/>
  <c r="P743" i="2"/>
  <c r="D743" i="2"/>
  <c r="L743" i="2"/>
  <c r="K743" i="2" s="1"/>
  <c r="J743" i="2"/>
  <c r="I743" i="2"/>
  <c r="C743" i="2"/>
  <c r="O743" i="2"/>
  <c r="H743" i="2"/>
  <c r="G743" i="2"/>
  <c r="A743" i="2"/>
  <c r="M743" i="2"/>
  <c r="N743" i="2"/>
  <c r="O829" i="2"/>
  <c r="C829" i="2"/>
  <c r="E829" i="2"/>
  <c r="Q829" i="2"/>
  <c r="D829" i="2"/>
  <c r="N829" i="2"/>
  <c r="A829" i="2"/>
  <c r="J829" i="2"/>
  <c r="F829" i="2"/>
  <c r="P829" i="2"/>
  <c r="I829" i="2"/>
  <c r="H829" i="2"/>
  <c r="M829" i="2"/>
  <c r="L829" i="2"/>
  <c r="K829" i="2" s="1"/>
  <c r="G829" i="2"/>
  <c r="P731" i="2"/>
  <c r="D731" i="2"/>
  <c r="Q731" i="2"/>
  <c r="C731" i="2"/>
  <c r="O731" i="2"/>
  <c r="N731" i="2"/>
  <c r="A731" i="2"/>
  <c r="M731" i="2"/>
  <c r="J731" i="2"/>
  <c r="I731" i="2"/>
  <c r="L731" i="2"/>
  <c r="K731" i="2" s="1"/>
  <c r="H731" i="2"/>
  <c r="G731" i="2"/>
  <c r="F731" i="2"/>
  <c r="E731" i="2"/>
  <c r="J807" i="2"/>
  <c r="I807" i="2"/>
  <c r="G807" i="2"/>
  <c r="O807" i="2"/>
  <c r="N807" i="2"/>
  <c r="Q807" i="2"/>
  <c r="P807" i="2"/>
  <c r="M807" i="2"/>
  <c r="F807" i="2"/>
  <c r="E807" i="2"/>
  <c r="A807" i="2"/>
  <c r="L807" i="2"/>
  <c r="K807" i="2" s="1"/>
  <c r="H807" i="2"/>
  <c r="D807" i="2"/>
  <c r="C807" i="2"/>
  <c r="P813" i="2"/>
  <c r="D813" i="2"/>
  <c r="O813" i="2"/>
  <c r="C813" i="2"/>
  <c r="M813" i="2"/>
  <c r="A813" i="2"/>
  <c r="I813" i="2"/>
  <c r="H813" i="2"/>
  <c r="E813" i="2"/>
  <c r="J813" i="2"/>
  <c r="G813" i="2"/>
  <c r="F813" i="2"/>
  <c r="L813" i="2"/>
  <c r="K813" i="2" s="1"/>
  <c r="Q813" i="2"/>
  <c r="N813" i="2"/>
  <c r="O746" i="2"/>
  <c r="C746" i="2"/>
  <c r="N746" i="2"/>
  <c r="M746" i="2"/>
  <c r="A746" i="2"/>
  <c r="I746" i="2"/>
  <c r="H746" i="2"/>
  <c r="G746" i="2"/>
  <c r="F746" i="2"/>
  <c r="Q746" i="2"/>
  <c r="E746" i="2"/>
  <c r="D746" i="2"/>
  <c r="P746" i="2"/>
  <c r="J746" i="2"/>
  <c r="L746" i="2"/>
  <c r="K746" i="2" s="1"/>
  <c r="I855" i="2"/>
  <c r="H855" i="2"/>
  <c r="G855" i="2"/>
  <c r="F855" i="2"/>
  <c r="Q855" i="2"/>
  <c r="E855" i="2"/>
  <c r="P855" i="2"/>
  <c r="D855" i="2"/>
  <c r="M855" i="2"/>
  <c r="A855" i="2"/>
  <c r="J855" i="2"/>
  <c r="O855" i="2"/>
  <c r="N855" i="2"/>
  <c r="L855" i="2"/>
  <c r="K855" i="2" s="1"/>
  <c r="C855" i="2"/>
  <c r="J819" i="2"/>
  <c r="I819" i="2"/>
  <c r="G819" i="2"/>
  <c r="C819" i="2"/>
  <c r="Q819" i="2"/>
  <c r="P819" i="2"/>
  <c r="L819" i="2"/>
  <c r="K819" i="2" s="1"/>
  <c r="O819" i="2"/>
  <c r="H819" i="2"/>
  <c r="N819" i="2"/>
  <c r="M819" i="2"/>
  <c r="D819" i="2"/>
  <c r="A819" i="2"/>
  <c r="F819" i="2"/>
  <c r="E819" i="2"/>
  <c r="M847" i="2"/>
  <c r="A847" i="2"/>
  <c r="L847" i="2"/>
  <c r="K847" i="2" s="1"/>
  <c r="J847" i="2"/>
  <c r="I847" i="2"/>
  <c r="H847" i="2"/>
  <c r="Q847" i="2"/>
  <c r="E847" i="2"/>
  <c r="F847" i="2"/>
  <c r="D847" i="2"/>
  <c r="P847" i="2"/>
  <c r="O847" i="2"/>
  <c r="G847" i="2"/>
  <c r="C847" i="2"/>
  <c r="N847" i="2"/>
  <c r="M830" i="2"/>
  <c r="A830" i="2"/>
  <c r="J830" i="2"/>
  <c r="P830" i="2"/>
  <c r="O830" i="2"/>
  <c r="L830" i="2"/>
  <c r="K830" i="2" s="1"/>
  <c r="D830" i="2"/>
  <c r="C830" i="2"/>
  <c r="Q830" i="2"/>
  <c r="H830" i="2"/>
  <c r="G830" i="2"/>
  <c r="F830" i="2"/>
  <c r="E830" i="2"/>
  <c r="N830" i="2"/>
  <c r="I830" i="2"/>
  <c r="F858" i="2"/>
  <c r="Q858" i="2"/>
  <c r="E858" i="2"/>
  <c r="P858" i="2"/>
  <c r="D858" i="2"/>
  <c r="O858" i="2"/>
  <c r="C858" i="2"/>
  <c r="N858" i="2"/>
  <c r="M858" i="2"/>
  <c r="A858" i="2"/>
  <c r="J858" i="2"/>
  <c r="G858" i="2"/>
  <c r="I858" i="2"/>
  <c r="H858" i="2"/>
  <c r="L858" i="2"/>
  <c r="K858" i="2" s="1"/>
  <c r="N854" i="2"/>
  <c r="M854" i="2"/>
  <c r="A854" i="2"/>
  <c r="L854" i="2"/>
  <c r="K854" i="2" s="1"/>
  <c r="J854" i="2"/>
  <c r="I854" i="2"/>
  <c r="F854" i="2"/>
  <c r="O854" i="2"/>
  <c r="C854" i="2"/>
  <c r="E854" i="2"/>
  <c r="D854" i="2"/>
  <c r="P854" i="2"/>
  <c r="H854" i="2"/>
  <c r="G854" i="2"/>
  <c r="Q854" i="2"/>
  <c r="O216" i="2"/>
  <c r="C216" i="2"/>
  <c r="M216" i="2"/>
  <c r="L216" i="2"/>
  <c r="K216" i="2" s="1"/>
  <c r="J216" i="2"/>
  <c r="I216" i="2"/>
  <c r="G216" i="2"/>
  <c r="F216" i="2"/>
  <c r="E216" i="2"/>
  <c r="Q216" i="2"/>
  <c r="P216" i="2"/>
  <c r="N216" i="2"/>
  <c r="H216" i="2"/>
  <c r="D216" i="2"/>
  <c r="A216" i="2"/>
  <c r="J47" i="2"/>
  <c r="I47" i="2"/>
  <c r="H47" i="2"/>
  <c r="G47" i="2"/>
  <c r="F47" i="2"/>
  <c r="Q47" i="2"/>
  <c r="E47" i="2"/>
  <c r="P47" i="2"/>
  <c r="D47" i="2"/>
  <c r="O47" i="2"/>
  <c r="C47" i="2"/>
  <c r="N47" i="2"/>
  <c r="M47" i="2"/>
  <c r="L47" i="2"/>
  <c r="K47" i="2" s="1"/>
  <c r="A47" i="2"/>
  <c r="J184" i="2"/>
  <c r="I184" i="2"/>
  <c r="H184" i="2"/>
  <c r="G184" i="2"/>
  <c r="Q184" i="2"/>
  <c r="E184" i="2"/>
  <c r="P184" i="2"/>
  <c r="D184" i="2"/>
  <c r="O184" i="2"/>
  <c r="C184" i="2"/>
  <c r="N184" i="2"/>
  <c r="M184" i="2"/>
  <c r="L184" i="2"/>
  <c r="K184" i="2" s="1"/>
  <c r="F184" i="2"/>
  <c r="A184" i="2"/>
  <c r="Q245" i="2"/>
  <c r="E245" i="2"/>
  <c r="M245" i="2"/>
  <c r="G245" i="2"/>
  <c r="F245" i="2"/>
  <c r="A245" i="2"/>
  <c r="P245" i="2"/>
  <c r="O245" i="2"/>
  <c r="N245" i="2"/>
  <c r="J245" i="2"/>
  <c r="I245" i="2"/>
  <c r="H245" i="2"/>
  <c r="L245" i="2"/>
  <c r="K245" i="2" s="1"/>
  <c r="D245" i="2"/>
  <c r="C245" i="2"/>
  <c r="M769" i="2"/>
  <c r="A769" i="2"/>
  <c r="J769" i="2"/>
  <c r="I769" i="2"/>
  <c r="H769" i="2"/>
  <c r="G769" i="2"/>
  <c r="P769" i="2"/>
  <c r="C769" i="2"/>
  <c r="O769" i="2"/>
  <c r="N769" i="2"/>
  <c r="L769" i="2"/>
  <c r="K769" i="2" s="1"/>
  <c r="D769" i="2"/>
  <c r="F769" i="2"/>
  <c r="E769" i="2"/>
  <c r="Q769" i="2"/>
  <c r="I838" i="2"/>
  <c r="F838" i="2"/>
  <c r="J838" i="2"/>
  <c r="H838" i="2"/>
  <c r="E838" i="2"/>
  <c r="A838" i="2"/>
  <c r="Q838" i="2"/>
  <c r="P838" i="2"/>
  <c r="O838" i="2"/>
  <c r="N838" i="2"/>
  <c r="M838" i="2"/>
  <c r="L838" i="2"/>
  <c r="K838" i="2" s="1"/>
  <c r="G838" i="2"/>
  <c r="D838" i="2"/>
  <c r="C838" i="2"/>
  <c r="I752" i="2"/>
  <c r="H752" i="2"/>
  <c r="G752" i="2"/>
  <c r="C752" i="2"/>
  <c r="Q752" i="2"/>
  <c r="P752" i="2"/>
  <c r="A752" i="2"/>
  <c r="O752" i="2"/>
  <c r="L752" i="2"/>
  <c r="K752" i="2" s="1"/>
  <c r="N752" i="2"/>
  <c r="M752" i="2"/>
  <c r="J752" i="2"/>
  <c r="F752" i="2"/>
  <c r="E752" i="2"/>
  <c r="D752" i="2"/>
  <c r="J857" i="2"/>
  <c r="I857" i="2"/>
  <c r="H857" i="2"/>
  <c r="G857" i="2"/>
  <c r="F857" i="2"/>
  <c r="O857" i="2"/>
  <c r="C857" i="2"/>
  <c r="L857" i="2"/>
  <c r="K857" i="2" s="1"/>
  <c r="Q857" i="2"/>
  <c r="P857" i="2"/>
  <c r="M857" i="2"/>
  <c r="E857" i="2"/>
  <c r="N857" i="2"/>
  <c r="D857" i="2"/>
  <c r="A857" i="2"/>
  <c r="H817" i="2"/>
  <c r="G817" i="2"/>
  <c r="Q817" i="2"/>
  <c r="E817" i="2"/>
  <c r="D817" i="2"/>
  <c r="C817" i="2"/>
  <c r="M817" i="2"/>
  <c r="I817" i="2"/>
  <c r="J817" i="2"/>
  <c r="F817" i="2"/>
  <c r="N817" i="2"/>
  <c r="L817" i="2"/>
  <c r="K817" i="2" s="1"/>
  <c r="A817" i="2"/>
  <c r="P817" i="2"/>
  <c r="O817" i="2"/>
  <c r="O758" i="2"/>
  <c r="C758" i="2"/>
  <c r="N758" i="2"/>
  <c r="M758" i="2"/>
  <c r="A758" i="2"/>
  <c r="L758" i="2"/>
  <c r="K758" i="2" s="1"/>
  <c r="Q758" i="2"/>
  <c r="P758" i="2"/>
  <c r="J758" i="2"/>
  <c r="G758" i="2"/>
  <c r="F758" i="2"/>
  <c r="I758" i="2"/>
  <c r="H758" i="2"/>
  <c r="E758" i="2"/>
  <c r="D758" i="2"/>
  <c r="G836" i="2"/>
  <c r="P836" i="2"/>
  <c r="D836" i="2"/>
  <c r="N836" i="2"/>
  <c r="M836" i="2"/>
  <c r="Q836" i="2"/>
  <c r="O836" i="2"/>
  <c r="F836" i="2"/>
  <c r="C836" i="2"/>
  <c r="A836" i="2"/>
  <c r="L836" i="2"/>
  <c r="K836" i="2" s="1"/>
  <c r="J836" i="2"/>
  <c r="I836" i="2"/>
  <c r="H836" i="2"/>
  <c r="E836" i="2"/>
  <c r="J845" i="2"/>
  <c r="H845" i="2"/>
  <c r="G845" i="2"/>
  <c r="O845" i="2"/>
  <c r="C845" i="2"/>
  <c r="P845" i="2"/>
  <c r="N845" i="2"/>
  <c r="L845" i="2"/>
  <c r="K845" i="2" s="1"/>
  <c r="D845" i="2"/>
  <c r="E845" i="2"/>
  <c r="A845" i="2"/>
  <c r="Q845" i="2"/>
  <c r="F845" i="2"/>
  <c r="M845" i="2"/>
  <c r="I845" i="2"/>
  <c r="J869" i="2"/>
  <c r="I869" i="2"/>
  <c r="H869" i="2"/>
  <c r="G869" i="2"/>
  <c r="F869" i="2"/>
  <c r="O869" i="2"/>
  <c r="C869" i="2"/>
  <c r="M869" i="2"/>
  <c r="A869" i="2"/>
  <c r="L869" i="2"/>
  <c r="K869" i="2" s="1"/>
  <c r="N869" i="2"/>
  <c r="E869" i="2"/>
  <c r="D869" i="2"/>
  <c r="Q869" i="2"/>
  <c r="P869" i="2"/>
  <c r="M859" i="2"/>
  <c r="A859" i="2"/>
  <c r="L859" i="2"/>
  <c r="K859" i="2" s="1"/>
  <c r="J859" i="2"/>
  <c r="I859" i="2"/>
  <c r="H859" i="2"/>
  <c r="Q859" i="2"/>
  <c r="E859" i="2"/>
  <c r="N859" i="2"/>
  <c r="O859" i="2"/>
  <c r="G859" i="2"/>
  <c r="F859" i="2"/>
  <c r="D859" i="2"/>
  <c r="C859" i="2"/>
  <c r="P859" i="2"/>
  <c r="F870" i="2"/>
  <c r="Q870" i="2"/>
  <c r="E870" i="2"/>
  <c r="P870" i="2"/>
  <c r="D870" i="2"/>
  <c r="O870" i="2"/>
  <c r="C870" i="2"/>
  <c r="N870" i="2"/>
  <c r="M870" i="2"/>
  <c r="A870" i="2"/>
  <c r="J870" i="2"/>
  <c r="H870" i="2"/>
  <c r="G870" i="2"/>
  <c r="L870" i="2"/>
  <c r="K870" i="2" s="1"/>
  <c r="I870" i="2"/>
  <c r="N866" i="2"/>
  <c r="M866" i="2"/>
  <c r="A866" i="2"/>
  <c r="L866" i="2"/>
  <c r="K866" i="2" s="1"/>
  <c r="J866" i="2"/>
  <c r="I866" i="2"/>
  <c r="F866" i="2"/>
  <c r="O866" i="2"/>
  <c r="C866" i="2"/>
  <c r="Q866" i="2"/>
  <c r="P866" i="2"/>
  <c r="H866" i="2"/>
  <c r="G866" i="2"/>
  <c r="E866" i="2"/>
  <c r="D866" i="2"/>
  <c r="M150" i="2"/>
  <c r="A150" i="2"/>
  <c r="J150" i="2"/>
  <c r="I150" i="2"/>
  <c r="G150" i="2"/>
  <c r="F150" i="2"/>
  <c r="Q150" i="2"/>
  <c r="P150" i="2"/>
  <c r="O150" i="2"/>
  <c r="N150" i="2"/>
  <c r="L150" i="2"/>
  <c r="K150" i="2" s="1"/>
  <c r="H150" i="2"/>
  <c r="E150" i="2"/>
  <c r="D150" i="2"/>
  <c r="C150" i="2"/>
  <c r="G108" i="2"/>
  <c r="O108" i="2"/>
  <c r="C108" i="2"/>
  <c r="N108" i="2"/>
  <c r="M108" i="2"/>
  <c r="L108" i="2"/>
  <c r="K108" i="2" s="1"/>
  <c r="J108" i="2"/>
  <c r="I108" i="2"/>
  <c r="H108" i="2"/>
  <c r="F108" i="2"/>
  <c r="E108" i="2"/>
  <c r="Q108" i="2"/>
  <c r="P108" i="2"/>
  <c r="D108" i="2"/>
  <c r="A108" i="2"/>
  <c r="L131" i="2"/>
  <c r="K131" i="2" s="1"/>
  <c r="H131" i="2"/>
  <c r="M131" i="2"/>
  <c r="J131" i="2"/>
  <c r="I131" i="2"/>
  <c r="G131" i="2"/>
  <c r="F131" i="2"/>
  <c r="E131" i="2"/>
  <c r="D131" i="2"/>
  <c r="Q131" i="2"/>
  <c r="C131" i="2"/>
  <c r="P131" i="2"/>
  <c r="O131" i="2"/>
  <c r="N131" i="2"/>
  <c r="A131" i="2"/>
  <c r="J141" i="2"/>
  <c r="F141" i="2"/>
  <c r="O141" i="2"/>
  <c r="A141" i="2"/>
  <c r="N141" i="2"/>
  <c r="M141" i="2"/>
  <c r="L141" i="2"/>
  <c r="K141" i="2" s="1"/>
  <c r="I141" i="2"/>
  <c r="H141" i="2"/>
  <c r="G141" i="2"/>
  <c r="E141" i="2"/>
  <c r="Q141" i="2"/>
  <c r="P141" i="2"/>
  <c r="D141" i="2"/>
  <c r="C141" i="2"/>
  <c r="H723" i="2"/>
  <c r="I723" i="2"/>
  <c r="G723" i="2"/>
  <c r="F723" i="2"/>
  <c r="E723" i="2"/>
  <c r="O723" i="2"/>
  <c r="L723" i="2"/>
  <c r="K723" i="2" s="1"/>
  <c r="D723" i="2"/>
  <c r="Q723" i="2"/>
  <c r="N723" i="2"/>
  <c r="M723" i="2"/>
  <c r="A723" i="2"/>
  <c r="J723" i="2"/>
  <c r="C723" i="2"/>
  <c r="P723" i="2"/>
  <c r="O698" i="2"/>
  <c r="C698" i="2"/>
  <c r="N698" i="2"/>
  <c r="H698" i="2"/>
  <c r="G698" i="2"/>
  <c r="E698" i="2"/>
  <c r="P698" i="2"/>
  <c r="M698" i="2"/>
  <c r="J698" i="2"/>
  <c r="F698" i="2"/>
  <c r="D698" i="2"/>
  <c r="Q698" i="2"/>
  <c r="L698" i="2"/>
  <c r="K698" i="2" s="1"/>
  <c r="A698" i="2"/>
  <c r="I698" i="2"/>
  <c r="I764" i="2"/>
  <c r="H764" i="2"/>
  <c r="G764" i="2"/>
  <c r="F764" i="2"/>
  <c r="C764" i="2"/>
  <c r="Q764" i="2"/>
  <c r="A764" i="2"/>
  <c r="P764" i="2"/>
  <c r="M764" i="2"/>
  <c r="L764" i="2"/>
  <c r="K764" i="2" s="1"/>
  <c r="O764" i="2"/>
  <c r="N764" i="2"/>
  <c r="J764" i="2"/>
  <c r="E764" i="2"/>
  <c r="D764" i="2"/>
  <c r="P801" i="2"/>
  <c r="D801" i="2"/>
  <c r="O801" i="2"/>
  <c r="C801" i="2"/>
  <c r="M801" i="2"/>
  <c r="A801" i="2"/>
  <c r="F801" i="2"/>
  <c r="E801" i="2"/>
  <c r="Q801" i="2"/>
  <c r="N801" i="2"/>
  <c r="L801" i="2"/>
  <c r="K801" i="2" s="1"/>
  <c r="J801" i="2"/>
  <c r="G801" i="2"/>
  <c r="I801" i="2"/>
  <c r="H801" i="2"/>
  <c r="P824" i="2"/>
  <c r="D824" i="2"/>
  <c r="J824" i="2"/>
  <c r="H824" i="2"/>
  <c r="Q824" i="2"/>
  <c r="O824" i="2"/>
  <c r="L824" i="2"/>
  <c r="K824" i="2" s="1"/>
  <c r="E824" i="2"/>
  <c r="G824" i="2"/>
  <c r="F824" i="2"/>
  <c r="C824" i="2"/>
  <c r="M824" i="2"/>
  <c r="I824" i="2"/>
  <c r="N824" i="2"/>
  <c r="A824" i="2"/>
  <c r="H783" i="2"/>
  <c r="L783" i="2"/>
  <c r="K783" i="2" s="1"/>
  <c r="Q783" i="2"/>
  <c r="C783" i="2"/>
  <c r="P783" i="2"/>
  <c r="O783" i="2"/>
  <c r="A783" i="2"/>
  <c r="N783" i="2"/>
  <c r="J783" i="2"/>
  <c r="I783" i="2"/>
  <c r="E783" i="2"/>
  <c r="D783" i="2"/>
  <c r="M783" i="2"/>
  <c r="G783" i="2"/>
  <c r="F783" i="2"/>
  <c r="H840" i="2"/>
  <c r="D840" i="2"/>
  <c r="Q840" i="2"/>
  <c r="C840" i="2"/>
  <c r="O840" i="2"/>
  <c r="A840" i="2"/>
  <c r="F840" i="2"/>
  <c r="E840" i="2"/>
  <c r="I840" i="2"/>
  <c r="G840" i="2"/>
  <c r="P840" i="2"/>
  <c r="N840" i="2"/>
  <c r="M840" i="2"/>
  <c r="L840" i="2"/>
  <c r="K840" i="2" s="1"/>
  <c r="J840" i="2"/>
  <c r="F788" i="2"/>
  <c r="O788" i="2"/>
  <c r="N788" i="2"/>
  <c r="A788" i="2"/>
  <c r="Q788" i="2"/>
  <c r="M788" i="2"/>
  <c r="L788" i="2"/>
  <c r="K788" i="2" s="1"/>
  <c r="J788" i="2"/>
  <c r="G788" i="2"/>
  <c r="E788" i="2"/>
  <c r="P788" i="2"/>
  <c r="I788" i="2"/>
  <c r="H788" i="2"/>
  <c r="D788" i="2"/>
  <c r="C788" i="2"/>
  <c r="H860" i="2"/>
  <c r="G860" i="2"/>
  <c r="F860" i="2"/>
  <c r="Q860" i="2"/>
  <c r="E860" i="2"/>
  <c r="P860" i="2"/>
  <c r="D860" i="2"/>
  <c r="O860" i="2"/>
  <c r="C860" i="2"/>
  <c r="L860" i="2"/>
  <c r="K860" i="2" s="1"/>
  <c r="I860" i="2"/>
  <c r="J860" i="2"/>
  <c r="A860" i="2"/>
  <c r="N860" i="2"/>
  <c r="M860" i="2"/>
  <c r="M871" i="2"/>
  <c r="A871" i="2"/>
  <c r="L871" i="2"/>
  <c r="K871" i="2" s="1"/>
  <c r="J871" i="2"/>
  <c r="I871" i="2"/>
  <c r="H871" i="2"/>
  <c r="Q871" i="2"/>
  <c r="E871" i="2"/>
  <c r="O871" i="2"/>
  <c r="C871" i="2"/>
  <c r="N871" i="2"/>
  <c r="P871" i="2"/>
  <c r="F871" i="2"/>
  <c r="D871" i="2"/>
  <c r="G871" i="2"/>
  <c r="Q851" i="2"/>
  <c r="E851" i="2"/>
  <c r="P851" i="2"/>
  <c r="D851" i="2"/>
  <c r="O851" i="2"/>
  <c r="C851" i="2"/>
  <c r="N851" i="2"/>
  <c r="M851" i="2"/>
  <c r="A851" i="2"/>
  <c r="L851" i="2"/>
  <c r="K851" i="2" s="1"/>
  <c r="I851" i="2"/>
  <c r="F851" i="2"/>
  <c r="J851" i="2"/>
  <c r="G851" i="2"/>
  <c r="H851" i="2"/>
  <c r="N878" i="2"/>
  <c r="M878" i="2"/>
  <c r="A878" i="2"/>
  <c r="L878" i="2"/>
  <c r="K878" i="2" s="1"/>
  <c r="J878" i="2"/>
  <c r="I878" i="2"/>
  <c r="F878" i="2"/>
  <c r="P878" i="2"/>
  <c r="D878" i="2"/>
  <c r="O878" i="2"/>
  <c r="C878" i="2"/>
  <c r="E878" i="2"/>
  <c r="Q878" i="2"/>
  <c r="H878" i="2"/>
  <c r="G878" i="2"/>
  <c r="G136" i="2"/>
  <c r="N136" i="2"/>
  <c r="M136" i="2"/>
  <c r="L136" i="2"/>
  <c r="K136" i="2" s="1"/>
  <c r="J136" i="2"/>
  <c r="I136" i="2"/>
  <c r="H136" i="2"/>
  <c r="F136" i="2"/>
  <c r="E136" i="2"/>
  <c r="D136" i="2"/>
  <c r="Q136" i="2"/>
  <c r="P136" i="2"/>
  <c r="O136" i="2"/>
  <c r="C136" i="2"/>
  <c r="A136" i="2"/>
  <c r="J30" i="2"/>
  <c r="I30" i="2"/>
  <c r="H30" i="2"/>
  <c r="G30" i="2"/>
  <c r="F30" i="2"/>
  <c r="Q30" i="2"/>
  <c r="E30" i="2"/>
  <c r="P30" i="2"/>
  <c r="D30" i="2"/>
  <c r="O30" i="2"/>
  <c r="N30" i="2"/>
  <c r="M30" i="2"/>
  <c r="L30" i="2"/>
  <c r="K30" i="2" s="1"/>
  <c r="C30" i="2"/>
  <c r="A30" i="2"/>
  <c r="Q70" i="2"/>
  <c r="E70" i="2"/>
  <c r="M70" i="2"/>
  <c r="A70" i="2"/>
  <c r="L70" i="2"/>
  <c r="K70" i="2" s="1"/>
  <c r="J70" i="2"/>
  <c r="I70" i="2"/>
  <c r="H70" i="2"/>
  <c r="G70" i="2"/>
  <c r="F70" i="2"/>
  <c r="D70" i="2"/>
  <c r="C70" i="2"/>
  <c r="P70" i="2"/>
  <c r="O70" i="2"/>
  <c r="N70" i="2"/>
  <c r="O80" i="2"/>
  <c r="C80" i="2"/>
  <c r="P80" i="2"/>
  <c r="A80" i="2"/>
  <c r="N80" i="2"/>
  <c r="M80" i="2"/>
  <c r="L80" i="2"/>
  <c r="K80" i="2" s="1"/>
  <c r="J80" i="2"/>
  <c r="I80" i="2"/>
  <c r="H80" i="2"/>
  <c r="G80" i="2"/>
  <c r="F80" i="2"/>
  <c r="Q80" i="2"/>
  <c r="E80" i="2"/>
  <c r="D80" i="2"/>
  <c r="F733" i="2"/>
  <c r="I733" i="2"/>
  <c r="H733" i="2"/>
  <c r="G733" i="2"/>
  <c r="E733" i="2"/>
  <c r="O733" i="2"/>
  <c r="N733" i="2"/>
  <c r="A733" i="2"/>
  <c r="Q733" i="2"/>
  <c r="P733" i="2"/>
  <c r="L733" i="2"/>
  <c r="K733" i="2" s="1"/>
  <c r="D733" i="2"/>
  <c r="C733" i="2"/>
  <c r="J733" i="2"/>
  <c r="M733" i="2"/>
  <c r="Q714" i="2"/>
  <c r="E714" i="2"/>
  <c r="P714" i="2"/>
  <c r="C714" i="2"/>
  <c r="O714" i="2"/>
  <c r="D714" i="2"/>
  <c r="A714" i="2"/>
  <c r="N714" i="2"/>
  <c r="J714" i="2"/>
  <c r="I714" i="2"/>
  <c r="L714" i="2"/>
  <c r="K714" i="2" s="1"/>
  <c r="H714" i="2"/>
  <c r="G714" i="2"/>
  <c r="M714" i="2"/>
  <c r="F714" i="2"/>
  <c r="G775" i="2"/>
  <c r="M775" i="2"/>
  <c r="L775" i="2"/>
  <c r="K775" i="2" s="1"/>
  <c r="J775" i="2"/>
  <c r="E775" i="2"/>
  <c r="C775" i="2"/>
  <c r="A775" i="2"/>
  <c r="O775" i="2"/>
  <c r="N775" i="2"/>
  <c r="Q775" i="2"/>
  <c r="P775" i="2"/>
  <c r="I775" i="2"/>
  <c r="H775" i="2"/>
  <c r="F775" i="2"/>
  <c r="D775" i="2"/>
  <c r="J814" i="2"/>
  <c r="H814" i="2"/>
  <c r="G814" i="2"/>
  <c r="F814" i="2"/>
  <c r="E814" i="2"/>
  <c r="A814" i="2"/>
  <c r="O814" i="2"/>
  <c r="N814" i="2"/>
  <c r="M814" i="2"/>
  <c r="L814" i="2"/>
  <c r="K814" i="2" s="1"/>
  <c r="C814" i="2"/>
  <c r="Q814" i="2"/>
  <c r="P814" i="2"/>
  <c r="I814" i="2"/>
  <c r="D814" i="2"/>
  <c r="M842" i="2"/>
  <c r="A842" i="2"/>
  <c r="J842" i="2"/>
  <c r="O842" i="2"/>
  <c r="N842" i="2"/>
  <c r="I842" i="2"/>
  <c r="H842" i="2"/>
  <c r="G842" i="2"/>
  <c r="Q842" i="2"/>
  <c r="P842" i="2"/>
  <c r="E842" i="2"/>
  <c r="D842" i="2"/>
  <c r="C842" i="2"/>
  <c r="L842" i="2"/>
  <c r="K842" i="2" s="1"/>
  <c r="F842" i="2"/>
  <c r="M816" i="2"/>
  <c r="A816" i="2"/>
  <c r="L816" i="2"/>
  <c r="K816" i="2" s="1"/>
  <c r="J816" i="2"/>
  <c r="F816" i="2"/>
  <c r="E816" i="2"/>
  <c r="D816" i="2"/>
  <c r="C816" i="2"/>
  <c r="P816" i="2"/>
  <c r="O816" i="2"/>
  <c r="Q816" i="2"/>
  <c r="H816" i="2"/>
  <c r="G816" i="2"/>
  <c r="N816" i="2"/>
  <c r="I816" i="2"/>
  <c r="H843" i="2"/>
  <c r="F843" i="2"/>
  <c r="Q843" i="2"/>
  <c r="E843" i="2"/>
  <c r="M843" i="2"/>
  <c r="L843" i="2"/>
  <c r="K843" i="2" s="1"/>
  <c r="J843" i="2"/>
  <c r="O843" i="2"/>
  <c r="N843" i="2"/>
  <c r="C843" i="2"/>
  <c r="A843" i="2"/>
  <c r="I843" i="2"/>
  <c r="G843" i="2"/>
  <c r="P843" i="2"/>
  <c r="D843" i="2"/>
  <c r="F803" i="2"/>
  <c r="Q803" i="2"/>
  <c r="E803" i="2"/>
  <c r="O803" i="2"/>
  <c r="C803" i="2"/>
  <c r="A803" i="2"/>
  <c r="D803" i="2"/>
  <c r="P803" i="2"/>
  <c r="L803" i="2"/>
  <c r="K803" i="2" s="1"/>
  <c r="N803" i="2"/>
  <c r="M803" i="2"/>
  <c r="H803" i="2"/>
  <c r="G803" i="2"/>
  <c r="J803" i="2"/>
  <c r="I803" i="2"/>
  <c r="N794" i="2"/>
  <c r="L794" i="2"/>
  <c r="K794" i="2" s="1"/>
  <c r="F794" i="2"/>
  <c r="E794" i="2"/>
  <c r="J794" i="2"/>
  <c r="Q794" i="2"/>
  <c r="P794" i="2"/>
  <c r="O794" i="2"/>
  <c r="M794" i="2"/>
  <c r="H794" i="2"/>
  <c r="G794" i="2"/>
  <c r="I794" i="2"/>
  <c r="A794" i="2"/>
  <c r="D794" i="2"/>
  <c r="C794" i="2"/>
  <c r="L876" i="2"/>
  <c r="K876" i="2" s="1"/>
  <c r="J876" i="2"/>
  <c r="I876" i="2"/>
  <c r="H876" i="2"/>
  <c r="G876" i="2"/>
  <c r="P876" i="2"/>
  <c r="D876" i="2"/>
  <c r="N876" i="2"/>
  <c r="M876" i="2"/>
  <c r="A876" i="2"/>
  <c r="C876" i="2"/>
  <c r="Q876" i="2"/>
  <c r="O876" i="2"/>
  <c r="F876" i="2"/>
  <c r="E876" i="2"/>
  <c r="Q863" i="2"/>
  <c r="E863" i="2"/>
  <c r="P863" i="2"/>
  <c r="D863" i="2"/>
  <c r="O863" i="2"/>
  <c r="C863" i="2"/>
  <c r="N863" i="2"/>
  <c r="M863" i="2"/>
  <c r="A863" i="2"/>
  <c r="L863" i="2"/>
  <c r="K863" i="2" s="1"/>
  <c r="I863" i="2"/>
  <c r="F863" i="2"/>
  <c r="J863" i="2"/>
  <c r="H863" i="2"/>
  <c r="G863" i="2"/>
  <c r="I86" i="2"/>
  <c r="Q86" i="2"/>
  <c r="E86" i="2"/>
  <c r="N86" i="2"/>
  <c r="M86" i="2"/>
  <c r="L86" i="2"/>
  <c r="K86" i="2"/>
  <c r="J86" i="2"/>
  <c r="H86" i="2"/>
  <c r="G86" i="2"/>
  <c r="F86" i="2"/>
  <c r="D86" i="2"/>
  <c r="C86" i="2"/>
  <c r="A86" i="2"/>
  <c r="P86" i="2"/>
  <c r="O86" i="2"/>
  <c r="P75" i="2"/>
  <c r="D75" i="2"/>
  <c r="L75" i="2"/>
  <c r="K75" i="2" s="1"/>
  <c r="N75" i="2"/>
  <c r="M75" i="2"/>
  <c r="J75" i="2"/>
  <c r="I75" i="2"/>
  <c r="H75" i="2"/>
  <c r="G75" i="2"/>
  <c r="F75" i="2"/>
  <c r="E75" i="2"/>
  <c r="Q75" i="2"/>
  <c r="O75" i="2"/>
  <c r="C75" i="2"/>
  <c r="A75" i="2"/>
  <c r="G235" i="2"/>
  <c r="M235" i="2"/>
  <c r="D235" i="2"/>
  <c r="C235" i="2"/>
  <c r="A235" i="2"/>
  <c r="Q235" i="2"/>
  <c r="P235" i="2"/>
  <c r="O235" i="2"/>
  <c r="N235" i="2"/>
  <c r="J235" i="2"/>
  <c r="I235" i="2"/>
  <c r="H235" i="2"/>
  <c r="L235" i="2"/>
  <c r="K235" i="2" s="1"/>
  <c r="F235" i="2"/>
  <c r="E235" i="2"/>
  <c r="M32" i="2"/>
  <c r="A32" i="2"/>
  <c r="L32" i="2"/>
  <c r="K32" i="2" s="1"/>
  <c r="J32" i="2"/>
  <c r="I32" i="2"/>
  <c r="H32" i="2"/>
  <c r="G32" i="2"/>
  <c r="F32" i="2"/>
  <c r="Q32" i="2"/>
  <c r="P32" i="2"/>
  <c r="O32" i="2"/>
  <c r="N32" i="2"/>
  <c r="E32" i="2"/>
  <c r="D32" i="2"/>
  <c r="C32" i="2"/>
  <c r="J42" i="2"/>
  <c r="I42" i="2"/>
  <c r="H42" i="2"/>
  <c r="G42" i="2"/>
  <c r="F42" i="2"/>
  <c r="Q42" i="2"/>
  <c r="E42" i="2"/>
  <c r="P42" i="2"/>
  <c r="D42" i="2"/>
  <c r="A42" i="2"/>
  <c r="O42" i="2"/>
  <c r="N42" i="2"/>
  <c r="M42" i="2"/>
  <c r="L42" i="2"/>
  <c r="K42" i="2" s="1"/>
  <c r="C42" i="2"/>
  <c r="H745" i="2"/>
  <c r="G745" i="2"/>
  <c r="F745" i="2"/>
  <c r="J745" i="2"/>
  <c r="I745" i="2"/>
  <c r="E745" i="2"/>
  <c r="Q745" i="2"/>
  <c r="P745" i="2"/>
  <c r="A745" i="2"/>
  <c r="N745" i="2"/>
  <c r="D745" i="2"/>
  <c r="C745" i="2"/>
  <c r="L745" i="2"/>
  <c r="K745" i="2" s="1"/>
  <c r="O745" i="2"/>
  <c r="M745" i="2"/>
  <c r="O724" i="2"/>
  <c r="C724" i="2"/>
  <c r="E724" i="2"/>
  <c r="Q724" i="2"/>
  <c r="D724" i="2"/>
  <c r="P724" i="2"/>
  <c r="N724" i="2"/>
  <c r="A724" i="2"/>
  <c r="M724" i="2"/>
  <c r="J724" i="2"/>
  <c r="G724" i="2"/>
  <c r="F724" i="2"/>
  <c r="H724" i="2"/>
  <c r="L724" i="2"/>
  <c r="K724" i="2" s="1"/>
  <c r="I724" i="2"/>
  <c r="O844" i="2"/>
  <c r="C844" i="2"/>
  <c r="M844" i="2"/>
  <c r="A844" i="2"/>
  <c r="L844" i="2"/>
  <c r="K844" i="2" s="1"/>
  <c r="H844" i="2"/>
  <c r="N844" i="2"/>
  <c r="I844" i="2"/>
  <c r="P844" i="2"/>
  <c r="J844" i="2"/>
  <c r="G844" i="2"/>
  <c r="F844" i="2"/>
  <c r="E844" i="2"/>
  <c r="Q844" i="2"/>
  <c r="D844" i="2"/>
  <c r="G825" i="2"/>
  <c r="F825" i="2"/>
  <c r="Q825" i="2"/>
  <c r="D825" i="2"/>
  <c r="P825" i="2"/>
  <c r="O825" i="2"/>
  <c r="N825" i="2"/>
  <c r="I825" i="2"/>
  <c r="M825" i="2"/>
  <c r="L825" i="2"/>
  <c r="K825" i="2" s="1"/>
  <c r="J825" i="2"/>
  <c r="C825" i="2"/>
  <c r="A825" i="2"/>
  <c r="H825" i="2"/>
  <c r="E825" i="2"/>
  <c r="N717" i="2"/>
  <c r="E717" i="2"/>
  <c r="Q717" i="2"/>
  <c r="D717" i="2"/>
  <c r="O717" i="2"/>
  <c r="M717" i="2"/>
  <c r="H717" i="2"/>
  <c r="G717" i="2"/>
  <c r="F717" i="2"/>
  <c r="I717" i="2"/>
  <c r="A717" i="2"/>
  <c r="P717" i="2"/>
  <c r="L717" i="2"/>
  <c r="K717" i="2" s="1"/>
  <c r="C717" i="2"/>
  <c r="J717" i="2"/>
  <c r="N739" i="2"/>
  <c r="M739" i="2"/>
  <c r="A739" i="2"/>
  <c r="L739" i="2"/>
  <c r="K739" i="2" s="1"/>
  <c r="Q739" i="2"/>
  <c r="P739" i="2"/>
  <c r="O739" i="2"/>
  <c r="H739" i="2"/>
  <c r="G739" i="2"/>
  <c r="J739" i="2"/>
  <c r="I739" i="2"/>
  <c r="F739" i="2"/>
  <c r="D739" i="2"/>
  <c r="C739" i="2"/>
  <c r="E739" i="2"/>
  <c r="N776" i="2"/>
  <c r="I776" i="2"/>
  <c r="H776" i="2"/>
  <c r="G776" i="2"/>
  <c r="F776" i="2"/>
  <c r="P776" i="2"/>
  <c r="C776" i="2"/>
  <c r="O776" i="2"/>
  <c r="A776" i="2"/>
  <c r="K776" i="2"/>
  <c r="J776" i="2"/>
  <c r="E776" i="2"/>
  <c r="D776" i="2"/>
  <c r="Q776" i="2"/>
  <c r="M776" i="2"/>
  <c r="L776" i="2"/>
  <c r="L821" i="2"/>
  <c r="K821" i="2" s="1"/>
  <c r="I821" i="2"/>
  <c r="Q821" i="2"/>
  <c r="P821" i="2"/>
  <c r="A821" i="2"/>
  <c r="D821" i="2"/>
  <c r="O821" i="2"/>
  <c r="J821" i="2"/>
  <c r="H821" i="2"/>
  <c r="G821" i="2"/>
  <c r="F821" i="2"/>
  <c r="N821" i="2"/>
  <c r="M821" i="2"/>
  <c r="E821" i="2"/>
  <c r="C821" i="2"/>
  <c r="O806" i="2"/>
  <c r="C806" i="2"/>
  <c r="N806" i="2"/>
  <c r="L806" i="2"/>
  <c r="K806" i="2" s="1"/>
  <c r="Q806" i="2"/>
  <c r="P806" i="2"/>
  <c r="H806" i="2"/>
  <c r="M806" i="2"/>
  <c r="J806" i="2"/>
  <c r="I806" i="2"/>
  <c r="E806" i="2"/>
  <c r="D806" i="2"/>
  <c r="G806" i="2"/>
  <c r="F806" i="2"/>
  <c r="A806" i="2"/>
  <c r="J850" i="2"/>
  <c r="I850" i="2"/>
  <c r="G850" i="2"/>
  <c r="F850" i="2"/>
  <c r="Q850" i="2"/>
  <c r="E850" i="2"/>
  <c r="N850" i="2"/>
  <c r="C850" i="2"/>
  <c r="A850" i="2"/>
  <c r="P850" i="2"/>
  <c r="O850" i="2"/>
  <c r="M850" i="2"/>
  <c r="L850" i="2"/>
  <c r="K850" i="2" s="1"/>
  <c r="H850" i="2"/>
  <c r="D850" i="2"/>
  <c r="Q875" i="2"/>
  <c r="E875" i="2"/>
  <c r="P875" i="2"/>
  <c r="D875" i="2"/>
  <c r="O875" i="2"/>
  <c r="C875" i="2"/>
  <c r="N875" i="2"/>
  <c r="M875" i="2"/>
  <c r="A875" i="2"/>
  <c r="L875" i="2"/>
  <c r="K875" i="2" s="1"/>
  <c r="I875" i="2"/>
  <c r="G875" i="2"/>
  <c r="F875" i="2"/>
  <c r="H875" i="2"/>
  <c r="J875" i="2"/>
  <c r="M44" i="2"/>
  <c r="A44" i="2"/>
  <c r="L44" i="2"/>
  <c r="K44" i="2" s="1"/>
  <c r="J44" i="2"/>
  <c r="I44" i="2"/>
  <c r="H44" i="2"/>
  <c r="G44" i="2"/>
  <c r="F44" i="2"/>
  <c r="C44" i="2"/>
  <c r="Q44" i="2"/>
  <c r="P44" i="2"/>
  <c r="O44" i="2"/>
  <c r="N44" i="2"/>
  <c r="E44" i="2"/>
  <c r="D44" i="2"/>
  <c r="Q62" i="2"/>
  <c r="E62" i="2"/>
  <c r="M62" i="2"/>
  <c r="L62" i="2"/>
  <c r="K62" i="2" s="1"/>
  <c r="J62" i="2"/>
  <c r="I62" i="2"/>
  <c r="H62" i="2"/>
  <c r="G62" i="2"/>
  <c r="F62" i="2"/>
  <c r="D62" i="2"/>
  <c r="P62" i="2"/>
  <c r="O62" i="2"/>
  <c r="N62" i="2"/>
  <c r="C62" i="2"/>
  <c r="A62" i="2"/>
  <c r="G223" i="2"/>
  <c r="F223" i="2"/>
  <c r="O223" i="2"/>
  <c r="A223" i="2"/>
  <c r="N223" i="2"/>
  <c r="M223" i="2"/>
  <c r="L223" i="2"/>
  <c r="K223" i="2" s="1"/>
  <c r="I223" i="2"/>
  <c r="H223" i="2"/>
  <c r="E223" i="2"/>
  <c r="Q223" i="2"/>
  <c r="P223" i="2"/>
  <c r="J223" i="2"/>
  <c r="D223" i="2"/>
  <c r="C223" i="2"/>
  <c r="J13" i="2"/>
  <c r="I13" i="2"/>
  <c r="H13" i="2"/>
  <c r="G13" i="2"/>
  <c r="F13" i="2"/>
  <c r="Q13" i="2"/>
  <c r="E13" i="2"/>
  <c r="P13" i="2"/>
  <c r="O13" i="2"/>
  <c r="N13" i="2"/>
  <c r="M13" i="2"/>
  <c r="L13" i="2"/>
  <c r="K13" i="2" s="1"/>
  <c r="D13" i="2"/>
  <c r="C13" i="2"/>
  <c r="A13" i="2"/>
  <c r="P147" i="2"/>
  <c r="D147" i="2"/>
  <c r="L147" i="2"/>
  <c r="K147" i="2" s="1"/>
  <c r="N147" i="2"/>
  <c r="M147" i="2"/>
  <c r="J147" i="2"/>
  <c r="I147" i="2"/>
  <c r="H147" i="2"/>
  <c r="G147" i="2"/>
  <c r="F147" i="2"/>
  <c r="E147" i="2"/>
  <c r="C147" i="2"/>
  <c r="A147" i="2"/>
  <c r="Q147" i="2"/>
  <c r="O147" i="2"/>
  <c r="I8" i="2" l="1"/>
  <c r="J8" i="2" s="1"/>
  <c r="I2" i="2"/>
  <c r="J2" i="2" s="1"/>
  <c r="I7" i="2"/>
  <c r="J7" i="2" s="1"/>
  <c r="I5" i="2"/>
  <c r="J5" i="2" s="1"/>
  <c r="I4" i="2"/>
  <c r="J4" i="2" s="1"/>
  <c r="I6" i="2"/>
  <c r="J6" i="2" s="1"/>
  <c r="K4" i="2"/>
  <c r="AU66" i="1"/>
  <c r="J33" i="1"/>
  <c r="K32" i="1"/>
  <c r="L31" i="1"/>
  <c r="N30" i="1"/>
  <c r="K30" i="1"/>
  <c r="M29" i="1"/>
  <c r="L32" i="1"/>
  <c r="J30" i="1"/>
  <c r="L29" i="1"/>
  <c r="N32" i="1"/>
  <c r="M31" i="1"/>
  <c r="K29" i="1"/>
  <c r="J29" i="1"/>
  <c r="N33" i="1"/>
  <c r="N31" i="1"/>
  <c r="K33" i="1"/>
  <c r="M33" i="1"/>
  <c r="M32" i="1"/>
  <c r="L33" i="1"/>
  <c r="M30" i="1"/>
  <c r="L30" i="1"/>
  <c r="K31" i="1"/>
  <c r="J32" i="1"/>
  <c r="J31" i="1"/>
  <c r="N29" i="1"/>
  <c r="K2" i="2" l="1"/>
  <c r="AE28" i="1" s="1"/>
  <c r="AM65" i="1"/>
  <c r="AP65" i="1" s="1"/>
  <c r="K6" i="2"/>
  <c r="AY110" i="1"/>
  <c r="AZ114" i="1"/>
  <c r="AW80" i="1"/>
  <c r="AW92" i="1"/>
  <c r="AX111" i="1"/>
  <c r="AZ94" i="1"/>
  <c r="AZ111" i="1"/>
  <c r="AX115" i="1"/>
  <c r="K5" i="2"/>
  <c r="AW102" i="1"/>
  <c r="K7" i="2"/>
  <c r="AE27" i="1" s="1"/>
  <c r="AY113" i="1"/>
  <c r="AZ112" i="1"/>
  <c r="AZ115" i="1"/>
  <c r="AY108" i="1"/>
  <c r="AW115" i="1"/>
  <c r="AW112" i="1"/>
  <c r="AV109" i="1"/>
  <c r="K8" i="2"/>
  <c r="AV93" i="1"/>
  <c r="AZ101" i="1"/>
  <c r="AZ89" i="1"/>
  <c r="AY92" i="1"/>
  <c r="AX89" i="1"/>
  <c r="AX92" i="1"/>
  <c r="AZ105" i="1"/>
  <c r="AW109" i="1"/>
  <c r="AY101" i="1"/>
  <c r="AX93" i="1"/>
  <c r="AX105" i="1"/>
  <c r="AW114" i="1"/>
  <c r="AZ108" i="1"/>
  <c r="AY111" i="1"/>
  <c r="AV78" i="1"/>
  <c r="AY112" i="1"/>
  <c r="AV108" i="1"/>
  <c r="AX108" i="1"/>
  <c r="AV111" i="1"/>
  <c r="AY90" i="1"/>
  <c r="AY81" i="1"/>
  <c r="AY115" i="1"/>
  <c r="AZ110" i="1"/>
  <c r="AX110" i="1"/>
  <c r="AX113" i="1"/>
  <c r="AV101" i="1"/>
  <c r="AW91" i="1"/>
  <c r="AX78" i="1"/>
  <c r="AV113" i="1"/>
  <c r="AX112" i="1"/>
  <c r="AX90" i="1"/>
  <c r="AX109" i="1"/>
  <c r="AW95" i="1"/>
  <c r="AY93" i="1"/>
  <c r="AV94" i="1"/>
  <c r="AX114" i="1"/>
  <c r="AX94" i="1"/>
  <c r="AV115" i="1"/>
  <c r="BA115" i="1" s="1"/>
  <c r="AZ109" i="1"/>
  <c r="AV105" i="1"/>
  <c r="AW113" i="1"/>
  <c r="AY103" i="1"/>
  <c r="AW111" i="1"/>
  <c r="AY109" i="1"/>
  <c r="AV112" i="1"/>
  <c r="AV110" i="1"/>
  <c r="AV114" i="1"/>
  <c r="AW101" i="1"/>
  <c r="AW108" i="1"/>
  <c r="AZ91" i="1"/>
  <c r="AZ113" i="1"/>
  <c r="AX81" i="1"/>
  <c r="AW78" i="1"/>
  <c r="AZ95" i="1"/>
  <c r="AW110" i="1"/>
  <c r="AV79" i="1"/>
  <c r="AW104" i="1"/>
  <c r="AY78" i="1"/>
  <c r="AX103" i="1"/>
  <c r="AV89" i="1"/>
  <c r="AY104" i="1"/>
  <c r="AV102" i="1"/>
  <c r="AY102" i="1"/>
  <c r="AZ78" i="1"/>
  <c r="AV81" i="1"/>
  <c r="AV91" i="1"/>
  <c r="AZ104" i="1"/>
  <c r="AY80" i="1"/>
  <c r="AV90" i="1"/>
  <c r="AE25" i="1"/>
  <c r="AX80" i="1"/>
  <c r="AV104" i="1"/>
  <c r="AX104" i="1"/>
  <c r="AV95" i="1"/>
  <c r="AZ93" i="1"/>
  <c r="AV92" i="1"/>
  <c r="AX101" i="1"/>
  <c r="AX79" i="1"/>
  <c r="AV80" i="1"/>
  <c r="AX102" i="1"/>
  <c r="AZ102" i="1"/>
  <c r="AZ103" i="1"/>
  <c r="AZ80" i="1"/>
  <c r="AW103" i="1"/>
  <c r="AW79" i="1"/>
  <c r="AY89" i="1"/>
  <c r="AW105" i="1"/>
  <c r="AY105" i="1"/>
  <c r="AW90" i="1"/>
  <c r="AZ92" i="1"/>
  <c r="AY94" i="1"/>
  <c r="AW89" i="1"/>
  <c r="AZ81" i="1"/>
  <c r="AY91" i="1"/>
  <c r="AY79" i="1"/>
  <c r="AW94" i="1"/>
  <c r="AW81" i="1"/>
  <c r="AZ90" i="1"/>
  <c r="AW93" i="1"/>
  <c r="AX91" i="1"/>
  <c r="AY95" i="1"/>
  <c r="AV103" i="1"/>
  <c r="AZ79" i="1"/>
  <c r="AY114" i="1"/>
  <c r="AQ66" i="1"/>
  <c r="AR66" i="1"/>
  <c r="AX95" i="1"/>
  <c r="BA113" i="1" l="1"/>
  <c r="BA108" i="1"/>
  <c r="AE23" i="1"/>
  <c r="D27" i="1" s="1"/>
  <c r="BA109" i="1"/>
  <c r="AE29" i="1"/>
  <c r="C33" i="1" s="1"/>
  <c r="AE26" i="1"/>
  <c r="D30" i="1" s="1"/>
  <c r="BA112" i="1"/>
  <c r="AE30" i="1"/>
  <c r="D34" i="1" s="1"/>
  <c r="AE24" i="1"/>
  <c r="C28" i="1" s="1"/>
  <c r="AX82" i="1"/>
  <c r="AX86" i="1" s="1"/>
  <c r="AZ107" i="1"/>
  <c r="AZ106" i="1" s="1"/>
  <c r="BA111" i="1"/>
  <c r="AW107" i="1"/>
  <c r="AW106" i="1" s="1"/>
  <c r="BA114" i="1"/>
  <c r="BA110" i="1"/>
  <c r="AV107" i="1"/>
  <c r="AV106" i="1" s="1"/>
  <c r="AY107" i="1"/>
  <c r="AY106" i="1" s="1"/>
  <c r="AX107" i="1"/>
  <c r="AX106" i="1" s="1"/>
  <c r="AY100" i="1"/>
  <c r="AY88" i="1" s="1"/>
  <c r="AW82" i="1"/>
  <c r="AW86" i="1" s="1"/>
  <c r="BA90" i="1"/>
  <c r="AW100" i="1"/>
  <c r="AW88" i="1" s="1"/>
  <c r="BA94" i="1"/>
  <c r="BA81" i="1"/>
  <c r="AS83" i="1" s="1"/>
  <c r="AX100" i="1"/>
  <c r="AX88" i="1" s="1"/>
  <c r="AZ100" i="1"/>
  <c r="AZ88" i="1" s="1"/>
  <c r="BA93" i="1"/>
  <c r="C29" i="1"/>
  <c r="B29" i="1"/>
  <c r="D29" i="1"/>
  <c r="C27" i="1"/>
  <c r="B27" i="1"/>
  <c r="BA92" i="1"/>
  <c r="C32" i="1"/>
  <c r="B32" i="1"/>
  <c r="D32" i="1"/>
  <c r="BA95" i="1"/>
  <c r="BA80" i="1"/>
  <c r="AV100" i="1"/>
  <c r="AV88" i="1" s="1"/>
  <c r="BA89" i="1"/>
  <c r="AZ82" i="1"/>
  <c r="AV82" i="1"/>
  <c r="BA78" i="1"/>
  <c r="D31" i="1"/>
  <c r="C31" i="1"/>
  <c r="B31" i="1"/>
  <c r="BA91" i="1"/>
  <c r="AY82" i="1"/>
  <c r="BA79" i="1"/>
  <c r="B33" i="1" l="1"/>
  <c r="B28" i="1"/>
  <c r="D33" i="1"/>
  <c r="C34" i="1"/>
  <c r="B34" i="1"/>
  <c r="D28" i="1"/>
  <c r="C30" i="1"/>
  <c r="B30" i="1"/>
  <c r="BA107" i="1"/>
  <c r="AZ86" i="1"/>
  <c r="AS84" i="1"/>
  <c r="AU65" i="1" s="1"/>
  <c r="AY86" i="1"/>
  <c r="AS85" i="1"/>
  <c r="AV86" i="1"/>
  <c r="BA82" i="1"/>
  <c r="AZ83" i="1" s="1"/>
  <c r="AX83" i="1" l="1"/>
  <c r="AW83" i="1"/>
  <c r="BB81" i="1"/>
  <c r="AV83" i="1"/>
  <c r="BB78" i="1"/>
  <c r="AY83" i="1"/>
  <c r="BB79" i="1"/>
  <c r="BB80" i="1"/>
  <c r="BA83" i="1" l="1"/>
  <c r="BB82" i="1"/>
</calcChain>
</file>

<file path=xl/sharedStrings.xml><?xml version="1.0" encoding="utf-8"?>
<sst xmlns="http://schemas.openxmlformats.org/spreadsheetml/2006/main" count="474" uniqueCount="205">
  <si>
    <t>Project Name:</t>
  </si>
  <si>
    <t>ABC</t>
  </si>
  <si>
    <t>Client</t>
  </si>
  <si>
    <t>Report Date :</t>
  </si>
  <si>
    <t>no</t>
  </si>
  <si>
    <t>match</t>
  </si>
  <si>
    <t>ID</t>
  </si>
  <si>
    <t>Risk Description</t>
  </si>
  <si>
    <t>Score</t>
  </si>
  <si>
    <t>Impact vs Probability</t>
  </si>
  <si>
    <t>settings</t>
  </si>
  <si>
    <t>PMBOK - 135</t>
  </si>
  <si>
    <t>Avoid</t>
  </si>
  <si>
    <t>Changing the project plan to eliminate the risk.</t>
  </si>
  <si>
    <t>Transfer</t>
  </si>
  <si>
    <t>Seek to shift the consequence of risk to a 3rd party together with ownership and response</t>
  </si>
  <si>
    <t>Mitigate</t>
  </si>
  <si>
    <t>Mitigation seeks to reduce the probability and impact of a risk event to an acceptable threshold. Taking early action to reduce the probability or impact is more effective than trying to repair the consequences after it has occurred.</t>
  </si>
  <si>
    <t>Accept</t>
  </si>
  <si>
    <t>Indicates that the project team has decided not to change the project plan to deal with a risk or is unable to identify any other suitable response strategy.</t>
  </si>
  <si>
    <t>CHECK VALUE</t>
  </si>
  <si>
    <t>MAX</t>
  </si>
  <si>
    <t>SLICES</t>
  </si>
  <si>
    <t>DEGREES</t>
  </si>
  <si>
    <t>X</t>
  </si>
  <si>
    <t>Y</t>
  </si>
  <si>
    <t>Remaining risk</t>
  </si>
  <si>
    <t>Clsoed</t>
  </si>
  <si>
    <t>RISK PRIORITY</t>
  </si>
  <si>
    <t>Current Status / Priority</t>
  </si>
  <si>
    <t>Critical</t>
  </si>
  <si>
    <t>High</t>
  </si>
  <si>
    <t>Moderate</t>
  </si>
  <si>
    <t>Tolerable</t>
  </si>
  <si>
    <t>Negligible</t>
  </si>
  <si>
    <t>Total</t>
  </si>
  <si>
    <t>% Of Total</t>
  </si>
  <si>
    <t>STATUS</t>
  </si>
  <si>
    <t>Closed</t>
  </si>
  <si>
    <t>In-Progress</t>
  </si>
  <si>
    <t>Behind</t>
  </si>
  <si>
    <t>Not Started</t>
  </si>
  <si>
    <t>% of Total</t>
  </si>
  <si>
    <t>Remaining</t>
  </si>
  <si>
    <t>total</t>
  </si>
  <si>
    <t>Escalate</t>
  </si>
  <si>
    <t>Helper_Row</t>
  </si>
  <si>
    <t>Risk Effect on Objectives</t>
  </si>
  <si>
    <t>Impact Area</t>
  </si>
  <si>
    <t>Impact Category</t>
  </si>
  <si>
    <t>Impact Rating</t>
  </si>
  <si>
    <t>Probability</t>
  </si>
  <si>
    <t>Risk Score</t>
  </si>
  <si>
    <t>Risk Priority</t>
  </si>
  <si>
    <t>Risk Ranking</t>
  </si>
  <si>
    <t>Status</t>
  </si>
  <si>
    <t>Risk Owner</t>
  </si>
  <si>
    <t>Date Raised</t>
  </si>
  <si>
    <t>Closed Date</t>
  </si>
  <si>
    <t>Mitigation Strategy</t>
  </si>
  <si>
    <t>Risk Response</t>
  </si>
  <si>
    <t>RAID ID</t>
  </si>
  <si>
    <t>Type</t>
  </si>
  <si>
    <t>Category</t>
  </si>
  <si>
    <t>Title</t>
  </si>
  <si>
    <t>Description</t>
  </si>
  <si>
    <t>Impact/Effect of the RAID</t>
  </si>
  <si>
    <t>RAID Owner</t>
  </si>
  <si>
    <t>Initial Probability</t>
  </si>
  <si>
    <t>Severity</t>
  </si>
  <si>
    <t>Target Date</t>
  </si>
  <si>
    <t>Next Update</t>
  </si>
  <si>
    <t>RAID Response/Plan</t>
  </si>
  <si>
    <t>Risk Seq</t>
  </si>
  <si>
    <t>Risk</t>
  </si>
  <si>
    <t>Quality</t>
  </si>
  <si>
    <t>Cost</t>
  </si>
  <si>
    <t>Title 1</t>
  </si>
  <si>
    <t>D 1</t>
  </si>
  <si>
    <t>Impact and Effect 1</t>
  </si>
  <si>
    <t>Owner 1</t>
  </si>
  <si>
    <t>Average</t>
  </si>
  <si>
    <t>Assumption</t>
  </si>
  <si>
    <t>Other</t>
  </si>
  <si>
    <t>Title 2</t>
  </si>
  <si>
    <t>D 2</t>
  </si>
  <si>
    <t>Impact and Effect 2</t>
  </si>
  <si>
    <t>Owner 2</t>
  </si>
  <si>
    <t>Severe</t>
  </si>
  <si>
    <t>Medium</t>
  </si>
  <si>
    <t>Dependency</t>
  </si>
  <si>
    <t>Stakeholder</t>
  </si>
  <si>
    <t>Schedule</t>
  </si>
  <si>
    <t>Title 3</t>
  </si>
  <si>
    <t>D 3</t>
  </si>
  <si>
    <t>Impact and Effect 3</t>
  </si>
  <si>
    <t>Owner 3</t>
  </si>
  <si>
    <t>Insignificant</t>
  </si>
  <si>
    <t>Very High</t>
  </si>
  <si>
    <t>Security/Compliance</t>
  </si>
  <si>
    <t>Title 4</t>
  </si>
  <si>
    <t>D 4</t>
  </si>
  <si>
    <t>Impact and Effect 4</t>
  </si>
  <si>
    <t>Owner 4</t>
  </si>
  <si>
    <t>Minor</t>
  </si>
  <si>
    <t>Issue</t>
  </si>
  <si>
    <t>Scope</t>
  </si>
  <si>
    <t>Title 5</t>
  </si>
  <si>
    <t>D 5</t>
  </si>
  <si>
    <t>Impact and Effect 5</t>
  </si>
  <si>
    <t>Owner 5</t>
  </si>
  <si>
    <t>Major</t>
  </si>
  <si>
    <t>Low</t>
  </si>
  <si>
    <t>Title 6</t>
  </si>
  <si>
    <t>D 6</t>
  </si>
  <si>
    <t>Impact and Effect 6</t>
  </si>
  <si>
    <t>Owner 6</t>
  </si>
  <si>
    <t>Very Low</t>
  </si>
  <si>
    <t>Title 7</t>
  </si>
  <si>
    <t>D 7</t>
  </si>
  <si>
    <t>Impact and Effect 7</t>
  </si>
  <si>
    <t>Owner 7</t>
  </si>
  <si>
    <t>Title 8</t>
  </si>
  <si>
    <t>D 8</t>
  </si>
  <si>
    <t>Impact and Effect 8</t>
  </si>
  <si>
    <t>Owner 8</t>
  </si>
  <si>
    <t>Technical</t>
  </si>
  <si>
    <t>Title 9</t>
  </si>
  <si>
    <t>D 9</t>
  </si>
  <si>
    <t>Impact and Effect 9</t>
  </si>
  <si>
    <t>Owner 9</t>
  </si>
  <si>
    <t>Process</t>
  </si>
  <si>
    <t>Title 10</t>
  </si>
  <si>
    <t>D 10</t>
  </si>
  <si>
    <t>Impact and Effect 10</t>
  </si>
  <si>
    <t>Owner 10</t>
  </si>
  <si>
    <t>Title 11</t>
  </si>
  <si>
    <t>D 11</t>
  </si>
  <si>
    <t>Impact and Effect 11</t>
  </si>
  <si>
    <t>Owner 11</t>
  </si>
  <si>
    <t>Resource</t>
  </si>
  <si>
    <t>Title 12</t>
  </si>
  <si>
    <t>D 12</t>
  </si>
  <si>
    <t>Impact and Effect 12</t>
  </si>
  <si>
    <t>Owner 12</t>
  </si>
  <si>
    <t>Title 13</t>
  </si>
  <si>
    <t>D 13</t>
  </si>
  <si>
    <t>Impact and Effect 13</t>
  </si>
  <si>
    <t>Title 14</t>
  </si>
  <si>
    <t>D 14</t>
  </si>
  <si>
    <t>Impact and Effect 14</t>
  </si>
  <si>
    <t>Title 15</t>
  </si>
  <si>
    <t>D 15</t>
  </si>
  <si>
    <t>Impact and Effect 15</t>
  </si>
  <si>
    <t>Title 16</t>
  </si>
  <si>
    <t>D 16</t>
  </si>
  <si>
    <t>Impact and Effect 16</t>
  </si>
  <si>
    <t>Owner 16</t>
  </si>
  <si>
    <t>Title 17</t>
  </si>
  <si>
    <t>D 17</t>
  </si>
  <si>
    <t>Impact and Effect 17</t>
  </si>
  <si>
    <t>Title 18</t>
  </si>
  <si>
    <t>D 18</t>
  </si>
  <si>
    <t>Impact and Effect 18</t>
  </si>
  <si>
    <t>Title 19</t>
  </si>
  <si>
    <t>D 19</t>
  </si>
  <si>
    <t>Impact and Effect 19</t>
  </si>
  <si>
    <t>Title 20</t>
  </si>
  <si>
    <t>D 20</t>
  </si>
  <si>
    <t>Impact and Effect 20</t>
  </si>
  <si>
    <t>RAID Dashboard</t>
  </si>
  <si>
    <t>Total RAIDs</t>
  </si>
  <si>
    <t>Risks</t>
  </si>
  <si>
    <t>Assumptions</t>
  </si>
  <si>
    <t>Issues</t>
  </si>
  <si>
    <t>Dependencies</t>
  </si>
  <si>
    <t>Select RAID Type</t>
  </si>
  <si>
    <t>Count</t>
  </si>
  <si>
    <t>Mitigation</t>
  </si>
  <si>
    <t>Category Label Compact</t>
  </si>
  <si>
    <t>Count Compact</t>
  </si>
  <si>
    <t>Status Label</t>
  </si>
  <si>
    <t>Mitigation Label</t>
  </si>
  <si>
    <t>Category Label</t>
  </si>
  <si>
    <t>RAID Insights</t>
  </si>
  <si>
    <t>Filter</t>
  </si>
  <si>
    <t>RAID Type</t>
  </si>
  <si>
    <t>Total Open RAIDs</t>
  </si>
  <si>
    <t>Overdue Issues</t>
  </si>
  <si>
    <t>Open Risks</t>
  </si>
  <si>
    <t>Open Issues</t>
  </si>
  <si>
    <t>Open Dependencies</t>
  </si>
  <si>
    <t>Overdue Bucket</t>
  </si>
  <si>
    <t>Age Bucket</t>
  </si>
  <si>
    <t>1-7 days</t>
  </si>
  <si>
    <t>0-7 days</t>
  </si>
  <si>
    <t>8-14 days</t>
  </si>
  <si>
    <t>15-30 days</t>
  </si>
  <si>
    <t>Operational Analytics</t>
  </si>
  <si>
    <t>30+ days</t>
  </si>
  <si>
    <t>31-60 days</t>
  </si>
  <si>
    <t>60+ days</t>
  </si>
  <si>
    <t>Risk Analytics</t>
  </si>
  <si>
    <t>Risk Heatmap</t>
  </si>
  <si>
    <t>Impact \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</si>
</sst>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&quot;R-&quot;000"/>
  </numFmts>
  <fonts count="34"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0"/>
      <name val="MS Sans Serif"/>
      <family val="2"/>
      <charset val="1"/>
    </font>
    <font>
      <sz val="12"/>
      <color theme="3"/>
      <name val="Calibri"/>
      <family val="2"/>
      <charset val="1"/>
    </font>
    <font>
      <b/>
      <sz val="14"/>
      <color theme="3"/>
      <name val="Calibri"/>
      <family val="2"/>
      <charset val="1"/>
    </font>
    <font>
      <b/>
      <sz val="20"/>
      <color theme="0" tint="-0.34998626667073579"/>
      <name val="Arial"/>
      <family val="2"/>
      <charset val="1"/>
    </font>
    <font>
      <b/>
      <sz val="20"/>
      <color theme="4"/>
      <name val="Century Gothic"/>
      <family val="2"/>
      <charset val="1"/>
    </font>
    <font>
      <sz val="10"/>
      <color theme="1"/>
      <name val="Arial"/>
      <family val="2"/>
      <charset val="1"/>
    </font>
    <font>
      <sz val="10"/>
      <color theme="3"/>
      <name val="Arial"/>
      <family val="2"/>
      <charset val="1"/>
    </font>
    <font>
      <b/>
      <sz val="14"/>
      <color theme="4"/>
      <name val="Arial"/>
      <family val="2"/>
      <charset val="1"/>
    </font>
    <font>
      <sz val="14"/>
      <color theme="3"/>
      <name val="Arial"/>
      <family val="2"/>
      <charset val="1"/>
    </font>
    <font>
      <sz val="12"/>
      <color theme="1"/>
      <name val="Bahnschrift Light Condensed"/>
      <family val="2"/>
      <charset val="1"/>
    </font>
    <font>
      <b/>
      <sz val="11"/>
      <color theme="1"/>
      <name val="Arial"/>
      <family val="2"/>
      <charset val="1"/>
    </font>
    <font>
      <sz val="8"/>
      <color theme="3"/>
      <name val="Arial"/>
      <family val="2"/>
      <charset val="1"/>
    </font>
    <font>
      <sz val="9"/>
      <color theme="3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0"/>
      <color theme="0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theme="1" tint="0.24967192602313304"/>
      <name val="Arial"/>
      <family val="2"/>
      <charset val="1"/>
    </font>
    <font>
      <b/>
      <sz val="10"/>
      <color theme="0" tint="-4.9989318521683403E-2"/>
      <name val="Arial"/>
      <family val="2"/>
      <charset val="1"/>
    </font>
    <font>
      <b/>
      <sz val="40"/>
      <name val="Arial"/>
      <family val="2"/>
      <charset val="1"/>
    </font>
    <font>
      <b/>
      <sz val="13"/>
      <color theme="1"/>
      <name val="Calibri"/>
      <charset val="1"/>
    </font>
    <font>
      <b/>
      <sz val="12"/>
      <color theme="1"/>
      <name val="Calibri"/>
      <charset val="1"/>
    </font>
    <font>
      <b/>
      <sz val="11"/>
      <color theme="1"/>
      <name val="Calibri"/>
      <charset val="1"/>
    </font>
    <font>
      <b/>
      <sz val="28"/>
      <color theme="1"/>
      <name val="Calibri"/>
      <charset val="1"/>
    </font>
    <font>
      <b/>
      <sz val="22"/>
      <color theme="1"/>
      <name val="Calibri"/>
      <charset val="1"/>
    </font>
    <font>
      <sz val="9"/>
      <color theme="1"/>
      <name val="Calibri"/>
      <charset val="1"/>
    </font>
    <font>
      <i/>
      <sz val="10"/>
      <color theme="1"/>
      <name val="Calibri"/>
      <charset val="1"/>
    </font>
    <font>
      <b/>
      <sz val="16"/>
      <color rgb="FFFFFFFF"/>
      <name val="Cambria"/>
      <charset val="1"/>
    </font>
    <font>
      <b/>
      <sz val="11"/>
      <color rgb="FF355A4A"/>
      <name val="Cambria"/>
      <charset val="1"/>
    </font>
    <font>
      <b/>
      <sz val="11"/>
      <color rgb="FFFFFFFF"/>
      <name val="Cambria"/>
      <charset val="1"/>
    </font>
    <font>
      <b/>
      <sz val="18"/>
      <color rgb="FF355A4A"/>
      <name val="Cambria"/>
      <charset val="1"/>
    </font>
    <font>
      <sz val="10"/>
      <name val="Arial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theme="0" tint="-4.9989318521683403E-2"/>
        <bgColor rgb="FFE8F5E9"/>
      </patternFill>
    </fill>
    <fill>
      <patternFill patternType="solid">
        <fgColor theme="0"/>
        <bgColor rgb="FFF9F9F9"/>
      </patternFill>
    </fill>
    <fill>
      <patternFill patternType="solid">
        <fgColor rgb="FFFFFFD9"/>
        <bgColor rgb="FFFFFFCC"/>
      </patternFill>
    </fill>
    <fill>
      <patternFill patternType="solid">
        <fgColor rgb="FFFF5050"/>
        <bgColor rgb="FFFF5C5C"/>
      </patternFill>
    </fill>
    <fill>
      <patternFill patternType="solid">
        <fgColor theme="4" tint="-0.249977111117893"/>
        <bgColor rgb="FF50627F"/>
      </patternFill>
    </fill>
    <fill>
      <patternFill patternType="solid">
        <fgColor theme="0" tint="-0.14999847407452621"/>
        <bgColor rgb="FFD1DDD7"/>
      </patternFill>
    </fill>
    <fill>
      <patternFill patternType="solid">
        <fgColor rgb="FFFFC000"/>
        <bgColor rgb="FFFECB3C"/>
      </patternFill>
    </fill>
    <fill>
      <patternFill patternType="solid">
        <fgColor rgb="FFFFFFCC"/>
        <bgColor rgb="FFFFFFD9"/>
      </patternFill>
    </fill>
    <fill>
      <patternFill patternType="solid">
        <fgColor rgb="FF00CC66"/>
        <bgColor rgb="FF28B0C3"/>
      </patternFill>
    </fill>
    <fill>
      <patternFill patternType="solid">
        <fgColor rgb="FFFFCCCC"/>
        <bgColor rgb="FFF8D7DA"/>
      </patternFill>
    </fill>
    <fill>
      <patternFill patternType="solid">
        <fgColor theme="5" tint="0.39979247413556324"/>
        <bgColor rgb="FF98E1AD"/>
      </patternFill>
    </fill>
    <fill>
      <patternFill patternType="solid">
        <fgColor rgb="FF6F9D8A"/>
        <bgColor rgb="FF878D91"/>
      </patternFill>
    </fill>
    <fill>
      <patternFill patternType="solid">
        <fgColor rgb="FFE5F0EC"/>
        <bgColor rgb="FFE8F5E9"/>
      </patternFill>
    </fill>
    <fill>
      <patternFill patternType="solid">
        <fgColor theme="5" tint="0.79979857783745845"/>
        <bgColor rgb="FFE8F5E9"/>
      </patternFill>
    </fill>
    <fill>
      <patternFill patternType="solid">
        <fgColor rgb="FF8CB7A3"/>
        <bgColor rgb="FFA6A6A6"/>
      </patternFill>
    </fill>
    <fill>
      <patternFill patternType="solid">
        <fgColor rgb="FFF8D7DA"/>
        <bgColor rgb="FFFFCCCC"/>
      </patternFill>
    </fill>
    <fill>
      <patternFill patternType="solid">
        <fgColor rgb="FFFFF3CD"/>
        <bgColor rgb="FFFFFFCC"/>
      </patternFill>
    </fill>
    <fill>
      <patternFill patternType="solid">
        <fgColor rgb="FFC8E6C9"/>
        <bgColor rgb="FFD1DDD7"/>
      </patternFill>
    </fill>
    <fill>
      <patternFill patternType="solid">
        <fgColor rgb="FFE8F5E9"/>
        <bgColor rgb="FFE5F0EC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theme="2"/>
      </left>
      <right style="medium">
        <color theme="0" tint="-4.9989318521683403E-2"/>
      </right>
      <top style="thin">
        <color theme="2"/>
      </top>
      <bottom style="medium">
        <color theme="0" tint="-4.9989318521683403E-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2"/>
      </top>
      <bottom style="thin">
        <color theme="0" tint="-0.14999847407452621"/>
      </bottom>
      <diagonal/>
    </border>
    <border>
      <left/>
      <right style="thin">
        <color theme="0" tint="-4.9989318521683403E-2"/>
      </right>
      <top/>
      <bottom style="thin">
        <color theme="0" tint="-0.14999847407452621"/>
      </bottom>
      <diagonal/>
    </border>
    <border>
      <left/>
      <right style="medium">
        <color theme="0"/>
      </right>
      <top style="thin">
        <color theme="0" tint="-4.9989318521683403E-2"/>
      </top>
      <bottom style="thin">
        <color theme="0" tint="-0.14999847407452621"/>
      </bottom>
      <diagonal/>
    </border>
    <border>
      <left style="medium">
        <color theme="0" tint="-4.9989318521683403E-2"/>
      </left>
      <right style="thick">
        <color theme="0"/>
      </right>
      <top style="medium">
        <color theme="0" tint="-4.9989318521683403E-2"/>
      </top>
      <bottom style="thick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theme="0" tint="-4.9989318521683403E-2"/>
      </bottom>
      <diagonal/>
    </border>
    <border>
      <left style="thin">
        <color theme="0" tint="-0.14999847407452621"/>
      </left>
      <right/>
      <top/>
      <bottom style="medium">
        <color theme="0" tint="-4.9989318521683403E-2"/>
      </bottom>
      <diagonal/>
    </border>
    <border>
      <left style="thin">
        <color theme="2"/>
      </left>
      <right style="thin">
        <color theme="0" tint="-0.14999847407452621"/>
      </right>
      <top style="thin">
        <color theme="0" tint="-0.14999847407452621"/>
      </top>
      <bottom style="thin">
        <color theme="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0" tint="-4.9989318521683403E-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2"/>
      </bottom>
      <diagonal/>
    </border>
    <border>
      <left/>
      <right style="medium">
        <color theme="0" tint="-4.9989318521683403E-2"/>
      </right>
      <top style="thin">
        <color theme="0" tint="-0.14999847407452621"/>
      </top>
      <bottom style="thin">
        <color theme="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0" tint="-0.14999847407452621"/>
      </left>
      <right/>
      <top/>
      <bottom style="thin">
        <color theme="1" tint="0.49967955565050204"/>
      </bottom>
      <diagonal/>
    </border>
    <border>
      <left/>
      <right style="thick">
        <color theme="0"/>
      </right>
      <top/>
      <bottom style="thin">
        <color theme="1" tint="0.49967955565050204"/>
      </bottom>
      <diagonal/>
    </border>
    <border>
      <left style="thick">
        <color theme="0"/>
      </left>
      <right style="thick">
        <color theme="0"/>
      </right>
      <top/>
      <bottom style="thin">
        <color theme="1" tint="0.49967955565050204"/>
      </bottom>
      <diagonal/>
    </border>
    <border>
      <left style="thick">
        <color theme="0"/>
      </left>
      <right style="medium">
        <color theme="0" tint="-0.14999847407452621"/>
      </right>
      <top/>
      <bottom style="thin">
        <color theme="1" tint="0.49967955565050204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1" tint="0.49967955565050204"/>
      </top>
      <bottom style="thin">
        <color theme="1" tint="0.4996795556505020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 tint="0.49967955565050204"/>
      </top>
      <bottom style="thin">
        <color theme="1" tint="0.49967955565050204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1" tint="0.49967955565050204"/>
      </top>
      <bottom style="thin">
        <color theme="1" tint="0.4996795556505020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D8E5DF"/>
      </right>
      <top style="medium">
        <color auto="1"/>
      </top>
      <bottom style="thin">
        <color rgb="FFD8E5DF"/>
      </bottom>
      <diagonal/>
    </border>
    <border>
      <left style="thin">
        <color rgb="FFD8E5DF"/>
      </left>
      <right style="thin">
        <color rgb="FFD8E5DF"/>
      </right>
      <top style="medium">
        <color auto="1"/>
      </top>
      <bottom style="thin">
        <color rgb="FFD8E5DF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rgb="FFD8E5DF"/>
      </right>
      <top style="thin">
        <color rgb="FFD8E5DF"/>
      </top>
      <bottom style="medium">
        <color auto="1"/>
      </bottom>
      <diagonal/>
    </border>
    <border>
      <left style="thin">
        <color rgb="FFD8E5DF"/>
      </left>
      <right style="medium">
        <color auto="1"/>
      </right>
      <top style="thin">
        <color rgb="FFD8E5DF"/>
      </top>
      <bottom style="medium">
        <color auto="1"/>
      </bottom>
      <diagonal/>
    </border>
    <border>
      <left style="medium">
        <color auto="1"/>
      </left>
      <right style="thin">
        <color rgb="FFD8E5DF"/>
      </right>
      <top style="thin">
        <color rgb="FFD8E5DF"/>
      </top>
      <bottom style="thin">
        <color rgb="FFD8E5DF"/>
      </bottom>
      <diagonal/>
    </border>
    <border>
      <left style="thin">
        <color rgb="FFD8E5DF"/>
      </left>
      <right style="thin">
        <color rgb="FFD8E5DF"/>
      </right>
      <top style="thin">
        <color rgb="FFD8E5DF"/>
      </top>
      <bottom style="thin">
        <color rgb="FFD8E5DF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D8E5DF"/>
      </left>
      <right style="thin">
        <color rgb="FFD8E5DF"/>
      </right>
      <top/>
      <bottom style="thin">
        <color rgb="FFD8E5DF"/>
      </bottom>
      <diagonal/>
    </border>
    <border>
      <left style="thin">
        <color rgb="FFD1DDD7"/>
      </left>
      <right style="thin">
        <color rgb="FFD1DDD7"/>
      </right>
      <top style="thin">
        <color rgb="FFD1DDD7"/>
      </top>
      <bottom style="thin">
        <color rgb="FFD1DDD7"/>
      </bottom>
      <diagonal/>
    </border>
  </borders>
  <cellStyleXfs count="9">
    <xf numFmtId="0" fontId="0" fillId="0" borderId="0"/>
    <xf numFmtId="164" fontId="1" fillId="0" borderId="0"/>
    <xf numFmtId="164" fontId="1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1" fillId="0" borderId="0"/>
    <xf numFmtId="9" fontId="33" fillId="0" borderId="0"/>
  </cellStyleXfs>
  <cellXfs count="121">
    <xf numFmtId="0" fontId="0" fillId="0" borderId="0" xfId="0"/>
    <xf numFmtId="0" fontId="29" fillId="1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center" vertical="center"/>
    </xf>
    <xf numFmtId="0" fontId="26" fillId="14" borderId="34" xfId="0" applyFont="1" applyFill="1" applyBorder="1" applyAlignment="1">
      <alignment horizontal="center" vertical="center"/>
    </xf>
    <xf numFmtId="0" fontId="25" fillId="13" borderId="33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14" borderId="31" xfId="0" applyFont="1" applyFill="1" applyBorder="1" applyAlignment="1">
      <alignment horizontal="center" vertical="center"/>
    </xf>
    <xf numFmtId="0" fontId="23" fillId="14" borderId="29" xfId="0" applyFont="1" applyFill="1" applyBorder="1" applyAlignment="1">
      <alignment horizontal="center" vertical="center"/>
    </xf>
    <xf numFmtId="0" fontId="22" fillId="13" borderId="28" xfId="0" applyFont="1" applyFill="1" applyBorder="1" applyAlignment="1">
      <alignment horizontal="center" vertical="center"/>
    </xf>
    <xf numFmtId="0" fontId="21" fillId="12" borderId="27" xfId="0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164" fontId="10" fillId="3" borderId="4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165" fontId="7" fillId="3" borderId="5" xfId="0" applyNumberFormat="1" applyFont="1" applyFill="1" applyBorder="1" applyAlignment="1">
      <alignment horizontal="center" vertical="center"/>
    </xf>
    <xf numFmtId="164" fontId="11" fillId="3" borderId="6" xfId="0" applyNumberFormat="1" applyFont="1" applyFill="1" applyBorder="1" applyAlignment="1">
      <alignment horizontal="left" vertical="center" wrapText="1"/>
    </xf>
    <xf numFmtId="0" fontId="12" fillId="4" borderId="7" xfId="0" applyFont="1" applyFill="1" applyBorder="1" applyAlignment="1">
      <alignment horizontal="center" vertical="center"/>
    </xf>
    <xf numFmtId="164" fontId="13" fillId="3" borderId="8" xfId="0" applyNumberFormat="1" applyFont="1" applyFill="1" applyBorder="1" applyAlignment="1">
      <alignment horizontal="center" vertical="center"/>
    </xf>
    <xf numFmtId="164" fontId="8" fillId="3" borderId="8" xfId="0" applyNumberFormat="1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8" fillId="3" borderId="12" xfId="0" applyNumberFormat="1" applyFont="1" applyFill="1" applyBorder="1" applyAlignment="1">
      <alignment horizontal="left" vertical="center"/>
    </xf>
    <xf numFmtId="164" fontId="14" fillId="3" borderId="13" xfId="0" applyNumberFormat="1" applyFont="1" applyFill="1" applyBorder="1" applyAlignment="1">
      <alignment horizontal="left" vertical="center"/>
    </xf>
    <xf numFmtId="0" fontId="15" fillId="4" borderId="7" xfId="0" applyFont="1" applyFill="1" applyBorder="1" applyAlignment="1">
      <alignment horizontal="center" vertical="center"/>
    </xf>
    <xf numFmtId="9" fontId="1" fillId="0" borderId="0" xfId="0" applyNumberFormat="1" applyFont="1"/>
    <xf numFmtId="164" fontId="8" fillId="3" borderId="14" xfId="0" applyNumberFormat="1" applyFont="1" applyFill="1" applyBorder="1" applyAlignment="1">
      <alignment horizontal="left" vertical="center"/>
    </xf>
    <xf numFmtId="164" fontId="8" fillId="3" borderId="15" xfId="0" applyNumberFormat="1" applyFont="1" applyFill="1" applyBorder="1" applyAlignment="1">
      <alignment horizontal="left" vertical="center"/>
    </xf>
    <xf numFmtId="164" fontId="14" fillId="3" borderId="16" xfId="0" applyNumberFormat="1" applyFont="1" applyFill="1" applyBorder="1" applyAlignment="1">
      <alignment horizontal="left" vertical="center"/>
    </xf>
    <xf numFmtId="0" fontId="1" fillId="3" borderId="0" xfId="0" applyFont="1" applyFill="1"/>
    <xf numFmtId="0" fontId="1" fillId="0" borderId="0" xfId="0" applyFont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/>
    <xf numFmtId="9" fontId="1" fillId="2" borderId="0" xfId="0" applyNumberFormat="1" applyFont="1" applyFill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7" fillId="6" borderId="1" xfId="0" applyFont="1" applyFill="1" applyBorder="1" applyAlignment="1">
      <alignment horizontal="left" vertical="center" wrapText="1"/>
    </xf>
    <xf numFmtId="164" fontId="17" fillId="6" borderId="1" xfId="0" applyNumberFormat="1" applyFont="1" applyFill="1" applyBorder="1" applyAlignment="1">
      <alignment horizontal="center" vertical="center"/>
    </xf>
    <xf numFmtId="164" fontId="17" fillId="6" borderId="18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9" fontId="17" fillId="6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9" fontId="18" fillId="2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9" fillId="0" borderId="1" xfId="0" applyFont="1" applyBorder="1"/>
    <xf numFmtId="0" fontId="1" fillId="0" borderId="1" xfId="0" applyFont="1" applyBorder="1"/>
    <xf numFmtId="0" fontId="7" fillId="11" borderId="1" xfId="0" applyFont="1" applyFill="1" applyBorder="1"/>
    <xf numFmtId="0" fontId="7" fillId="11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9" fillId="0" borderId="0" xfId="0" applyFont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18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164" fontId="18" fillId="0" borderId="22" xfId="0" applyNumberFormat="1" applyFont="1" applyBorder="1" applyAlignment="1">
      <alignment horizontal="center" vertical="center"/>
    </xf>
    <xf numFmtId="164" fontId="18" fillId="0" borderId="22" xfId="0" applyNumberFormat="1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64" fontId="7" fillId="0" borderId="25" xfId="0" applyNumberFormat="1" applyFont="1" applyBorder="1" applyAlignment="1">
      <alignment vertical="center" wrapText="1"/>
    </xf>
    <xf numFmtId="164" fontId="7" fillId="0" borderId="25" xfId="0" applyNumberFormat="1" applyFont="1" applyBorder="1" applyAlignment="1">
      <alignment horizontal="left" vertical="center" wrapText="1"/>
    </xf>
    <xf numFmtId="1" fontId="7" fillId="0" borderId="25" xfId="0" applyNumberFormat="1" applyFont="1" applyBorder="1" applyAlignment="1">
      <alignment horizontal="center" vertical="center" wrapText="1"/>
    </xf>
    <xf numFmtId="14" fontId="7" fillId="0" borderId="25" xfId="0" applyNumberFormat="1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19" fillId="0" borderId="0" xfId="0" applyFont="1" applyAlignment="1">
      <alignment wrapText="1"/>
    </xf>
    <xf numFmtId="0" fontId="7" fillId="0" borderId="0" xfId="0" applyFont="1" applyAlignment="1">
      <alignment horizontal="left"/>
    </xf>
    <xf numFmtId="1" fontId="0" fillId="0" borderId="0" xfId="0" applyNumberFormat="1"/>
    <xf numFmtId="14" fontId="0" fillId="0" borderId="0" xfId="0" applyNumberFormat="1"/>
    <xf numFmtId="14" fontId="1" fillId="0" borderId="0" xfId="0" applyNumberFormat="1" applyFont="1"/>
    <xf numFmtId="0" fontId="0" fillId="12" borderId="30" xfId="0" applyFill="1" applyBorder="1"/>
    <xf numFmtId="0" fontId="0" fillId="12" borderId="0" xfId="0" applyFill="1"/>
    <xf numFmtId="0" fontId="0" fillId="12" borderId="35" xfId="0" applyFill="1" applyBorder="1"/>
    <xf numFmtId="0" fontId="0" fillId="15" borderId="36" xfId="0" applyFill="1" applyBorder="1"/>
    <xf numFmtId="0" fontId="0" fillId="15" borderId="0" xfId="0" applyFill="1"/>
    <xf numFmtId="0" fontId="0" fillId="15" borderId="37" xfId="0" applyFill="1" applyBorder="1"/>
    <xf numFmtId="0" fontId="27" fillId="15" borderId="0" xfId="0" applyFont="1" applyFill="1"/>
    <xf numFmtId="0" fontId="1" fillId="15" borderId="36" xfId="0" applyFont="1" applyFill="1" applyBorder="1"/>
    <xf numFmtId="0" fontId="1" fillId="15" borderId="0" xfId="0" applyFont="1" applyFill="1"/>
    <xf numFmtId="0" fontId="28" fillId="15" borderId="36" xfId="0" applyFont="1" applyFill="1" applyBorder="1" applyAlignment="1">
      <alignment horizontal="center" vertical="center"/>
    </xf>
    <xf numFmtId="0" fontId="28" fillId="15" borderId="0" xfId="0" applyFont="1" applyFill="1" applyAlignment="1">
      <alignment horizontal="center" vertical="center"/>
    </xf>
    <xf numFmtId="0" fontId="1" fillId="15" borderId="38" xfId="0" applyFont="1" applyFill="1" applyBorder="1"/>
    <xf numFmtId="0" fontId="1" fillId="15" borderId="35" xfId="0" applyFont="1" applyFill="1" applyBorder="1"/>
    <xf numFmtId="0" fontId="0" fillId="15" borderId="39" xfId="0" applyFill="1" applyBorder="1"/>
    <xf numFmtId="0" fontId="1" fillId="3" borderId="40" xfId="0" applyFont="1" applyFill="1" applyBorder="1"/>
    <xf numFmtId="0" fontId="1" fillId="3" borderId="34" xfId="0" applyFont="1" applyFill="1" applyBorder="1"/>
    <xf numFmtId="0" fontId="30" fillId="14" borderId="41" xfId="0" applyFont="1" applyFill="1" applyBorder="1" applyAlignment="1">
      <alignment horizontal="center" vertical="center" wrapText="1"/>
    </xf>
    <xf numFmtId="0" fontId="0" fillId="14" borderId="41" xfId="0" applyFill="1" applyBorder="1" applyAlignment="1">
      <alignment horizontal="center" vertical="center" wrapText="1"/>
    </xf>
    <xf numFmtId="0" fontId="30" fillId="3" borderId="41" xfId="0" applyFont="1" applyFill="1" applyBorder="1" applyAlignment="1">
      <alignment horizontal="center" vertical="center" wrapText="1"/>
    </xf>
    <xf numFmtId="0" fontId="30" fillId="0" borderId="0" xfId="0" applyFont="1"/>
    <xf numFmtId="0" fontId="30" fillId="0" borderId="0" xfId="0" applyFont="1" applyAlignment="1">
      <alignment horizontal="center" vertical="center" wrapText="1"/>
    </xf>
    <xf numFmtId="0" fontId="0" fillId="17" borderId="41" xfId="0" applyFill="1" applyBorder="1" applyAlignment="1">
      <alignment horizontal="center" vertical="center" wrapText="1"/>
    </xf>
    <xf numFmtId="0" fontId="0" fillId="18" borderId="41" xfId="0" applyFill="1" applyBorder="1" applyAlignment="1">
      <alignment horizontal="center" vertical="center" wrapText="1"/>
    </xf>
    <xf numFmtId="0" fontId="0" fillId="19" borderId="41" xfId="0" applyFill="1" applyBorder="1" applyAlignment="1">
      <alignment horizontal="center" vertical="center" wrapText="1"/>
    </xf>
    <xf numFmtId="0" fontId="0" fillId="20" borderId="41" xfId="0" applyFill="1" applyBorder="1" applyAlignment="1">
      <alignment horizontal="center" vertical="center" wrapText="1"/>
    </xf>
    <xf numFmtId="0" fontId="31" fillId="16" borderId="41" xfId="0" applyFont="1" applyFill="1" applyBorder="1" applyAlignment="1">
      <alignment horizontal="center" vertical="center" wrapText="1"/>
    </xf>
    <xf numFmtId="0" fontId="32" fillId="14" borderId="41" xfId="0" applyFont="1" applyFill="1" applyBorder="1" applyAlignment="1">
      <alignment horizontal="center" vertical="center" wrapText="1"/>
    </xf>
  </cellXfs>
  <cellStyles count="9">
    <cellStyle name="Comma 2" xfId="1" xr:uid="{00000000-0005-0000-0000-000006000000}"/>
    <cellStyle name="Comma 4 5" xfId="2" xr:uid="{00000000-0005-0000-0000-000007000000}"/>
    <cellStyle name="Normal" xfId="0" builtinId="0"/>
    <cellStyle name="Normal 2" xfId="3" xr:uid="{00000000-0005-0000-0000-000008000000}"/>
    <cellStyle name="Normal 2 2" xfId="4" xr:uid="{00000000-0005-0000-0000-000009000000}"/>
    <cellStyle name="Normal 2 2 2" xfId="5" xr:uid="{00000000-0005-0000-0000-00000A000000}"/>
    <cellStyle name="Normal 3" xfId="6" xr:uid="{00000000-0005-0000-0000-00000B000000}"/>
    <cellStyle name="Normal 4 5" xfId="7" xr:uid="{00000000-0005-0000-0000-00000C000000}"/>
    <cellStyle name="Percent 2" xfId="8" xr:uid="{00000000-0005-0000-0000-00000D000000}"/>
  </cellStyles>
  <dxfs count="24">
    <dxf>
      <fill>
        <patternFill>
          <bgColor rgb="FFFF5C5C"/>
        </patternFill>
      </fill>
    </dxf>
    <dxf>
      <fill>
        <patternFill>
          <bgColor rgb="FFF28C45"/>
        </patternFill>
      </fill>
    </dxf>
    <dxf>
      <fill>
        <patternFill>
          <bgColor rgb="FFF2C744"/>
        </patternFill>
      </fill>
    </dxf>
    <dxf>
      <fill>
        <patternFill>
          <bgColor rgb="FF63D356"/>
        </patternFill>
      </fill>
    </dxf>
    <dxf>
      <font>
        <color rgb="FFFFFFFF"/>
        <name val="Arial"/>
        <family val="2"/>
        <charset val="1"/>
      </font>
      <fill>
        <patternFill>
          <bgColor rgb="FF54D454"/>
        </patternFill>
      </fill>
    </dxf>
    <dxf>
      <font>
        <color rgb="FFFFFFFF"/>
        <name val="Arial"/>
        <family val="2"/>
        <charset val="1"/>
      </font>
      <fill>
        <patternFill>
          <bgColor rgb="FF92D050"/>
        </patternFill>
      </fill>
    </dxf>
    <dxf>
      <font>
        <color rgb="FFFFFFFF"/>
        <name val="Arial"/>
        <family val="2"/>
        <charset val="1"/>
      </font>
      <fill>
        <patternFill>
          <bgColor rgb="FFFECB3C"/>
        </patternFill>
      </fill>
    </dxf>
    <dxf>
      <font>
        <color rgb="FFFFFFFF"/>
        <name val="Arial"/>
        <family val="2"/>
        <charset val="1"/>
      </font>
      <fill>
        <patternFill>
          <bgColor rgb="FFFF843F"/>
        </patternFill>
      </fill>
    </dxf>
    <dxf>
      <font>
        <color rgb="FFFFFFFF"/>
        <name val="Arial"/>
        <family val="2"/>
        <charset val="1"/>
      </font>
      <fill>
        <patternFill>
          <bgColor rgb="FFFF5050"/>
        </patternFill>
      </fill>
    </dxf>
    <dxf>
      <font>
        <color rgb="FFFFFFFF"/>
        <name val="Arial"/>
        <family val="2"/>
        <charset val="1"/>
      </font>
      <fill>
        <patternFill>
          <bgColor rgb="FF54D454"/>
        </patternFill>
      </fill>
    </dxf>
    <dxf>
      <font>
        <color rgb="FFFFFFFF"/>
        <name val="Arial"/>
        <family val="2"/>
        <charset val="1"/>
      </font>
      <fill>
        <patternFill>
          <bgColor rgb="FF92D050"/>
        </patternFill>
      </fill>
    </dxf>
    <dxf>
      <font>
        <color rgb="FFFFFFFF"/>
        <name val="Arial"/>
        <family val="2"/>
        <charset val="1"/>
      </font>
      <fill>
        <patternFill>
          <bgColor rgb="FFFECB3C"/>
        </patternFill>
      </fill>
    </dxf>
    <dxf>
      <font>
        <color rgb="FFFFFFFF"/>
        <name val="Arial"/>
        <family val="2"/>
        <charset val="1"/>
      </font>
      <fill>
        <patternFill>
          <bgColor rgb="FFFF843F"/>
        </patternFill>
      </fill>
    </dxf>
    <dxf>
      <font>
        <color rgb="FFFFFFFF"/>
        <name val="Arial"/>
        <family val="2"/>
        <charset val="1"/>
      </font>
      <fill>
        <patternFill>
          <bgColor rgb="FFFF5050"/>
        </patternFill>
      </fill>
    </dxf>
    <dxf>
      <font>
        <color rgb="FF54D454"/>
        <name val="Arial"/>
        <family val="2"/>
        <charset val="1"/>
      </font>
    </dxf>
    <dxf>
      <font>
        <color rgb="FFA4CF48"/>
        <name val="Arial"/>
        <family val="2"/>
        <charset val="1"/>
      </font>
    </dxf>
    <dxf>
      <font>
        <color rgb="FFFECB3C"/>
        <name val="Arial"/>
        <family val="2"/>
        <charset val="1"/>
      </font>
    </dxf>
    <dxf>
      <font>
        <color rgb="FFFF843F"/>
        <name val="Arial"/>
        <family val="2"/>
        <charset val="1"/>
      </font>
    </dxf>
    <dxf>
      <font>
        <color rgb="FFFF5050"/>
        <name val="Arial"/>
        <family val="2"/>
        <charset val="1"/>
      </font>
    </dxf>
    <dxf>
      <font>
        <color rgb="FFFFFFFF"/>
        <name val="Arial"/>
        <family val="2"/>
        <charset val="1"/>
      </font>
      <fill>
        <patternFill>
          <bgColor rgb="FF54D454"/>
        </patternFill>
      </fill>
    </dxf>
    <dxf>
      <font>
        <color rgb="FFFFFFFF"/>
        <name val="Arial"/>
        <family val="2"/>
        <charset val="1"/>
      </font>
      <fill>
        <patternFill>
          <bgColor rgb="FF92D050"/>
        </patternFill>
      </fill>
    </dxf>
    <dxf>
      <font>
        <color rgb="FFFFFFFF"/>
        <name val="Arial"/>
        <family val="2"/>
        <charset val="1"/>
      </font>
      <fill>
        <patternFill>
          <bgColor rgb="FFFECB3C"/>
        </patternFill>
      </fill>
    </dxf>
    <dxf>
      <font>
        <color rgb="FFFFFFFF"/>
        <name val="Arial"/>
        <family val="2"/>
        <charset val="1"/>
      </font>
      <fill>
        <patternFill>
          <bgColor rgb="FFFF843F"/>
        </patternFill>
      </fill>
    </dxf>
    <dxf>
      <font>
        <color rgb="FFFFFFFF"/>
        <name val="Arial"/>
        <family val="2"/>
        <charset val="1"/>
      </font>
      <fill>
        <patternFill>
          <bgColor rgb="FFFF5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5050"/>
      <rgbColor rgb="FF00CC66"/>
      <rgbColor rgb="FFF2F2F2"/>
      <rgbColor rgb="FFFECB3C"/>
      <rgbColor rgb="FFD9D9D9"/>
      <rgbColor rgb="FF5BD788"/>
      <rgbColor rgb="FFDDE9F5"/>
      <rgbColor rgb="FF63D356"/>
      <rgbColor rgb="FFFFFFD9"/>
      <rgbColor rgb="FF787D81"/>
      <rgbColor rgb="FF98E1AD"/>
      <rgbColor rgb="FF50627F"/>
      <rgbColor rgb="FFB3B3B3"/>
      <rgbColor rgb="FF808080"/>
      <rgbColor rgb="FF8394B1"/>
      <rgbColor rgb="FFA26668"/>
      <rgbColor rgb="FFFFFFCC"/>
      <rgbColor rgb="FFDEF7E7"/>
      <rgbColor rgb="FFE7E6E6"/>
      <rgbColor rgb="FFFF843F"/>
      <rgbColor rgb="FF8CB7A3"/>
      <rgbColor rgb="FFC4CFDA"/>
      <rgbColor rgb="FF000080"/>
      <rgbColor rgb="FFD1DDD7"/>
      <rgbColor rgb="FFF2C744"/>
      <rgbColor rgb="FF54D454"/>
      <rgbColor rgb="FFD8E5DF"/>
      <rgbColor rgb="FFE5F0EC"/>
      <rgbColor rgb="FF6F9D8A"/>
      <rgbColor rgb="FFF9F9F9"/>
      <rgbColor rgb="FF28B0C3"/>
      <rgbColor rgb="FFE8F5E9"/>
      <rgbColor rgb="FFC8E6C9"/>
      <rgbColor rgb="FFFFF3CD"/>
      <rgbColor rgb="FF9DE7B8"/>
      <rgbColor rgb="FFF8D7DA"/>
      <rgbColor rgb="FFADB0B2"/>
      <rgbColor rgb="FFFFCCCC"/>
      <rgbColor rgb="FF4C84E3"/>
      <rgbColor rgb="FF2EC6DB"/>
      <rgbColor rgb="FFA4CF48"/>
      <rgbColor rgb="FFFFC000"/>
      <rgbColor rgb="FFF28C45"/>
      <rgbColor rgb="FFFF5C5C"/>
      <rgbColor rgb="FF607598"/>
      <rgbColor rgb="FF878D91"/>
      <rgbColor rgb="FFA6A6A6"/>
      <rgbColor rgb="FF51BF79"/>
      <rgbColor rgb="FF92D050"/>
      <rgbColor rgb="FF355A4A"/>
      <rgbColor rgb="FFB67375"/>
      <rgbColor rgb="FF646A6E"/>
      <rgbColor rgb="FF44546A"/>
      <rgbColor rgb="FF2932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'Risk Management Dashboard'!$AV$88</c:f>
              <c:strCache>
                <c:ptCount val="1"/>
                <c:pt idx="0">
                  <c:v>0 Very High</c:v>
                </c:pt>
              </c:strCache>
            </c:strRef>
          </c:tx>
          <c:spPr>
            <a:solidFill>
              <a:srgbClr val="FF5050"/>
            </a:solidFill>
            <a:ln w="19080">
              <a:solidFill>
                <a:srgbClr val="F2F2F2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293241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'Risk Management Dashboard'!$AU$89:$AU$95</c:f>
              <c:numCache>
                <c:formatCode>General</c:formatCode>
                <c:ptCount val="7"/>
              </c:numCache>
            </c:numRef>
          </c:cat>
          <c:val>
            <c:numRef>
              <c:f>'Risk Management Dashboard'!$AV$89:$AV$95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B-49BE-A2CC-781686EE64A3}"/>
            </c:ext>
          </c:extLst>
        </c:ser>
        <c:ser>
          <c:idx val="1"/>
          <c:order val="1"/>
          <c:tx>
            <c:strRef>
              <c:f>'Risk Management Dashboard'!$AW$88</c:f>
              <c:strCache>
                <c:ptCount val="1"/>
                <c:pt idx="0">
                  <c:v>0 High Risk</c:v>
                </c:pt>
              </c:strCache>
            </c:strRef>
          </c:tx>
          <c:spPr>
            <a:solidFill>
              <a:srgbClr val="FF843F"/>
            </a:solidFill>
            <a:ln w="19080">
              <a:solidFill>
                <a:srgbClr val="F2F2F2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293241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'Risk Management Dashboard'!$AU$89:$AU$95</c:f>
              <c:numCache>
                <c:formatCode>General</c:formatCode>
                <c:ptCount val="7"/>
              </c:numCache>
            </c:numRef>
          </c:cat>
          <c:val>
            <c:numRef>
              <c:f>'Risk Management Dashboard'!$AW$89:$AW$95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4B-49BE-A2CC-781686EE64A3}"/>
            </c:ext>
          </c:extLst>
        </c:ser>
        <c:ser>
          <c:idx val="2"/>
          <c:order val="2"/>
          <c:tx>
            <c:strRef>
              <c:f>'Risk Management Dashboard'!$AX$88</c:f>
              <c:strCache>
                <c:ptCount val="1"/>
                <c:pt idx="0">
                  <c:v>0 Medium Risk</c:v>
                </c:pt>
              </c:strCache>
            </c:strRef>
          </c:tx>
          <c:spPr>
            <a:solidFill>
              <a:srgbClr val="FECB3C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293241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'Risk Management Dashboard'!$AU$89:$AU$95</c:f>
              <c:numCache>
                <c:formatCode>General</c:formatCode>
                <c:ptCount val="7"/>
              </c:numCache>
            </c:numRef>
          </c:cat>
          <c:val>
            <c:numRef>
              <c:f>'Risk Management Dashboard'!$AX$89:$AX$95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4B-49BE-A2CC-781686EE64A3}"/>
            </c:ext>
          </c:extLst>
        </c:ser>
        <c:ser>
          <c:idx val="3"/>
          <c:order val="3"/>
          <c:tx>
            <c:strRef>
              <c:f>'Risk Management Dashboard'!$AY$88</c:f>
              <c:strCache>
                <c:ptCount val="1"/>
                <c:pt idx="0">
                  <c:v>0 Low Risk</c:v>
                </c:pt>
              </c:strCache>
            </c:strRef>
          </c:tx>
          <c:spPr>
            <a:solidFill>
              <a:srgbClr val="A4CF48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293241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'Risk Management Dashboard'!$AU$89:$AU$95</c:f>
              <c:numCache>
                <c:formatCode>General</c:formatCode>
                <c:ptCount val="7"/>
              </c:numCache>
            </c:numRef>
          </c:cat>
          <c:val>
            <c:numRef>
              <c:f>'Risk Management Dashboard'!$AY$89:$AY$95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4B-49BE-A2CC-781686EE64A3}"/>
            </c:ext>
          </c:extLst>
        </c:ser>
        <c:ser>
          <c:idx val="4"/>
          <c:order val="4"/>
          <c:tx>
            <c:strRef>
              <c:f>'Risk Management Dashboard'!$AZ$88</c:f>
              <c:strCache>
                <c:ptCount val="1"/>
                <c:pt idx="0">
                  <c:v>0 Very Low Risk</c:v>
                </c:pt>
              </c:strCache>
            </c:strRef>
          </c:tx>
          <c:spPr>
            <a:solidFill>
              <a:srgbClr val="54D45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293241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'Risk Management Dashboard'!$AU$89:$AU$95</c:f>
              <c:numCache>
                <c:formatCode>General</c:formatCode>
                <c:ptCount val="7"/>
              </c:numCache>
            </c:numRef>
          </c:cat>
          <c:val>
            <c:numRef>
              <c:f>'Risk Management Dashboard'!$AZ$89:$AZ$95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4B-49BE-A2CC-781686EE6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82607703"/>
        <c:axId val="78118350"/>
      </c:barChart>
      <c:catAx>
        <c:axId val="826077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607598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607598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78118350"/>
        <c:crosses val="autoZero"/>
        <c:auto val="1"/>
        <c:lblAlgn val="ctr"/>
        <c:lblOffset val="100"/>
        <c:noMultiLvlLbl val="0"/>
      </c:catAx>
      <c:valAx>
        <c:axId val="7811835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26077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'Risk Management Dashboard'!$AV$77</c:f>
              <c:strCache>
                <c:ptCount val="1"/>
                <c:pt idx="0">
                  <c:v> Critical </c:v>
                </c:pt>
              </c:strCache>
            </c:strRef>
          </c:tx>
          <c:spPr>
            <a:solidFill>
              <a:srgbClr val="FF5050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u="none" strike="noStrike">
                    <a:solidFill>
                      <a:srgbClr val="FFFFFF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'Risk Management Dashboard'!$AU$101:$AU$105</c:f>
              <c:strCache>
                <c:ptCount val="5"/>
                <c:pt idx="0">
                  <c:v>Avoid</c:v>
                </c:pt>
                <c:pt idx="1">
                  <c:v>Escalate</c:v>
                </c:pt>
                <c:pt idx="2">
                  <c:v>Transfer</c:v>
                </c:pt>
                <c:pt idx="3">
                  <c:v>Mitigate</c:v>
                </c:pt>
                <c:pt idx="4">
                  <c:v>Accept</c:v>
                </c:pt>
              </c:strCache>
            </c:strRef>
          </c:cat>
          <c:val>
            <c:numRef>
              <c:f>'Risk Management Dashboard'!$AV$101:$AV$105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C-413C-9EE2-E6285B6CDFFE}"/>
            </c:ext>
          </c:extLst>
        </c:ser>
        <c:ser>
          <c:idx val="1"/>
          <c:order val="1"/>
          <c:tx>
            <c:strRef>
              <c:f>'Risk Management Dashboard'!$AW$77</c:f>
              <c:strCache>
                <c:ptCount val="1"/>
                <c:pt idx="0">
                  <c:v> High </c:v>
                </c:pt>
              </c:strCache>
            </c:strRef>
          </c:tx>
          <c:spPr>
            <a:solidFill>
              <a:srgbClr val="FF843F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u="none" strike="noStrike">
                    <a:solidFill>
                      <a:srgbClr val="FFFFFF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'Risk Management Dashboard'!$AU$101:$AU$105</c:f>
              <c:strCache>
                <c:ptCount val="5"/>
                <c:pt idx="0">
                  <c:v>Avoid</c:v>
                </c:pt>
                <c:pt idx="1">
                  <c:v>Escalate</c:v>
                </c:pt>
                <c:pt idx="2">
                  <c:v>Transfer</c:v>
                </c:pt>
                <c:pt idx="3">
                  <c:v>Mitigate</c:v>
                </c:pt>
                <c:pt idx="4">
                  <c:v>Accept</c:v>
                </c:pt>
              </c:strCache>
            </c:strRef>
          </c:cat>
          <c:val>
            <c:numRef>
              <c:f>'Risk Management Dashboard'!$AW$101:$AW$105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AC-413C-9EE2-E6285B6CDFFE}"/>
            </c:ext>
          </c:extLst>
        </c:ser>
        <c:ser>
          <c:idx val="2"/>
          <c:order val="2"/>
          <c:tx>
            <c:strRef>
              <c:f>'Risk Management Dashboard'!$AX$77</c:f>
              <c:strCache>
                <c:ptCount val="1"/>
                <c:pt idx="0">
                  <c:v> Moderate </c:v>
                </c:pt>
              </c:strCache>
            </c:strRef>
          </c:tx>
          <c:spPr>
            <a:solidFill>
              <a:srgbClr val="FECB3C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u="none" strike="noStrike">
                    <a:solidFill>
                      <a:srgbClr val="FFFFFF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'Risk Management Dashboard'!$AU$101:$AU$105</c:f>
              <c:strCache>
                <c:ptCount val="5"/>
                <c:pt idx="0">
                  <c:v>Avoid</c:v>
                </c:pt>
                <c:pt idx="1">
                  <c:v>Escalate</c:v>
                </c:pt>
                <c:pt idx="2">
                  <c:v>Transfer</c:v>
                </c:pt>
                <c:pt idx="3">
                  <c:v>Mitigate</c:v>
                </c:pt>
                <c:pt idx="4">
                  <c:v>Accept</c:v>
                </c:pt>
              </c:strCache>
            </c:strRef>
          </c:cat>
          <c:val>
            <c:numRef>
              <c:f>'Risk Management Dashboard'!$AX$101:$AX$105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AC-413C-9EE2-E6285B6CDFFE}"/>
            </c:ext>
          </c:extLst>
        </c:ser>
        <c:ser>
          <c:idx val="3"/>
          <c:order val="3"/>
          <c:tx>
            <c:strRef>
              <c:f>'Risk Management Dashboard'!$AY$77</c:f>
              <c:strCache>
                <c:ptCount val="1"/>
                <c:pt idx="0">
                  <c:v> Tolerable </c:v>
                </c:pt>
              </c:strCache>
            </c:strRef>
          </c:tx>
          <c:spPr>
            <a:solidFill>
              <a:srgbClr val="A4CF48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u="none" strike="noStrike">
                    <a:solidFill>
                      <a:srgbClr val="FFFFFF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'Risk Management Dashboard'!$AU$101:$AU$105</c:f>
              <c:strCache>
                <c:ptCount val="5"/>
                <c:pt idx="0">
                  <c:v>Avoid</c:v>
                </c:pt>
                <c:pt idx="1">
                  <c:v>Escalate</c:v>
                </c:pt>
                <c:pt idx="2">
                  <c:v>Transfer</c:v>
                </c:pt>
                <c:pt idx="3">
                  <c:v>Mitigate</c:v>
                </c:pt>
                <c:pt idx="4">
                  <c:v>Accept</c:v>
                </c:pt>
              </c:strCache>
            </c:strRef>
          </c:cat>
          <c:val>
            <c:numRef>
              <c:f>'Risk Management Dashboard'!$AY$101:$AY$105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AC-413C-9EE2-E6285B6CDFFE}"/>
            </c:ext>
          </c:extLst>
        </c:ser>
        <c:ser>
          <c:idx val="4"/>
          <c:order val="4"/>
          <c:tx>
            <c:v>Very Low</c:v>
          </c:tx>
          <c:spPr>
            <a:solidFill>
              <a:srgbClr val="54D45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FFFFFF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'Risk Management Dashboard'!$AU$101:$AU$105</c:f>
              <c:strCache>
                <c:ptCount val="5"/>
                <c:pt idx="0">
                  <c:v>Avoid</c:v>
                </c:pt>
                <c:pt idx="1">
                  <c:v>Escalate</c:v>
                </c:pt>
                <c:pt idx="2">
                  <c:v>Transfer</c:v>
                </c:pt>
                <c:pt idx="3">
                  <c:v>Mitigate</c:v>
                </c:pt>
                <c:pt idx="4">
                  <c:v>Accept</c:v>
                </c:pt>
              </c:strCache>
            </c:strRef>
          </c:cat>
          <c:val>
            <c:numRef>
              <c:f>'Risk Management Dashboard'!$AZ$101:$AZ$105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AC-413C-9EE2-E6285B6CD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85424831"/>
        <c:axId val="11964766"/>
      </c:barChart>
      <c:catAx>
        <c:axId val="8542483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607598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607598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11964766"/>
        <c:crosses val="autoZero"/>
        <c:auto val="1"/>
        <c:lblAlgn val="ctr"/>
        <c:lblOffset val="100"/>
        <c:noMultiLvlLbl val="0"/>
      </c:catAx>
      <c:valAx>
        <c:axId val="1196476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854248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'Risk Management Dashboard'!$AV$106</c:f>
              <c:strCache>
                <c:ptCount val="1"/>
                <c:pt idx="0">
                  <c:v>0 Very High</c:v>
                </c:pt>
              </c:strCache>
            </c:strRef>
          </c:tx>
          <c:spPr>
            <a:solidFill>
              <a:srgbClr val="FF5050"/>
            </a:solidFill>
            <a:ln w="19080">
              <a:solidFill>
                <a:srgbClr val="F2F2F2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293241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'Risk Management Dashboard'!$AU$108:$AU$111</c:f>
              <c:numCache>
                <c:formatCode>_(* #,##0.00_);_(* \(#,##0.00\);_(* \-??_);_(@_)</c:formatCode>
                <c:ptCount val="4"/>
              </c:numCache>
            </c:numRef>
          </c:cat>
          <c:val>
            <c:numRef>
              <c:f>'Risk Management Dashboard'!$AV$108:$AV$111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F-4FD0-B8C3-C22C2BFFDD8E}"/>
            </c:ext>
          </c:extLst>
        </c:ser>
        <c:ser>
          <c:idx val="1"/>
          <c:order val="1"/>
          <c:tx>
            <c:strRef>
              <c:f>'Risk Management Dashboard'!$AW$106</c:f>
              <c:strCache>
                <c:ptCount val="1"/>
                <c:pt idx="0">
                  <c:v>0 High Risk</c:v>
                </c:pt>
              </c:strCache>
            </c:strRef>
          </c:tx>
          <c:spPr>
            <a:solidFill>
              <a:srgbClr val="FF843F"/>
            </a:solidFill>
            <a:ln w="19080">
              <a:solidFill>
                <a:srgbClr val="F2F2F2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293241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'Risk Management Dashboard'!$AU$108:$AU$111</c:f>
              <c:numCache>
                <c:formatCode>_(* #,##0.00_);_(* \(#,##0.00\);_(* \-??_);_(@_)</c:formatCode>
                <c:ptCount val="4"/>
              </c:numCache>
            </c:numRef>
          </c:cat>
          <c:val>
            <c:numRef>
              <c:f>'Risk Management Dashboard'!$AW$108:$AW$111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EF-4FD0-B8C3-C22C2BFFDD8E}"/>
            </c:ext>
          </c:extLst>
        </c:ser>
        <c:ser>
          <c:idx val="2"/>
          <c:order val="2"/>
          <c:tx>
            <c:strRef>
              <c:f>'Risk Management Dashboard'!$AX$106</c:f>
              <c:strCache>
                <c:ptCount val="1"/>
                <c:pt idx="0">
                  <c:v>0 Medium Risk</c:v>
                </c:pt>
              </c:strCache>
            </c:strRef>
          </c:tx>
          <c:spPr>
            <a:solidFill>
              <a:srgbClr val="FECB3C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293241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'Risk Management Dashboard'!$AU$108:$AU$111</c:f>
              <c:numCache>
                <c:formatCode>_(* #,##0.00_);_(* \(#,##0.00\);_(* \-??_);_(@_)</c:formatCode>
                <c:ptCount val="4"/>
              </c:numCache>
            </c:numRef>
          </c:cat>
          <c:val>
            <c:numRef>
              <c:f>'Risk Management Dashboard'!$AX$108:$AX$111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EF-4FD0-B8C3-C22C2BFFDD8E}"/>
            </c:ext>
          </c:extLst>
        </c:ser>
        <c:ser>
          <c:idx val="3"/>
          <c:order val="3"/>
          <c:tx>
            <c:strRef>
              <c:f>'Risk Management Dashboard'!$AY$106</c:f>
              <c:strCache>
                <c:ptCount val="1"/>
                <c:pt idx="0">
                  <c:v>0 Low Risk</c:v>
                </c:pt>
              </c:strCache>
            </c:strRef>
          </c:tx>
          <c:spPr>
            <a:solidFill>
              <a:srgbClr val="A4CF48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293241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'Risk Management Dashboard'!$AU$108:$AU$111</c:f>
              <c:numCache>
                <c:formatCode>_(* #,##0.00_);_(* \(#,##0.00\);_(* \-??_);_(@_)</c:formatCode>
                <c:ptCount val="4"/>
              </c:numCache>
            </c:numRef>
          </c:cat>
          <c:val>
            <c:numRef>
              <c:f>'Risk Management Dashboard'!$AY$108:$AY$111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EF-4FD0-B8C3-C22C2BFFDD8E}"/>
            </c:ext>
          </c:extLst>
        </c:ser>
        <c:ser>
          <c:idx val="4"/>
          <c:order val="4"/>
          <c:tx>
            <c:strRef>
              <c:f>'Risk Management Dashboard'!$AZ$106</c:f>
              <c:strCache>
                <c:ptCount val="1"/>
                <c:pt idx="0">
                  <c:v>0 Very Low Risk</c:v>
                </c:pt>
              </c:strCache>
            </c:strRef>
          </c:tx>
          <c:spPr>
            <a:solidFill>
              <a:srgbClr val="54D454"/>
            </a:solidFill>
            <a:ln w="0">
              <a:solidFill>
                <a:srgbClr val="FFFFF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293241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'Risk Management Dashboard'!$AU$108:$AU$111</c:f>
              <c:numCache>
                <c:formatCode>_(* #,##0.00_);_(* \(#,##0.00\);_(* \-??_);_(@_)</c:formatCode>
                <c:ptCount val="4"/>
              </c:numCache>
            </c:numRef>
          </c:cat>
          <c:val>
            <c:numRef>
              <c:f>'Risk Management Dashboard'!$AZ$108:$AZ$111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EF-4FD0-B8C3-C22C2BFFD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98547789"/>
        <c:axId val="25728365"/>
      </c:barChart>
      <c:catAx>
        <c:axId val="985477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607598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607598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25728365"/>
        <c:crosses val="autoZero"/>
        <c:auto val="1"/>
        <c:lblAlgn val="ctr"/>
        <c:lblOffset val="100"/>
        <c:noMultiLvlLbl val="0"/>
      </c:catAx>
      <c:valAx>
        <c:axId val="2572836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85477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293241"/>
                </a:solidFill>
                <a:uFillTx/>
                <a:latin typeface="Calibri"/>
                <a:ea typeface="Calibri"/>
              </a:rPr>
              <a:t>Mitigation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'RAID Dashboard'!$G$22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78D91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878D9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020-4AA6-BD8B-C1B5B539DF26}"/>
              </c:ext>
            </c:extLst>
          </c:dPt>
          <c:dPt>
            <c:idx val="1"/>
            <c:bubble3D val="0"/>
            <c:spPr>
              <a:solidFill>
                <a:srgbClr val="5BD78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E020-4AA6-BD8B-C1B5B539DF26}"/>
              </c:ext>
            </c:extLst>
          </c:dPt>
          <c:dPt>
            <c:idx val="2"/>
            <c:bubble3D val="0"/>
            <c:spPr>
              <a:solidFill>
                <a:srgbClr val="DDE9F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E020-4AA6-BD8B-C1B5B539DF26}"/>
              </c:ext>
            </c:extLst>
          </c:dPt>
          <c:dPt>
            <c:idx val="3"/>
            <c:bubble3D val="0"/>
            <c:spPr>
              <a:solidFill>
                <a:srgbClr val="B6737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E020-4AA6-BD8B-C1B5B539DF26}"/>
              </c:ext>
            </c:extLst>
          </c:dPt>
          <c:dPt>
            <c:idx val="4"/>
            <c:bubble3D val="0"/>
            <c:spPr>
              <a:solidFill>
                <a:srgbClr val="2EC6D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E020-4AA6-BD8B-C1B5B539DF2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020-4AA6-BD8B-C1B5B539DF2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020-4AA6-BD8B-C1B5B539DF2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020-4AA6-BD8B-C1B5B539DF2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E020-4AA6-BD8B-C1B5B539DF2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Calibri"/>
                      <a:ea typeface="DejaVu San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E020-4AA6-BD8B-C1B5B539DF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293241"/>
                    </a:solidFill>
                    <a:uFillTx/>
                    <a:latin typeface="Calibri"/>
                    <a:ea typeface="Calibri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1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'RAID Dashboard'!$F$23:$F$27</c:f>
              <c:strCache>
                <c:ptCount val="5"/>
                <c:pt idx="0">
                  <c:v>Avoid</c:v>
                </c:pt>
                <c:pt idx="1">
                  <c:v>Mitigate</c:v>
                </c:pt>
                <c:pt idx="2">
                  <c:v>Transfer</c:v>
                </c:pt>
                <c:pt idx="3">
                  <c:v>Escalate</c:v>
                </c:pt>
                <c:pt idx="4">
                  <c:v>Accept</c:v>
                </c:pt>
              </c:strCache>
            </c:strRef>
          </c:cat>
          <c:val>
            <c:numRef>
              <c:f>'RAID Dashboard'!$G$23:$G$27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20-4AA6-BD8B-C1B5B539D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293241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293241"/>
                </a:solidFill>
                <a:uFillTx/>
                <a:latin typeface="Arial"/>
                <a:ea typeface="DejaVu Sans"/>
              </a:rPr>
              <a:t>Items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'RAID Dashboard'!$C$22</c:f>
              <c:strCache>
                <c:ptCount val="1"/>
                <c:pt idx="0">
                  <c:v>Status Label</c:v>
                </c:pt>
              </c:strCache>
            </c:strRef>
          </c:tx>
          <c:spPr>
            <a:solidFill>
              <a:srgbClr val="878D9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'RAID Dashboard'!$C$23:$C$26</c:f>
              <c:strCache>
                <c:ptCount val="4"/>
                <c:pt idx="0">
                  <c:v>Not Started</c:v>
                </c:pt>
                <c:pt idx="1">
                  <c:v>In-Progress</c:v>
                </c:pt>
                <c:pt idx="2">
                  <c:v>Behind</c:v>
                </c:pt>
                <c:pt idx="3">
                  <c:v>Closed</c:v>
                </c:pt>
              </c:strCache>
            </c:strRef>
          </c:cat>
          <c:val>
            <c:numRef>
              <c:f>'RAID Dashboard'!$D$23:$D$26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2-4D55-9E37-3D927D9A8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018486"/>
        <c:axId val="27860871"/>
      </c:barChart>
      <c:catAx>
        <c:axId val="750184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27860871"/>
        <c:crosses val="autoZero"/>
        <c:auto val="1"/>
        <c:lblAlgn val="ctr"/>
        <c:lblOffset val="100"/>
        <c:noMultiLvlLbl val="0"/>
      </c:catAx>
      <c:valAx>
        <c:axId val="278608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750184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293241"/>
                </a:solidFill>
                <a:uFillTx/>
                <a:latin typeface="Arial"/>
                <a:ea typeface="DejaVu Sans"/>
              </a:rPr>
              <a:t>Items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'RAID Dashboard'!$K$22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78D91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787D81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752-483D-BEE4-24AD51E0C21C}"/>
              </c:ext>
            </c:extLst>
          </c:dPt>
          <c:dPt>
            <c:idx val="1"/>
            <c:invertIfNegative val="0"/>
            <c:bubble3D val="0"/>
            <c:spPr>
              <a:solidFill>
                <a:srgbClr val="51BF79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752-483D-BEE4-24AD51E0C21C}"/>
              </c:ext>
            </c:extLst>
          </c:dPt>
          <c:dPt>
            <c:idx val="2"/>
            <c:invertIfNegative val="0"/>
            <c:bubble3D val="0"/>
            <c:spPr>
              <a:solidFill>
                <a:srgbClr val="C4CFDA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6752-483D-BEE4-24AD51E0C21C}"/>
              </c:ext>
            </c:extLst>
          </c:dPt>
          <c:dPt>
            <c:idx val="3"/>
            <c:invertIfNegative val="0"/>
            <c:bubble3D val="0"/>
            <c:spPr>
              <a:solidFill>
                <a:srgbClr val="A2666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6752-483D-BEE4-24AD51E0C21C}"/>
              </c:ext>
            </c:extLst>
          </c:dPt>
          <c:dPt>
            <c:idx val="4"/>
            <c:invertIfNegative val="0"/>
            <c:bubble3D val="0"/>
            <c:spPr>
              <a:solidFill>
                <a:srgbClr val="28B0C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6752-483D-BEE4-24AD51E0C21C}"/>
              </c:ext>
            </c:extLst>
          </c:dPt>
          <c:dPt>
            <c:idx val="5"/>
            <c:invertIfNegative val="0"/>
            <c:bubble3D val="0"/>
            <c:spPr>
              <a:solidFill>
                <a:srgbClr val="4C84E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6752-483D-BEE4-24AD51E0C21C}"/>
              </c:ext>
            </c:extLst>
          </c:dPt>
          <c:dPt>
            <c:idx val="6"/>
            <c:invertIfNegative val="0"/>
            <c:bubble3D val="0"/>
            <c:spPr>
              <a:solidFill>
                <a:srgbClr val="ADB0B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6752-483D-BEE4-24AD51E0C21C}"/>
              </c:ext>
            </c:extLst>
          </c:dPt>
          <c:dPt>
            <c:idx val="7"/>
            <c:invertIfNegative val="0"/>
            <c:bubble3D val="0"/>
            <c:spPr>
              <a:solidFill>
                <a:srgbClr val="98E1AD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6752-483D-BEE4-24AD51E0C21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752-483D-BEE4-24AD51E0C21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752-483D-BEE4-24AD51E0C21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752-483D-BEE4-24AD51E0C21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752-483D-BEE4-24AD51E0C21C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6752-483D-BEE4-24AD51E0C21C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6752-483D-BEE4-24AD51E0C21C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6752-483D-BEE4-24AD51E0C21C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6752-483D-BEE4-24AD51E0C2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'RAID Dashboard'!$J$23:$J$30</c:f>
              <c:strCache>
                <c:ptCount val="8"/>
                <c:pt idx="1">
                  <c:v>Process</c:v>
                </c:pt>
                <c:pt idx="2">
                  <c:v>Quality</c:v>
                </c:pt>
                <c:pt idx="5">
                  <c:v>Security/Compliance</c:v>
                </c:pt>
                <c:pt idx="6">
                  <c:v>Stakeholder</c:v>
                </c:pt>
                <c:pt idx="7">
                  <c:v>Technical</c:v>
                </c:pt>
              </c:strCache>
            </c:strRef>
          </c:cat>
          <c:val>
            <c:numRef>
              <c:f>'RAID Dashboard'!$K$23:$K$30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752-483D-BEE4-24AD51E0C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669108"/>
        <c:axId val="83155044"/>
      </c:barChart>
      <c:catAx>
        <c:axId val="586691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83155044"/>
        <c:crosses val="autoZero"/>
        <c:auto val="1"/>
        <c:lblAlgn val="ctr"/>
        <c:lblOffset val="100"/>
        <c:noMultiLvlLbl val="0"/>
      </c:catAx>
      <c:valAx>
        <c:axId val="831550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586691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293241"/>
                </a:solidFill>
                <a:uFillTx/>
                <a:latin typeface="Arial"/>
                <a:ea typeface="DejaVu Sans"/>
              </a:rPr>
              <a:t>Overdue Issues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'RAID Insights'!$U$4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78D91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78D9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693-4FDB-AB43-2D288DFE62CE}"/>
              </c:ext>
            </c:extLst>
          </c:dPt>
          <c:dPt>
            <c:idx val="1"/>
            <c:invertIfNegative val="0"/>
            <c:bubble3D val="0"/>
            <c:spPr>
              <a:solidFill>
                <a:srgbClr val="5BD78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693-4FDB-AB43-2D288DFE62CE}"/>
              </c:ext>
            </c:extLst>
          </c:dPt>
          <c:dPt>
            <c:idx val="2"/>
            <c:invertIfNegative val="0"/>
            <c:bubble3D val="0"/>
            <c:spPr>
              <a:solidFill>
                <a:srgbClr val="DDE9F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B693-4FDB-AB43-2D288DFE62CE}"/>
              </c:ext>
            </c:extLst>
          </c:dPt>
          <c:dPt>
            <c:idx val="3"/>
            <c:invertIfNegative val="0"/>
            <c:bubble3D val="0"/>
            <c:spPr>
              <a:solidFill>
                <a:srgbClr val="B6737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B693-4FDB-AB43-2D288DFE62C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693-4FDB-AB43-2D288DFE62C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693-4FDB-AB43-2D288DFE62C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693-4FDB-AB43-2D288DFE62C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693-4FDB-AB43-2D288DFE62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'RAID Insights'!$T$5:$T$8</c:f>
              <c:strCache>
                <c:ptCount val="4"/>
                <c:pt idx="0">
                  <c:v>1-7 days</c:v>
                </c:pt>
                <c:pt idx="1">
                  <c:v>8-14 days</c:v>
                </c:pt>
                <c:pt idx="2">
                  <c:v>15-30 days</c:v>
                </c:pt>
                <c:pt idx="3">
                  <c:v>30+ days</c:v>
                </c:pt>
              </c:strCache>
            </c:strRef>
          </c:cat>
          <c:val>
            <c:numRef>
              <c:f>'RAID Insights'!$U$5:$U$8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93-4FDB-AB43-2D288DFE6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409319"/>
        <c:axId val="81157166"/>
      </c:barChart>
      <c:catAx>
        <c:axId val="8840931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81157166"/>
        <c:crosses val="autoZero"/>
        <c:auto val="1"/>
        <c:lblAlgn val="ctr"/>
        <c:lblOffset val="100"/>
        <c:noMultiLvlLbl val="0"/>
      </c:catAx>
      <c:valAx>
        <c:axId val="8115716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Bucket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884093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293241"/>
                </a:solidFill>
                <a:uFillTx/>
                <a:latin typeface="Arial"/>
                <a:ea typeface="DejaVu Sans"/>
              </a:rPr>
              <a:t>RAID Aging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'RAID Insights'!$X$4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878D91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78D9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C1C-447E-AED2-73F4D2510FAE}"/>
              </c:ext>
            </c:extLst>
          </c:dPt>
          <c:dPt>
            <c:idx val="1"/>
            <c:invertIfNegative val="0"/>
            <c:bubble3D val="0"/>
            <c:spPr>
              <a:solidFill>
                <a:srgbClr val="5BD78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C1C-447E-AED2-73F4D2510FAE}"/>
              </c:ext>
            </c:extLst>
          </c:dPt>
          <c:dPt>
            <c:idx val="2"/>
            <c:invertIfNegative val="0"/>
            <c:bubble3D val="0"/>
            <c:spPr>
              <a:solidFill>
                <a:srgbClr val="DDE9F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C1C-447E-AED2-73F4D2510FAE}"/>
              </c:ext>
            </c:extLst>
          </c:dPt>
          <c:dPt>
            <c:idx val="3"/>
            <c:invertIfNegative val="0"/>
            <c:bubble3D val="0"/>
            <c:spPr>
              <a:solidFill>
                <a:srgbClr val="B6737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C1C-447E-AED2-73F4D2510FAE}"/>
              </c:ext>
            </c:extLst>
          </c:dPt>
          <c:dPt>
            <c:idx val="4"/>
            <c:invertIfNegative val="0"/>
            <c:bubble3D val="0"/>
            <c:spPr>
              <a:solidFill>
                <a:srgbClr val="2EC6DB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DC1C-447E-AED2-73F4D2510FA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C1C-447E-AED2-73F4D2510FA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C1C-447E-AED2-73F4D2510FA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C1C-447E-AED2-73F4D2510FA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DC1C-447E-AED2-73F4D2510FA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DC1C-447E-AED2-73F4D2510F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'RAID Insights'!$W$5:$W$9</c:f>
              <c:strCache>
                <c:ptCount val="5"/>
                <c:pt idx="0">
                  <c:v>0-7 days</c:v>
                </c:pt>
                <c:pt idx="1">
                  <c:v>8-14 days</c:v>
                </c:pt>
                <c:pt idx="2">
                  <c:v>15-30 days</c:v>
                </c:pt>
                <c:pt idx="3">
                  <c:v>31-60 days</c:v>
                </c:pt>
                <c:pt idx="4">
                  <c:v>60+ days</c:v>
                </c:pt>
              </c:strCache>
            </c:strRef>
          </c:cat>
          <c:val>
            <c:numRef>
              <c:f>'RAID Insights'!$X$5:$X$9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1C-447E-AED2-73F4D2510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42193"/>
        <c:axId val="6224129"/>
      </c:barChart>
      <c:catAx>
        <c:axId val="1454219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6224129"/>
        <c:crosses val="autoZero"/>
        <c:auto val="1"/>
        <c:lblAlgn val="ctr"/>
        <c:lblOffset val="100"/>
        <c:noMultiLvlLbl val="0"/>
      </c:catAx>
      <c:valAx>
        <c:axId val="622412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Age Bucket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145421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293241"/>
                </a:solidFill>
                <a:uFillTx/>
                <a:latin typeface="Arial"/>
                <a:ea typeface="DejaVu Sans"/>
              </a:rPr>
              <a:t>Top Risk Owners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'RAID Insights'!$U$12</c:f>
              <c:strCache>
                <c:ptCount val="1"/>
                <c:pt idx="0">
                  <c:v>Open Risks</c:v>
                </c:pt>
              </c:strCache>
            </c:strRef>
          </c:tx>
          <c:spPr>
            <a:solidFill>
              <a:srgbClr val="878D91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78D9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1AD-450B-833D-FF9EB4A2F074}"/>
              </c:ext>
            </c:extLst>
          </c:dPt>
          <c:dPt>
            <c:idx val="1"/>
            <c:invertIfNegative val="0"/>
            <c:bubble3D val="0"/>
            <c:spPr>
              <a:solidFill>
                <a:srgbClr val="5BD78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1AD-450B-833D-FF9EB4A2F074}"/>
              </c:ext>
            </c:extLst>
          </c:dPt>
          <c:dPt>
            <c:idx val="2"/>
            <c:invertIfNegative val="0"/>
            <c:bubble3D val="0"/>
            <c:spPr>
              <a:solidFill>
                <a:srgbClr val="DDE9F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1AD-450B-833D-FF9EB4A2F074}"/>
              </c:ext>
            </c:extLst>
          </c:dPt>
          <c:dPt>
            <c:idx val="3"/>
            <c:invertIfNegative val="0"/>
            <c:bubble3D val="0"/>
            <c:spPr>
              <a:solidFill>
                <a:srgbClr val="B6737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1AD-450B-833D-FF9EB4A2F074}"/>
              </c:ext>
            </c:extLst>
          </c:dPt>
          <c:dPt>
            <c:idx val="4"/>
            <c:invertIfNegative val="0"/>
            <c:bubble3D val="0"/>
            <c:spPr>
              <a:solidFill>
                <a:srgbClr val="2EC6DB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E1AD-450B-833D-FF9EB4A2F07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1AD-450B-833D-FF9EB4A2F07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1AD-450B-833D-FF9EB4A2F07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1AD-450B-833D-FF9EB4A2F07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E1AD-450B-833D-FF9EB4A2F07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293241"/>
                      </a:solidFill>
                      <a:uFillTx/>
                      <a:latin typeface="Arial"/>
                      <a:ea typeface="DejaVu San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0"/>
              <c:showSerName val="1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E1AD-450B-833D-FF9EB4A2F0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'RAID Insights'!$T$13:$T$17</c:f>
              <c:strCache>
                <c:ptCount val="5"/>
                <c:pt idx="0">
                  <c:v>Owner 1</c:v>
                </c:pt>
                <c:pt idx="1">
                  <c:v>Owner 6</c:v>
                </c:pt>
                <c:pt idx="2">
                  <c:v>Owner 9</c:v>
                </c:pt>
                <c:pt idx="3">
                  <c:v>Owner 11</c:v>
                </c:pt>
                <c:pt idx="4">
                  <c:v>Owner 3</c:v>
                </c:pt>
              </c:strCache>
            </c:strRef>
          </c:cat>
          <c:val>
            <c:numRef>
              <c:f>'RAID Insights'!$U$13:$U$17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AD-450B-833D-FF9EB4A2F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987215"/>
        <c:axId val="64214321"/>
      </c:barChart>
      <c:catAx>
        <c:axId val="3898721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Open Risks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64214321"/>
        <c:crosses val="autoZero"/>
        <c:auto val="1"/>
        <c:lblAlgn val="ctr"/>
        <c:lblOffset val="100"/>
        <c:noMultiLvlLbl val="0"/>
      </c:catAx>
      <c:valAx>
        <c:axId val="6421432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293241"/>
                    </a:solidFill>
                    <a:uFillTx/>
                    <a:latin typeface="Arial"/>
                    <a:ea typeface="DejaVu Sans"/>
                  </a:rPr>
                  <a:t>Owner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293241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389872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402120</xdr:colOff>
      <xdr:row>20</xdr:row>
      <xdr:rowOff>97200</xdr:rowOff>
    </xdr:from>
    <xdr:to>
      <xdr:col>19</xdr:col>
      <xdr:colOff>361080</xdr:colOff>
      <xdr:row>26</xdr:row>
      <xdr:rowOff>292320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360720</xdr:colOff>
      <xdr:row>9</xdr:row>
      <xdr:rowOff>39240</xdr:rowOff>
    </xdr:from>
    <xdr:to>
      <xdr:col>19</xdr:col>
      <xdr:colOff>279000</xdr:colOff>
      <xdr:row>17</xdr:row>
      <xdr:rowOff>109080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437040</xdr:colOff>
      <xdr:row>28</xdr:row>
      <xdr:rowOff>243720</xdr:rowOff>
    </xdr:from>
    <xdr:to>
      <xdr:col>19</xdr:col>
      <xdr:colOff>393480</xdr:colOff>
      <xdr:row>34</xdr:row>
      <xdr:rowOff>206640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695160</xdr:colOff>
      <xdr:row>9</xdr:row>
      <xdr:rowOff>22680</xdr:rowOff>
    </xdr:from>
    <xdr:to>
      <xdr:col>13</xdr:col>
      <xdr:colOff>360360</xdr:colOff>
      <xdr:row>20</xdr:row>
      <xdr:rowOff>150840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200160</xdr:colOff>
      <xdr:row>9</xdr:row>
      <xdr:rowOff>20880</xdr:rowOff>
    </xdr:from>
    <xdr:to>
      <xdr:col>7</xdr:col>
      <xdr:colOff>629280</xdr:colOff>
      <xdr:row>20</xdr:row>
      <xdr:rowOff>171720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219240</xdr:colOff>
      <xdr:row>20</xdr:row>
      <xdr:rowOff>211320</xdr:rowOff>
    </xdr:from>
    <xdr:to>
      <xdr:col>13</xdr:col>
      <xdr:colOff>341640</xdr:colOff>
      <xdr:row>33</xdr:row>
      <xdr:rowOff>91800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2</xdr:col>
      <xdr:colOff>725040</xdr:colOff>
      <xdr:row>15</xdr:row>
      <xdr:rowOff>225000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0</xdr:rowOff>
    </xdr:from>
    <xdr:to>
      <xdr:col>8</xdr:col>
      <xdr:colOff>725040</xdr:colOff>
      <xdr:row>15</xdr:row>
      <xdr:rowOff>225000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2</xdr:col>
      <xdr:colOff>725040</xdr:colOff>
      <xdr:row>29</xdr:row>
      <xdr:rowOff>20880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DCTemplate">
  <a:themeElements>
    <a:clrScheme name="DCTemplate">
      <a:dk1>
        <a:srgbClr val="293241"/>
      </a:dk1>
      <a:lt1>
        <a:srgbClr val="FFFFFF"/>
      </a:lt1>
      <a:dk2>
        <a:srgbClr val="44546A"/>
      </a:dk2>
      <a:lt2>
        <a:srgbClr val="E7E6E6"/>
      </a:lt2>
      <a:accent1>
        <a:srgbClr val="878D91"/>
      </a:accent1>
      <a:accent2>
        <a:srgbClr val="5BD788"/>
      </a:accent2>
      <a:accent3>
        <a:srgbClr val="DDE9F5"/>
      </a:accent3>
      <a:accent4>
        <a:srgbClr val="B67375"/>
      </a:accent4>
      <a:accent5>
        <a:srgbClr val="2EC6DB"/>
      </a:accent5>
      <a:accent6>
        <a:srgbClr val="5695FF"/>
      </a:accent6>
      <a:hlink>
        <a:srgbClr val="98C1D9"/>
      </a:hlink>
      <a:folHlink>
        <a:srgbClr val="EE6C4D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5050"/>
  </sheetPr>
  <dimension ref="A1:BC115"/>
  <sheetViews>
    <sheetView topLeftCell="A3" zoomScaleNormal="100" workbookViewId="0">
      <selection activeCell="H24" sqref="H24"/>
    </sheetView>
  </sheetViews>
  <sheetFormatPr defaultColWidth="8.6640625" defaultRowHeight="12.75" customHeight="1"/>
  <cols>
    <col min="1" max="1" width="7.44140625" customWidth="1"/>
    <col min="2" max="2" width="8.88671875" customWidth="1"/>
    <col min="3" max="3" width="30.109375" customWidth="1"/>
    <col min="4" max="4" width="7.6640625" customWidth="1"/>
    <col min="5" max="5" width="7.33203125" customWidth="1"/>
    <col min="6" max="6" width="20" hidden="1" customWidth="1"/>
    <col min="7" max="7" width="5" customWidth="1"/>
    <col min="8" max="8" width="11.6640625" customWidth="1"/>
    <col min="9" max="9" width="11" customWidth="1"/>
    <col min="10" max="14" width="8.44140625" customWidth="1"/>
    <col min="15" max="15" width="13.88671875" customWidth="1"/>
    <col min="20" max="20" width="11.5546875" customWidth="1"/>
    <col min="21" max="21" width="7.109375" customWidth="1"/>
    <col min="22" max="29" width="8.5546875" customWidth="1"/>
    <col min="30" max="31" width="8.5546875" hidden="1" customWidth="1"/>
    <col min="32" max="32" width="8.5546875" customWidth="1"/>
    <col min="33" max="33" width="8.5546875" hidden="1" customWidth="1"/>
    <col min="34" max="38" width="7.44140625" hidden="1" customWidth="1"/>
    <col min="39" max="39" width="11.33203125" hidden="1" customWidth="1"/>
    <col min="40" max="40" width="12.33203125" hidden="1" customWidth="1"/>
    <col min="41" max="44" width="9.6640625" hidden="1" customWidth="1"/>
    <col min="45" max="46" width="13" hidden="1" customWidth="1"/>
  </cols>
  <sheetData>
    <row r="1" spans="1:13" ht="22.5" customHeight="1">
      <c r="A1" s="15" t="s">
        <v>0</v>
      </c>
      <c r="C1" s="16" t="s">
        <v>1</v>
      </c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2.5" customHeight="1">
      <c r="A2" s="15" t="s">
        <v>2</v>
      </c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22.5" customHeight="1">
      <c r="A3" s="15" t="s">
        <v>3</v>
      </c>
      <c r="C3" s="16">
        <v>46083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5.75" hidden="1" customHeight="1">
      <c r="B4" s="18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5.25" customHeight="1"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5" customHeight="1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21" spans="2:40" ht="12.75" customHeight="1">
      <c r="AE21" s="19"/>
    </row>
    <row r="22" spans="2:40" ht="13.5" customHeight="1">
      <c r="AD22" s="20" t="s">
        <v>4</v>
      </c>
      <c r="AE22" s="20" t="s">
        <v>5</v>
      </c>
    </row>
    <row r="23" spans="2:40" ht="13.5" customHeight="1">
      <c r="AD23" s="21">
        <v>1</v>
      </c>
      <c r="AE23" s="21">
        <f>IFERROR(MATCH(AD23,'Risk Register'!$K$2:$K$880,0),"")</f>
        <v>7</v>
      </c>
    </row>
    <row r="24" spans="2:40" ht="45" customHeight="1">
      <c r="AD24" s="21">
        <v>2</v>
      </c>
      <c r="AE24" s="21">
        <f>IFERROR(MATCH(AD24,'Risk Register'!$K$2:$K$880,0),"")</f>
        <v>4</v>
      </c>
    </row>
    <row r="25" spans="2:40" ht="19.5" customHeight="1">
      <c r="AD25" s="21">
        <v>3</v>
      </c>
      <c r="AE25" s="21">
        <f>IFERROR(MATCH(AD25,'Risk Register'!$K$2:$K$880,0),"")</f>
        <v>1</v>
      </c>
    </row>
    <row r="26" spans="2:40" ht="26.25" customHeight="1">
      <c r="B26" s="22" t="s">
        <v>6</v>
      </c>
      <c r="C26" s="23" t="s">
        <v>7</v>
      </c>
      <c r="D26" s="22" t="s">
        <v>8</v>
      </c>
      <c r="G26" s="14" t="s">
        <v>9</v>
      </c>
      <c r="H26" s="14"/>
      <c r="I26" s="14"/>
      <c r="J26" s="13"/>
      <c r="K26" s="13"/>
      <c r="L26" s="13"/>
      <c r="M26" s="13"/>
      <c r="N26" s="13"/>
      <c r="AD26" s="21">
        <v>4</v>
      </c>
      <c r="AE26" s="21">
        <f>IFERROR(MATCH(AD26,'Risk Register'!$K$2:$K$880,0),"")</f>
        <v>5</v>
      </c>
    </row>
    <row r="27" spans="2:40" ht="26.25" customHeight="1">
      <c r="B27" s="24" t="str">
        <f>IF($AE23="","",INDEX('Risk Register'!$A$2:$A$880,$AE23))</f>
        <v/>
      </c>
      <c r="C27" s="25" t="str">
        <f>IF($AE23="","",INDEX('Risk Register'!$C$2:$C$880,$AE23))</f>
        <v>D 19</v>
      </c>
      <c r="D27" s="26">
        <f>IF($AE23="","",INDEX('Risk Register'!$I$2:$I$880,$AE23))</f>
        <v>20</v>
      </c>
      <c r="G27" s="14"/>
      <c r="H27" s="14"/>
      <c r="I27" s="14"/>
      <c r="J27" s="27"/>
      <c r="K27" s="28"/>
      <c r="L27" s="28"/>
      <c r="M27" s="28"/>
      <c r="N27" s="28"/>
      <c r="AD27" s="21">
        <v>5</v>
      </c>
      <c r="AE27" s="21">
        <f>IFERROR(MATCH(AD27,'Risk Register'!$K$2:$K$880,0),"")</f>
        <v>6</v>
      </c>
    </row>
    <row r="28" spans="2:40" ht="26.25" customHeight="1">
      <c r="B28" s="24">
        <f>IF($AE24="","",INDEX('Risk Register'!$A$2:$A$880,$AE24))</f>
        <v>9</v>
      </c>
      <c r="C28" s="25" t="str">
        <f>IF($AE24="","",INDEX('Risk Register'!$C$2:$C$880,$AE24))</f>
        <v>D 9</v>
      </c>
      <c r="D28" s="26">
        <f>IF($AE24="","",INDEX('Risk Register'!$I$2:$I$880,$AE24))</f>
        <v>10</v>
      </c>
      <c r="G28" s="14"/>
      <c r="H28" s="14"/>
      <c r="I28" s="14"/>
      <c r="J28" s="29"/>
      <c r="K28" s="29"/>
      <c r="L28" s="29"/>
      <c r="M28" s="30"/>
      <c r="N28" s="29"/>
      <c r="AD28" s="21">
        <v>6</v>
      </c>
      <c r="AE28" s="21">
        <f>IFERROR(MATCH(AD28,'Risk Register'!$K$2:$K$880,0),"")</f>
        <v>3</v>
      </c>
      <c r="AG28" s="19"/>
      <c r="AH28" s="31"/>
      <c r="AI28" s="31"/>
      <c r="AJ28" s="31"/>
      <c r="AK28" s="31"/>
      <c r="AL28" s="31"/>
      <c r="AN28" t="s">
        <v>10</v>
      </c>
    </row>
    <row r="29" spans="2:40" ht="26.25" customHeight="1">
      <c r="B29" s="24">
        <f>IF($AE25="","",INDEX('Risk Register'!$A$2:$A$880,$AE25))</f>
        <v>1</v>
      </c>
      <c r="C29" s="25" t="str">
        <f>IF($AE25="","",INDEX('Risk Register'!$C$2:$C$880,$AE25))</f>
        <v>D 1</v>
      </c>
      <c r="D29" s="26">
        <f>IF($AE25="","",INDEX('Risk Register'!$I$2:$I$880,$AE25))</f>
        <v>9</v>
      </c>
      <c r="G29" s="12"/>
      <c r="H29" s="32"/>
      <c r="I29" s="33"/>
      <c r="J29" s="34">
        <f>COUNTIFS('Risk Register'!$H$2:$H$878,$H29,'Risk Register'!$G$2:$G$878,J$27,'Risk Register'!$L$2:$L$878,"&lt;&gt;"&amp;"Closed")</f>
        <v>0</v>
      </c>
      <c r="K29" s="34">
        <f>COUNTIFS('Risk Register'!$H$2:$H$878,$H29,'Risk Register'!$G$2:$G$878,K$27,'Risk Register'!$L$2:$L$878,"&lt;&gt;"&amp;"Closed")</f>
        <v>0</v>
      </c>
      <c r="L29" s="34">
        <f>COUNTIFS('Risk Register'!$H$2:$H$878,$H29,'Risk Register'!$G$2:$G$878,L$27,'Risk Register'!$L$2:$L$878,"&lt;&gt;"&amp;"Closed")</f>
        <v>0</v>
      </c>
      <c r="M29" s="34">
        <f>COUNTIFS('Risk Register'!$H$2:$H$878,$H29,'Risk Register'!$G$2:$G$878,M$27,'Risk Register'!$L$2:$L$878,"&lt;&gt;"&amp;"Closed")</f>
        <v>0</v>
      </c>
      <c r="N29" s="34">
        <f>COUNTIFS('Risk Register'!$H$2:$H$878,$H29,'Risk Register'!$G$2:$G$878,N$27,'Risk Register'!$L$2:$L$878,"&lt;&gt;"&amp;"Closed")</f>
        <v>0</v>
      </c>
      <c r="AD29" s="21">
        <v>7</v>
      </c>
      <c r="AE29" s="21" t="str">
        <f>IFERROR(MATCH(AD29,'Risk Register'!$K$2:$K$880,0),"")</f>
        <v/>
      </c>
      <c r="AG29" s="35"/>
      <c r="AH29" s="34">
        <f t="shared" ref="AH29:AL33" si="0">AH$28*$AG29</f>
        <v>0</v>
      </c>
      <c r="AI29" s="34">
        <f t="shared" si="0"/>
        <v>0</v>
      </c>
      <c r="AJ29" s="34">
        <f t="shared" si="0"/>
        <v>0</v>
      </c>
      <c r="AK29" s="34">
        <f t="shared" si="0"/>
        <v>0</v>
      </c>
      <c r="AL29" s="34">
        <f t="shared" si="0"/>
        <v>0</v>
      </c>
    </row>
    <row r="30" spans="2:40" ht="26.25" customHeight="1">
      <c r="B30" s="24">
        <f>IF($AE26="","",INDEX('Risk Register'!$A$2:$A$880,$AE26))</f>
        <v>11</v>
      </c>
      <c r="C30" s="25" t="str">
        <f>IF($AE26="","",INDEX('Risk Register'!$C$2:$C$880,$AE26))</f>
        <v>D 11</v>
      </c>
      <c r="D30" s="26">
        <f>IF($AE26="","",INDEX('Risk Register'!$I$2:$I$880,$AE26))</f>
        <v>9</v>
      </c>
      <c r="G30" s="12"/>
      <c r="H30" s="32"/>
      <c r="I30" s="33"/>
      <c r="J30" s="34">
        <f>COUNTIFS('Risk Register'!$H$2:$H$878,$H30,'Risk Register'!$G$2:$G$878,J$27,'Risk Register'!$L$2:$L$878,"&lt;&gt;"&amp;"Closed")</f>
        <v>0</v>
      </c>
      <c r="K30" s="34">
        <f>COUNTIFS('Risk Register'!$H$2:$H$878,$H30,'Risk Register'!$G$2:$G$878,K$27,'Risk Register'!$L$2:$L$878,"&lt;&gt;"&amp;"Closed")</f>
        <v>0</v>
      </c>
      <c r="L30" s="34">
        <f>COUNTIFS('Risk Register'!$H$2:$H$878,$H30,'Risk Register'!$G$2:$G$878,L$27,'Risk Register'!$L$2:$L$878,"&lt;&gt;"&amp;"Closed")</f>
        <v>0</v>
      </c>
      <c r="M30" s="34">
        <f>COUNTIFS('Risk Register'!$H$2:$H$878,$H30,'Risk Register'!$G$2:$G$878,M$27,'Risk Register'!$L$2:$L$878,"&lt;&gt;"&amp;"Closed")</f>
        <v>0</v>
      </c>
      <c r="N30" s="34">
        <f>COUNTIFS('Risk Register'!$H$2:$H$878,$H30,'Risk Register'!$G$2:$G$878,N$27,'Risk Register'!$L$2:$L$878,"&lt;&gt;"&amp;"Closed")</f>
        <v>0</v>
      </c>
      <c r="AD30" s="21">
        <v>8</v>
      </c>
      <c r="AE30" s="21" t="str">
        <f>IFERROR(MATCH(AD30,'Risk Register'!$K$2:$K$880,0),"")</f>
        <v/>
      </c>
      <c r="AG30" s="35"/>
      <c r="AH30" s="34">
        <f t="shared" si="0"/>
        <v>0</v>
      </c>
      <c r="AI30" s="34">
        <f t="shared" si="0"/>
        <v>0</v>
      </c>
      <c r="AJ30" s="34">
        <f t="shared" si="0"/>
        <v>0</v>
      </c>
      <c r="AK30" s="34">
        <f t="shared" si="0"/>
        <v>0</v>
      </c>
      <c r="AL30" s="34">
        <f t="shared" si="0"/>
        <v>0</v>
      </c>
    </row>
    <row r="31" spans="2:40" ht="26.25" customHeight="1">
      <c r="B31" s="24">
        <f>IF($AE27="","",INDEX('Risk Register'!$A$2:$A$880,$AE27))</f>
        <v>14</v>
      </c>
      <c r="C31" s="25" t="str">
        <f>IF($AE27="","",INDEX('Risk Register'!$C$2:$C$880,$AE27))</f>
        <v>D 14</v>
      </c>
      <c r="D31" s="26">
        <f>IF($AE27="","",INDEX('Risk Register'!$I$2:$I$880,$AE27))</f>
        <v>6</v>
      </c>
      <c r="G31" s="12"/>
      <c r="H31" s="32"/>
      <c r="I31" s="33"/>
      <c r="J31" s="34">
        <f>COUNTIFS('Risk Register'!$H$2:$H$878,$H31,'Risk Register'!$G$2:$G$878,J$27,'Risk Register'!$L$2:$L$878,"&lt;&gt;"&amp;"Closed")</f>
        <v>0</v>
      </c>
      <c r="K31" s="34">
        <f>COUNTIFS('Risk Register'!$H$2:$H$878,$H31,'Risk Register'!$G$2:$G$878,K$27,'Risk Register'!$L$2:$L$878,"&lt;&gt;"&amp;"Closed")</f>
        <v>0</v>
      </c>
      <c r="L31" s="34">
        <f>COUNTIFS('Risk Register'!$H$2:$H$878,$H31,'Risk Register'!$G$2:$G$878,L$27,'Risk Register'!$L$2:$L$878,"&lt;&gt;"&amp;"Closed")</f>
        <v>0</v>
      </c>
      <c r="M31" s="34">
        <f>COUNTIFS('Risk Register'!$H$2:$H$878,$H31,'Risk Register'!$G$2:$G$878,M$27,'Risk Register'!$L$2:$L$878,"&lt;&gt;"&amp;"Closed")</f>
        <v>0</v>
      </c>
      <c r="N31" s="34">
        <f>COUNTIFS('Risk Register'!$H$2:$H$878,$H31,'Risk Register'!$G$2:$G$878,N$27,'Risk Register'!$L$2:$L$878,"&lt;&gt;"&amp;"Closed")</f>
        <v>0</v>
      </c>
      <c r="AG31" s="35"/>
      <c r="AH31" s="34">
        <f t="shared" si="0"/>
        <v>0</v>
      </c>
      <c r="AI31" s="34">
        <f t="shared" si="0"/>
        <v>0</v>
      </c>
      <c r="AJ31" s="34">
        <f t="shared" si="0"/>
        <v>0</v>
      </c>
      <c r="AK31" s="34">
        <f t="shared" si="0"/>
        <v>0</v>
      </c>
      <c r="AL31" s="34">
        <f t="shared" si="0"/>
        <v>0</v>
      </c>
    </row>
    <row r="32" spans="2:40" ht="26.25" customHeight="1">
      <c r="B32" s="24">
        <f>IF($AE28="","",INDEX('Risk Register'!$A$2:$A$880,$AE28))</f>
        <v>6</v>
      </c>
      <c r="C32" s="25" t="str">
        <f>IF($AE28="","",INDEX('Risk Register'!$C$2:$C$880,$AE28))</f>
        <v>D 6</v>
      </c>
      <c r="D32" s="26">
        <f>IF($AE28="","",INDEX('Risk Register'!$I$2:$I$880,$AE28))</f>
        <v>3</v>
      </c>
      <c r="G32" s="12"/>
      <c r="H32" s="36"/>
      <c r="I32" s="33"/>
      <c r="J32" s="34">
        <f>COUNTIFS('Risk Register'!$H$2:$H$878,$H32,'Risk Register'!$G$2:$G$878,J$27,'Risk Register'!$L$2:$L$878,"&lt;&gt;"&amp;"Closed")</f>
        <v>0</v>
      </c>
      <c r="K32" s="34">
        <f>COUNTIFS('Risk Register'!$H$2:$H$878,$H32,'Risk Register'!$G$2:$G$878,K$27,'Risk Register'!$L$2:$L$878,"&lt;&gt;"&amp;"Closed")</f>
        <v>0</v>
      </c>
      <c r="L32" s="34">
        <f>COUNTIFS('Risk Register'!$H$2:$H$878,$H32,'Risk Register'!$G$2:$G$878,L$27,'Risk Register'!$L$2:$L$878,"&lt;&gt;"&amp;"Closed")</f>
        <v>0</v>
      </c>
      <c r="M32" s="34">
        <f>COUNTIFS('Risk Register'!$H$2:$H$878,$H32,'Risk Register'!$G$2:$G$878,M$27,'Risk Register'!$L$2:$L$878,"&lt;&gt;"&amp;"Closed")</f>
        <v>0</v>
      </c>
      <c r="N32" s="34">
        <f>COUNTIFS('Risk Register'!$H$2:$H$878,$H32,'Risk Register'!$G$2:$G$878,N$27,'Risk Register'!$L$2:$L$878,"&lt;&gt;"&amp;"Closed")</f>
        <v>0</v>
      </c>
      <c r="AG32" s="35"/>
      <c r="AH32" s="34">
        <f t="shared" si="0"/>
        <v>0</v>
      </c>
      <c r="AI32" s="34">
        <f t="shared" si="0"/>
        <v>0</v>
      </c>
      <c r="AJ32" s="34">
        <f t="shared" si="0"/>
        <v>0</v>
      </c>
      <c r="AK32" s="34">
        <f t="shared" si="0"/>
        <v>0</v>
      </c>
      <c r="AL32" s="34">
        <f t="shared" si="0"/>
        <v>0</v>
      </c>
    </row>
    <row r="33" spans="1:38" ht="26.25" customHeight="1">
      <c r="B33" s="24" t="str">
        <f>IF($AE29="","",INDEX('Risk Register'!$A$2:$A$880,$AE29))</f>
        <v/>
      </c>
      <c r="C33" s="25" t="str">
        <f>IF($AE29="","",INDEX('Risk Register'!$C$2:$C$880,$AE29))</f>
        <v/>
      </c>
      <c r="D33" s="26" t="str">
        <f>IF($AE29="","",INDEX('Risk Register'!$I$2:$I$880,$AE29))</f>
        <v/>
      </c>
      <c r="G33" s="12"/>
      <c r="H33" s="37"/>
      <c r="I33" s="38"/>
      <c r="J33" s="34">
        <f>COUNTIFS('Risk Register'!$H$2:$H$878,$H33,'Risk Register'!$G$2:$G$878,J$27,'Risk Register'!$L$2:$L$878,"&lt;&gt;"&amp;"Closed")</f>
        <v>0</v>
      </c>
      <c r="K33" s="34">
        <f>COUNTIFS('Risk Register'!$H$2:$H$878,$H33,'Risk Register'!$G$2:$G$878,K$27,'Risk Register'!$L$2:$L$878,"&lt;&gt;"&amp;"Closed")</f>
        <v>0</v>
      </c>
      <c r="L33" s="34">
        <f>COUNTIFS('Risk Register'!$H$2:$H$878,$H33,'Risk Register'!$G$2:$G$878,L$27,'Risk Register'!$L$2:$L$878,"&lt;&gt;"&amp;"Closed")</f>
        <v>0</v>
      </c>
      <c r="M33" s="34">
        <f>COUNTIFS('Risk Register'!$H$2:$H$878,$H33,'Risk Register'!$G$2:$G$878,M$27,'Risk Register'!$L$2:$L$878,"&lt;&gt;"&amp;"Closed")</f>
        <v>0</v>
      </c>
      <c r="N33" s="34">
        <f>COUNTIFS('Risk Register'!$H$2:$H$878,$H33,'Risk Register'!$G$2:$G$878,N$27,'Risk Register'!$L$2:$L$878,"&lt;&gt;"&amp;"Closed")</f>
        <v>0</v>
      </c>
      <c r="AG33" s="35"/>
      <c r="AH33" s="34">
        <f t="shared" si="0"/>
        <v>0</v>
      </c>
      <c r="AI33" s="34">
        <f t="shared" si="0"/>
        <v>0</v>
      </c>
      <c r="AJ33" s="34">
        <f t="shared" si="0"/>
        <v>0</v>
      </c>
      <c r="AK33" s="34">
        <f t="shared" si="0"/>
        <v>0</v>
      </c>
      <c r="AL33" s="34">
        <f t="shared" si="0"/>
        <v>0</v>
      </c>
    </row>
    <row r="34" spans="1:38" ht="26.25" customHeight="1">
      <c r="B34" s="24" t="str">
        <f>IF($AE30="","",INDEX('Risk Register'!$A$2:$A$880,$AE30))</f>
        <v/>
      </c>
      <c r="C34" s="25" t="str">
        <f>IF($AE30="","",INDEX('Risk Register'!$C$2:$C$880,$AE30))</f>
        <v/>
      </c>
      <c r="D34" s="26" t="str">
        <f>IF($AE30="","",INDEX('Risk Register'!$I$2:$I$880,$AE30))</f>
        <v/>
      </c>
      <c r="AH34" s="19" t="s">
        <v>11</v>
      </c>
      <c r="AI34" s="19"/>
    </row>
    <row r="35" spans="1:38" ht="26.25" customHeight="1">
      <c r="AH35" s="19" t="s">
        <v>12</v>
      </c>
      <c r="AI35" s="19" t="s">
        <v>13</v>
      </c>
    </row>
    <row r="36" spans="1:38" ht="26.25" customHeight="1">
      <c r="AH36" s="19" t="s">
        <v>14</v>
      </c>
      <c r="AI36" s="19" t="s">
        <v>15</v>
      </c>
    </row>
    <row r="37" spans="1:38" ht="12.75" customHeight="1">
      <c r="AH37" s="19" t="s">
        <v>16</v>
      </c>
      <c r="AI37" t="s">
        <v>17</v>
      </c>
    </row>
    <row r="38" spans="1:38" ht="12.75" customHeight="1">
      <c r="AH38" s="19" t="s">
        <v>18</v>
      </c>
      <c r="AI38" s="19" t="s">
        <v>19</v>
      </c>
    </row>
    <row r="39" spans="1:38" ht="19.5" customHeight="1"/>
    <row r="40" spans="1:38" ht="10.5" customHeight="1"/>
    <row r="41" spans="1:38" ht="34.5" customHeight="1">
      <c r="A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</row>
    <row r="42" spans="1:38" ht="34.5" customHeight="1"/>
    <row r="43" spans="1:38" ht="34.5" customHeight="1"/>
    <row r="44" spans="1:38" ht="35.25" customHeight="1"/>
    <row r="45" spans="1:38" ht="35.25" customHeight="1"/>
    <row r="46" spans="1:38" ht="35.25" customHeight="1"/>
    <row r="47" spans="1:38" ht="35.25" customHeight="1"/>
    <row r="48" spans="1:38" ht="35.25" customHeight="1">
      <c r="B48" s="40"/>
      <c r="C48" s="40"/>
    </row>
    <row r="49" spans="2:44" ht="13.5" customHeight="1">
      <c r="B49" s="40"/>
      <c r="C49" s="40"/>
    </row>
    <row r="50" spans="2:44" ht="22.5" customHeight="1">
      <c r="B50" s="40"/>
      <c r="C50" s="40"/>
    </row>
    <row r="53" spans="2:44" ht="24.75" customHeight="1"/>
    <row r="54" spans="2:44" ht="24.75" customHeight="1"/>
    <row r="55" spans="2:44" ht="24.75" customHeight="1"/>
    <row r="56" spans="2:44" ht="24.75" customHeight="1"/>
    <row r="57" spans="2:44" ht="24.75" customHeight="1"/>
    <row r="64" spans="2:44" ht="13.5" customHeight="1">
      <c r="AM64" s="41" t="s">
        <v>20</v>
      </c>
      <c r="AN64" s="41" t="s">
        <v>21</v>
      </c>
      <c r="AO64" s="41" t="s">
        <v>22</v>
      </c>
      <c r="AP64" s="41" t="s">
        <v>23</v>
      </c>
      <c r="AQ64" s="42" t="s">
        <v>24</v>
      </c>
      <c r="AR64" s="42" t="s">
        <v>25</v>
      </c>
    </row>
    <row r="65" spans="39:54" ht="13.5" customHeight="1">
      <c r="AM65" s="43">
        <f>IFERROR(AVERAGEIF('Risk Register'!$L$2:$L$880,"&lt;&gt;Closed",'Risk Register'!$I$2:$I$880),0)</f>
        <v>9.5</v>
      </c>
      <c r="AN65" s="41">
        <v>25</v>
      </c>
      <c r="AO65" s="44">
        <v>0.05</v>
      </c>
      <c r="AP65" s="42">
        <f>180-(AM65/AN65)*180</f>
        <v>111.6</v>
      </c>
      <c r="AQ65" s="41">
        <v>0</v>
      </c>
      <c r="AR65" s="42">
        <v>0</v>
      </c>
      <c r="AT65" s="19" t="s">
        <v>26</v>
      </c>
      <c r="AU65" s="45">
        <f>AS84+AS83</f>
        <v>6</v>
      </c>
    </row>
    <row r="66" spans="39:54" ht="13.5" customHeight="1">
      <c r="AM66" s="41"/>
      <c r="AN66" s="41"/>
      <c r="AO66" s="44">
        <v>0.05</v>
      </c>
      <c r="AP66" s="41"/>
      <c r="AQ66" s="41">
        <f>COS(RADIANS(AP65))</f>
        <v>-0.36812455268467775</v>
      </c>
      <c r="AR66" s="42">
        <f>SIN(RADIANS(AP65))</f>
        <v>0.92977648588825146</v>
      </c>
      <c r="AT66" t="s">
        <v>27</v>
      </c>
      <c r="AU66" s="46">
        <f>COUNTIF('Risk Register'!L$2:L$870,"="&amp;"Closed")</f>
        <v>1</v>
      </c>
    </row>
    <row r="67" spans="39:54" ht="13.5" customHeight="1">
      <c r="AM67" s="41"/>
      <c r="AN67" s="41"/>
      <c r="AO67" s="44">
        <v>0.05</v>
      </c>
      <c r="AP67" s="41"/>
      <c r="AQ67" s="41"/>
      <c r="AR67" s="41"/>
    </row>
    <row r="68" spans="39:54" ht="13.5" customHeight="1">
      <c r="AM68" s="41"/>
      <c r="AN68" s="41"/>
      <c r="AO68" s="44">
        <v>0.05</v>
      </c>
      <c r="AP68" s="41"/>
      <c r="AQ68" s="41"/>
      <c r="AR68" s="41"/>
    </row>
    <row r="69" spans="39:54" ht="13.5" customHeight="1">
      <c r="AM69" s="41"/>
      <c r="AN69" s="41"/>
      <c r="AO69" s="44">
        <v>0.05</v>
      </c>
      <c r="AP69" s="41"/>
      <c r="AQ69" s="41"/>
      <c r="AR69" s="41"/>
    </row>
    <row r="70" spans="39:54" ht="13.5" customHeight="1">
      <c r="AM70" s="41"/>
      <c r="AN70" s="41"/>
      <c r="AO70" s="44">
        <v>0.05</v>
      </c>
      <c r="AP70" s="41"/>
      <c r="AQ70" s="41"/>
      <c r="AR70" s="41"/>
    </row>
    <row r="71" spans="39:54" ht="13.5" customHeight="1">
      <c r="AM71" s="41"/>
      <c r="AN71" s="41"/>
      <c r="AO71" s="44">
        <v>0.05</v>
      </c>
      <c r="AP71" s="41"/>
      <c r="AQ71" s="41"/>
      <c r="AR71" s="41"/>
    </row>
    <row r="72" spans="39:54" ht="13.5" customHeight="1">
      <c r="AM72" s="41"/>
      <c r="AN72" s="41"/>
      <c r="AO72" s="44">
        <v>0.05</v>
      </c>
      <c r="AP72" s="41"/>
      <c r="AQ72" s="41"/>
      <c r="AR72" s="41"/>
    </row>
    <row r="73" spans="39:54" ht="13.5" customHeight="1">
      <c r="AM73" s="41"/>
      <c r="AN73" s="41"/>
      <c r="AO73" s="44">
        <v>0.05</v>
      </c>
      <c r="AP73" s="41"/>
      <c r="AQ73" s="41"/>
      <c r="AR73" s="41"/>
    </row>
    <row r="74" spans="39:54" ht="13.5" customHeight="1">
      <c r="AM74" s="41"/>
      <c r="AN74" s="41"/>
      <c r="AO74" s="44">
        <v>0.05</v>
      </c>
      <c r="AP74" s="41"/>
      <c r="AQ74" s="41"/>
      <c r="AR74" s="41"/>
    </row>
    <row r="75" spans="39:54" ht="13.5" customHeight="1">
      <c r="AM75" s="41"/>
      <c r="AN75" s="41"/>
      <c r="AO75" s="44">
        <v>0.5</v>
      </c>
      <c r="AP75" s="41"/>
      <c r="AQ75" s="41"/>
      <c r="AR75" s="41"/>
    </row>
    <row r="76" spans="39:54" ht="13.5" customHeight="1">
      <c r="AV76" s="11" t="s">
        <v>28</v>
      </c>
      <c r="AW76" s="11"/>
      <c r="AX76" s="11"/>
      <c r="AY76" s="11"/>
      <c r="AZ76" s="11"/>
      <c r="BA76" s="11"/>
    </row>
    <row r="77" spans="39:54" ht="39" customHeight="1">
      <c r="AT77" s="19"/>
      <c r="AU77" s="47" t="s">
        <v>29</v>
      </c>
      <c r="AV77" s="48" t="s">
        <v>30</v>
      </c>
      <c r="AW77" s="48" t="s">
        <v>31</v>
      </c>
      <c r="AX77" s="48" t="s">
        <v>32</v>
      </c>
      <c r="AY77" s="48" t="s">
        <v>33</v>
      </c>
      <c r="AZ77" s="49" t="s">
        <v>34</v>
      </c>
      <c r="BA77" s="50" t="s">
        <v>35</v>
      </c>
      <c r="BB77" s="51" t="s">
        <v>36</v>
      </c>
    </row>
    <row r="78" spans="39:54" ht="12.75" customHeight="1">
      <c r="AT78" s="10" t="s">
        <v>37</v>
      </c>
      <c r="AU78" s="52" t="s">
        <v>38</v>
      </c>
      <c r="AV78" s="53">
        <f>COUNTIFS('Risk Register'!$J:$J,AV$77,'Risk Register'!$L:$L,$AU78)</f>
        <v>0</v>
      </c>
      <c r="AW78" s="53">
        <f>COUNTIFS('Risk Register'!$J:$J,AW$77,'Risk Register'!$L:$L,$AU78)</f>
        <v>0</v>
      </c>
      <c r="AX78" s="53">
        <f>COUNTIFS('Risk Register'!$J:$J,AX$77,'Risk Register'!$L:$L,$AU78)</f>
        <v>1</v>
      </c>
      <c r="AY78" s="53">
        <f>COUNTIFS('Risk Register'!$J:$J,AY$77,'Risk Register'!$L:$L,$AU78)</f>
        <v>0</v>
      </c>
      <c r="AZ78" s="53">
        <f>COUNTIFS('Risk Register'!$J:$J,AZ$77,'Risk Register'!$L:$L,$AU78)</f>
        <v>0</v>
      </c>
      <c r="BA78" s="54">
        <f>SUM(AV78:AZ78)</f>
        <v>1</v>
      </c>
      <c r="BB78" s="55">
        <f>BA78/BA82</f>
        <v>0.14285714285714285</v>
      </c>
    </row>
    <row r="79" spans="39:54" ht="39" customHeight="1">
      <c r="AT79" s="10"/>
      <c r="AU79" s="56" t="s">
        <v>39</v>
      </c>
      <c r="AV79" s="57">
        <f>COUNTIFS('Risk Register'!$J:$J,AV$77,'Risk Register'!$L:$L,$AU79)</f>
        <v>0</v>
      </c>
      <c r="AW79" s="57">
        <f>COUNTIFS('Risk Register'!$J:$J,AW$77,'Risk Register'!$L:$L,$AU79)</f>
        <v>0</v>
      </c>
      <c r="AX79" s="58">
        <f>COUNTIFS('Risk Register'!$J:$J,AX$77,'Risk Register'!$L:$L,$AU79)</f>
        <v>2</v>
      </c>
      <c r="AY79" s="59">
        <f>COUNTIFS('Risk Register'!$J:$J,AY$77,'Risk Register'!$L:$L,$AU79)</f>
        <v>0</v>
      </c>
      <c r="AZ79" s="59">
        <f>COUNTIFS('Risk Register'!$J:$J,AZ$77,'Risk Register'!$L:$L,$AU79)</f>
        <v>0</v>
      </c>
      <c r="BA79" s="54">
        <f>SUM(AV79:AZ79)</f>
        <v>2</v>
      </c>
      <c r="BB79" s="55">
        <f>BA79/BA82</f>
        <v>0.2857142857142857</v>
      </c>
    </row>
    <row r="80" spans="39:54" ht="12.75" customHeight="1">
      <c r="AT80" s="10"/>
      <c r="AU80" s="56" t="s">
        <v>40</v>
      </c>
      <c r="AV80" s="60">
        <f>COUNTIFS('Risk Register'!$J:$J,AV$77,'Risk Register'!$L:$L,$AU80)</f>
        <v>0</v>
      </c>
      <c r="AW80" s="60">
        <f>COUNTIFS('Risk Register'!$J:$J,AW$77,'Risk Register'!$L:$L,$AU80)</f>
        <v>1</v>
      </c>
      <c r="AX80" s="58">
        <f>COUNTIFS('Risk Register'!$J:$J,AX$77,'Risk Register'!$L:$L,$AU80)</f>
        <v>0</v>
      </c>
      <c r="AY80" s="59">
        <f>COUNTIFS('Risk Register'!$J:$J,AY$77,'Risk Register'!$L:$L,$AU80)</f>
        <v>1</v>
      </c>
      <c r="AZ80" s="59">
        <f>COUNTIFS('Risk Register'!$J:$J,AZ$77,'Risk Register'!$L:$L,$AU80)</f>
        <v>1</v>
      </c>
      <c r="BA80" s="54">
        <f>SUM(AV80:AZ80)</f>
        <v>3</v>
      </c>
      <c r="BB80" s="55">
        <f>BA80/BA82</f>
        <v>0.42857142857142855</v>
      </c>
    </row>
    <row r="81" spans="44:55" ht="26.25" customHeight="1">
      <c r="AT81" s="10"/>
      <c r="AU81" s="56" t="s">
        <v>41</v>
      </c>
      <c r="AV81" s="60">
        <f>COUNTIFS('Risk Register'!$J:$J,AV$77,'Risk Register'!$L:$L,$AU81)</f>
        <v>0</v>
      </c>
      <c r="AW81" s="60">
        <f>COUNTIFS('Risk Register'!$J:$J,AW$77,'Risk Register'!$L:$L,$AU81)</f>
        <v>0</v>
      </c>
      <c r="AX81" s="58">
        <f>COUNTIFS('Risk Register'!$J:$J,AX$77,'Risk Register'!$L:$L,$AU81)</f>
        <v>1</v>
      </c>
      <c r="AY81" s="59">
        <f>COUNTIFS('Risk Register'!$J:$J,AY$77,'Risk Register'!$L:$L,$AU81)</f>
        <v>0</v>
      </c>
      <c r="AZ81" s="59">
        <f>COUNTIFS('Risk Register'!$J:$J,AZ$77,'Risk Register'!$L:$L,$AU81)</f>
        <v>0</v>
      </c>
      <c r="BA81" s="54">
        <f>SUM(AV81:AZ81)</f>
        <v>1</v>
      </c>
      <c r="BB81" s="55">
        <f>BA81/BA82</f>
        <v>0.14285714285714285</v>
      </c>
    </row>
    <row r="82" spans="44:55" ht="12.75" customHeight="1">
      <c r="AT82" s="19"/>
      <c r="AU82" s="56" t="s">
        <v>35</v>
      </c>
      <c r="AV82" s="54">
        <f>SUM(AV78:AV81)</f>
        <v>0</v>
      </c>
      <c r="AW82" s="54">
        <f>SUM(AW78:AW81)</f>
        <v>1</v>
      </c>
      <c r="AX82" s="54">
        <f>SUM(AX78:AX81)</f>
        <v>4</v>
      </c>
      <c r="AY82" s="54">
        <f>SUM(AY78:AY81)</f>
        <v>1</v>
      </c>
      <c r="AZ82" s="54">
        <f>SUM(AZ78:AZ81)</f>
        <v>1</v>
      </c>
      <c r="BA82" s="54">
        <f>SUM(AV82:AZ82)</f>
        <v>7</v>
      </c>
      <c r="BB82" s="55">
        <f>SUM(BB78:BB81)</f>
        <v>1</v>
      </c>
    </row>
    <row r="83" spans="44:55" ht="26.25" customHeight="1">
      <c r="AR83" s="61" t="s">
        <v>41</v>
      </c>
      <c r="AS83" s="46">
        <f>BA81</f>
        <v>1</v>
      </c>
      <c r="AU83" s="56" t="s">
        <v>42</v>
      </c>
      <c r="AV83" s="55">
        <f>AV82/BA82</f>
        <v>0</v>
      </c>
      <c r="AW83" s="55">
        <f>AW82/BA82</f>
        <v>0.14285714285714285</v>
      </c>
      <c r="AX83" s="55">
        <f>AX82/BA82</f>
        <v>0.5714285714285714</v>
      </c>
      <c r="AY83" s="55">
        <f>AY82/BA82</f>
        <v>0.14285714285714285</v>
      </c>
      <c r="AZ83" s="55">
        <f>AZ82/BA82</f>
        <v>0.14285714285714285</v>
      </c>
      <c r="BA83" s="55">
        <f>SUM(AV83:AY83)</f>
        <v>0.85714285714285698</v>
      </c>
    </row>
    <row r="84" spans="44:55" ht="12.75" customHeight="1">
      <c r="AR84" s="61" t="s">
        <v>39</v>
      </c>
      <c r="AS84" s="61">
        <f>BA79+BA80</f>
        <v>5</v>
      </c>
      <c r="AT84" s="19"/>
    </row>
    <row r="85" spans="44:55" ht="13.5" customHeight="1">
      <c r="AR85" s="62" t="s">
        <v>38</v>
      </c>
      <c r="AS85" s="61">
        <f>BA78</f>
        <v>1</v>
      </c>
      <c r="AU85" s="62"/>
      <c r="AV85" s="62" t="str">
        <f>AV77</f>
        <v>Critical</v>
      </c>
      <c r="AW85" s="62" t="str">
        <f>AW77</f>
        <v>High</v>
      </c>
      <c r="AX85" s="62" t="str">
        <f>AX77</f>
        <v>Moderate</v>
      </c>
      <c r="AY85" s="62" t="str">
        <f>AY77</f>
        <v>Tolerable</v>
      </c>
      <c r="AZ85" s="62" t="str">
        <f>AZ77</f>
        <v>Negligible</v>
      </c>
    </row>
    <row r="86" spans="44:55" ht="12.75" customHeight="1">
      <c r="AT86" s="19"/>
      <c r="AU86" s="63" t="s">
        <v>43</v>
      </c>
      <c r="AV86" s="64">
        <f>AV82-AV78</f>
        <v>0</v>
      </c>
      <c r="AW86" s="64">
        <f>AW82-AW78</f>
        <v>1</v>
      </c>
      <c r="AX86" s="64">
        <f>AX82-AX78</f>
        <v>3</v>
      </c>
      <c r="AY86" s="64">
        <f>AY82-AY78</f>
        <v>1</v>
      </c>
      <c r="AZ86" s="64">
        <f>AZ82-AZ78</f>
        <v>1</v>
      </c>
      <c r="BA86" s="19"/>
      <c r="BB86" s="19"/>
      <c r="BC86" s="19"/>
    </row>
    <row r="87" spans="44:55" ht="12.75" customHeight="1">
      <c r="AT87" s="19"/>
    </row>
    <row r="88" spans="44:55" ht="13.5" customHeight="1">
      <c r="AT88" s="65"/>
      <c r="AU88" s="62"/>
      <c r="AV88" s="62" t="str">
        <f>AV100&amp;" Very High"</f>
        <v>0 Very High</v>
      </c>
      <c r="AW88" s="62" t="str">
        <f>AW100&amp;" High Risk"</f>
        <v>0 High Risk</v>
      </c>
      <c r="AX88" s="62" t="str">
        <f>AX100&amp; " Medium Risk"</f>
        <v>0 Medium Risk</v>
      </c>
      <c r="AY88" s="62" t="str">
        <f>AY100&amp;" Low Risk"</f>
        <v>0 Low Risk</v>
      </c>
      <c r="AZ88" s="62" t="str">
        <f>AZ100&amp;" Very Low Risk"</f>
        <v>0 Very Low Risk</v>
      </c>
      <c r="BA88" s="66" t="s">
        <v>44</v>
      </c>
    </row>
    <row r="89" spans="44:55" ht="12.75" customHeight="1">
      <c r="AT89" s="67"/>
      <c r="AU89" s="68"/>
      <c r="AV89" s="46">
        <f>COUNTIFS('Risk Register'!$J$2:$J$878,AV$77,'Risk Register'!$M$2:$M$878,$AU89,'Risk Register'!$L$2:$L$878,"&lt;&gt;"&amp;"Closed")</f>
        <v>0</v>
      </c>
      <c r="AW89" s="46">
        <f>COUNTIFS('Risk Register'!$J$2:$J$878,AW$77,'Risk Register'!$M$2:$M$878,$AU89,'Risk Register'!$L$2:$L$878,"&lt;&gt;"&amp;"Closed")</f>
        <v>0</v>
      </c>
      <c r="AX89" s="46">
        <f>COUNTIFS('Risk Register'!$J$2:$J$878,AX$77,'Risk Register'!$M$2:$M$878,$AU89,'Risk Register'!$L$2:$L$878,"&lt;&gt;"&amp;"Closed")</f>
        <v>0</v>
      </c>
      <c r="AY89" s="46">
        <f>COUNTIFS('Risk Register'!$J$2:$J$878,AY$77,'Risk Register'!$M$2:$M$878,$AU89,'Risk Register'!$L$2:$L$878,"&lt;&gt;"&amp;"Closed")</f>
        <v>0</v>
      </c>
      <c r="AZ89" s="46">
        <f>COUNTIFS('Risk Register'!$J$2:$J$878,AZ$77,'Risk Register'!$M$2:$M$878,$AU89,'Risk Register'!$L$2:$L$878,"&lt;&gt;"&amp;"Closed")</f>
        <v>0</v>
      </c>
      <c r="BA89" s="69">
        <f t="shared" ref="BA89:BA95" si="1">SUM(AV89:AZ89)</f>
        <v>0</v>
      </c>
    </row>
    <row r="90" spans="44:55" ht="12.75" customHeight="1">
      <c r="AT90" s="67"/>
      <c r="AU90" s="68"/>
      <c r="AV90" s="46">
        <f>COUNTIFS('Risk Register'!$J$2:$J$878,AV$77,'Risk Register'!$M$2:$M$878,$AU90,'Risk Register'!$L$2:$L$878,"&lt;&gt;"&amp;"Closed")</f>
        <v>0</v>
      </c>
      <c r="AW90" s="46">
        <f>COUNTIFS('Risk Register'!$J$2:$J$878,AW$77,'Risk Register'!$M$2:$M$878,$AU90,'Risk Register'!$L$2:$L$878,"&lt;&gt;"&amp;"Closed")</f>
        <v>0</v>
      </c>
      <c r="AX90" s="46">
        <f>COUNTIFS('Risk Register'!$J$2:$J$878,AX$77,'Risk Register'!$M$2:$M$878,$AU90,'Risk Register'!$L$2:$L$878,"&lt;&gt;"&amp;"Closed")</f>
        <v>0</v>
      </c>
      <c r="AY90" s="46">
        <f>COUNTIFS('Risk Register'!$J$2:$J$878,AY$77,'Risk Register'!$M$2:$M$878,$AU90,'Risk Register'!$L$2:$L$878,"&lt;&gt;"&amp;"Closed")</f>
        <v>0</v>
      </c>
      <c r="AZ90" s="46">
        <f>COUNTIFS('Risk Register'!$J$2:$J$878,AZ$77,'Risk Register'!$M$2:$M$878,$AU90,'Risk Register'!$L$2:$L$878,"&lt;&gt;"&amp;"Closed")</f>
        <v>0</v>
      </c>
      <c r="BA90" s="69">
        <f t="shared" si="1"/>
        <v>0</v>
      </c>
    </row>
    <row r="91" spans="44:55" ht="12.75" customHeight="1">
      <c r="AT91" s="67"/>
      <c r="AU91" s="68"/>
      <c r="AV91" s="46">
        <f>COUNTIFS('Risk Register'!$J$2:$J$878,AV$77,'Risk Register'!$M$2:$M$878,$AU91,'Risk Register'!$L$2:$L$878,"&lt;&gt;"&amp;"Closed")</f>
        <v>0</v>
      </c>
      <c r="AW91" s="46">
        <f>COUNTIFS('Risk Register'!$J$2:$J$878,AW$77,'Risk Register'!$M$2:$M$878,$AU91,'Risk Register'!$L$2:$L$878,"&lt;&gt;"&amp;"Closed")</f>
        <v>0</v>
      </c>
      <c r="AX91" s="46">
        <f>COUNTIFS('Risk Register'!$J$2:$J$878,AX$77,'Risk Register'!$M$2:$M$878,$AU91,'Risk Register'!$L$2:$L$878,"&lt;&gt;"&amp;"Closed")</f>
        <v>0</v>
      </c>
      <c r="AY91" s="46">
        <f>COUNTIFS('Risk Register'!$J$2:$J$878,AY$77,'Risk Register'!$M$2:$M$878,$AU91,'Risk Register'!$L$2:$L$878,"&lt;&gt;"&amp;"Closed")</f>
        <v>0</v>
      </c>
      <c r="AZ91" s="46">
        <f>COUNTIFS('Risk Register'!$J$2:$J$878,AZ$77,'Risk Register'!$M$2:$M$878,$AU91,'Risk Register'!$L$2:$L$878,"&lt;&gt;"&amp;"Closed")</f>
        <v>0</v>
      </c>
      <c r="BA91" s="69">
        <f t="shared" si="1"/>
        <v>0</v>
      </c>
    </row>
    <row r="92" spans="44:55" ht="12.75" customHeight="1">
      <c r="AT92" s="67"/>
      <c r="AU92" s="68"/>
      <c r="AV92" s="46">
        <f>COUNTIFS('Risk Register'!$J$2:$J$878,AV$77,'Risk Register'!$M$2:$M$878,$AU92,'Risk Register'!$L$2:$L$878,"&lt;&gt;"&amp;"Closed")</f>
        <v>0</v>
      </c>
      <c r="AW92" s="46">
        <f>COUNTIFS('Risk Register'!$J$2:$J$878,AW$77,'Risk Register'!$M$2:$M$878,$AU92,'Risk Register'!$L$2:$L$878,"&lt;&gt;"&amp;"Closed")</f>
        <v>0</v>
      </c>
      <c r="AX92" s="46">
        <f>COUNTIFS('Risk Register'!$J$2:$J$878,AX$77,'Risk Register'!$M$2:$M$878,$AU92,'Risk Register'!$L$2:$L$878,"&lt;&gt;"&amp;"Closed")</f>
        <v>0</v>
      </c>
      <c r="AY92" s="46">
        <f>COUNTIFS('Risk Register'!$J$2:$J$878,AY$77,'Risk Register'!$M$2:$M$878,$AU92,'Risk Register'!$L$2:$L$878,"&lt;&gt;"&amp;"Closed")</f>
        <v>0</v>
      </c>
      <c r="AZ92" s="46">
        <f>COUNTIFS('Risk Register'!$J$2:$J$878,AZ$77,'Risk Register'!$M$2:$M$878,$AU92,'Risk Register'!$L$2:$L$878,"&lt;&gt;"&amp;"Closed")</f>
        <v>0</v>
      </c>
      <c r="BA92" s="69">
        <f t="shared" si="1"/>
        <v>0</v>
      </c>
    </row>
    <row r="93" spans="44:55" ht="12.75" customHeight="1">
      <c r="AT93" s="67"/>
      <c r="AU93" s="68"/>
      <c r="AV93" s="46">
        <f>COUNTIFS('Risk Register'!$J$2:$J$878,AV$77,'Risk Register'!$M$2:$M$878,$AU93,'Risk Register'!$L$2:$L$878,"&lt;&gt;"&amp;"Closed")</f>
        <v>0</v>
      </c>
      <c r="AW93" s="46">
        <f>COUNTIFS('Risk Register'!$J$2:$J$878,AW$77,'Risk Register'!$M$2:$M$878,$AU93,'Risk Register'!$L$2:$L$878,"&lt;&gt;"&amp;"Closed")</f>
        <v>0</v>
      </c>
      <c r="AX93" s="46">
        <f>COUNTIFS('Risk Register'!$J$2:$J$878,AX$77,'Risk Register'!$M$2:$M$878,$AU93,'Risk Register'!$L$2:$L$878,"&lt;&gt;"&amp;"Closed")</f>
        <v>0</v>
      </c>
      <c r="AY93" s="46">
        <f>COUNTIFS('Risk Register'!$J$2:$J$878,AY$77,'Risk Register'!$M$2:$M$878,$AU93,'Risk Register'!$L$2:$L$878,"&lt;&gt;"&amp;"Closed")</f>
        <v>0</v>
      </c>
      <c r="AZ93" s="46">
        <f>COUNTIFS('Risk Register'!$J$2:$J$878,AZ$77,'Risk Register'!$M$2:$M$878,$AU93,'Risk Register'!$L$2:$L$878,"&lt;&gt;"&amp;"Closed")</f>
        <v>0</v>
      </c>
      <c r="BA93" s="69">
        <f t="shared" si="1"/>
        <v>0</v>
      </c>
    </row>
    <row r="94" spans="44:55" ht="12.75" customHeight="1">
      <c r="AT94" s="67"/>
      <c r="AU94" s="68"/>
      <c r="AV94" s="46">
        <f>COUNTIFS('Risk Register'!$J$2:$J$878,AV$77,'Risk Register'!$M$2:$M$878,$AU94,'Risk Register'!$L$2:$L$878,"&lt;&gt;"&amp;"Closed")</f>
        <v>0</v>
      </c>
      <c r="AW94" s="46">
        <f>COUNTIFS('Risk Register'!$J$2:$J$878,AW$77,'Risk Register'!$M$2:$M$878,$AU94,'Risk Register'!$L$2:$L$878,"&lt;&gt;"&amp;"Closed")</f>
        <v>0</v>
      </c>
      <c r="AX94" s="46">
        <f>COUNTIFS('Risk Register'!$J$2:$J$878,AX$77,'Risk Register'!$M$2:$M$878,$AU94,'Risk Register'!$L$2:$L$878,"&lt;&gt;"&amp;"Closed")</f>
        <v>0</v>
      </c>
      <c r="AY94" s="46">
        <f>COUNTIFS('Risk Register'!$J$2:$J$878,AY$77,'Risk Register'!$M$2:$M$878,$AU94,'Risk Register'!$L$2:$L$878,"&lt;&gt;"&amp;"Closed")</f>
        <v>0</v>
      </c>
      <c r="AZ94" s="46">
        <f>COUNTIFS('Risk Register'!$J$2:$J$878,AZ$77,'Risk Register'!$M$2:$M$878,$AU94,'Risk Register'!$L$2:$L$878,"&lt;&gt;"&amp;"Closed")</f>
        <v>0</v>
      </c>
      <c r="BA94" s="69">
        <f t="shared" si="1"/>
        <v>0</v>
      </c>
      <c r="BC94" s="67"/>
    </row>
    <row r="95" spans="44:55" ht="12.75" customHeight="1">
      <c r="AT95" s="67"/>
      <c r="AU95" s="68"/>
      <c r="AV95" s="46">
        <f>COUNTIFS('Risk Register'!$J$2:$J$878,AV$77,'Risk Register'!$M$2:$M$878,$AU95,'Risk Register'!$L$2:$L$878,"&lt;&gt;"&amp;"Closed")</f>
        <v>0</v>
      </c>
      <c r="AW95" s="46">
        <f>COUNTIFS('Risk Register'!$J$2:$J$878,AW$77,'Risk Register'!$M$2:$M$878,$AU95,'Risk Register'!$L$2:$L$878,"&lt;&gt;"&amp;"Closed")</f>
        <v>0</v>
      </c>
      <c r="AX95" s="46">
        <f>COUNTIFS('Risk Register'!$J$2:$J$878,AX$77,'Risk Register'!$M$2:$M$878,$AU95,'Risk Register'!$L$2:$L$878,"&lt;&gt;"&amp;"Closed")</f>
        <v>0</v>
      </c>
      <c r="AY95" s="46">
        <f>COUNTIFS('Risk Register'!$J$2:$J$878,AY$77,'Risk Register'!$M$2:$M$878,$AU95,'Risk Register'!$L$2:$L$878,"&lt;&gt;"&amp;"Closed")</f>
        <v>0</v>
      </c>
      <c r="AZ95" s="46">
        <f>COUNTIFS('Risk Register'!$J$2:$J$878,AZ$77,'Risk Register'!$M$2:$M$878,$AU95,'Risk Register'!$L$2:$L$878,"&lt;&gt;"&amp;"Closed")</f>
        <v>0</v>
      </c>
      <c r="BA95" s="69">
        <f t="shared" si="1"/>
        <v>0</v>
      </c>
      <c r="BC95" s="67"/>
    </row>
    <row r="96" spans="44:55" ht="12.75" customHeight="1">
      <c r="AU96" s="68"/>
    </row>
    <row r="100" spans="47:53" ht="12.75" customHeight="1">
      <c r="AV100">
        <f>SUM(AV89:AV95)</f>
        <v>0</v>
      </c>
      <c r="AW100">
        <f>SUM(AW89:AW95)</f>
        <v>0</v>
      </c>
      <c r="AX100">
        <f>SUM(AX89:AX95)</f>
        <v>0</v>
      </c>
      <c r="AY100">
        <f>SUM(AY89:AY95)</f>
        <v>0</v>
      </c>
      <c r="AZ100">
        <f>SUM(AZ89:AZ95)</f>
        <v>0</v>
      </c>
    </row>
    <row r="101" spans="47:53" ht="13.5" customHeight="1">
      <c r="AU101" s="62" t="s">
        <v>12</v>
      </c>
      <c r="AV101" s="46">
        <f>COUNTIFS('Risk Register'!$J$2:$J$878,AV$77,'Risk Register'!$P$2:$P$878,$AU101,'Risk Register'!$L$2:$L$878,"&lt;&gt;"&amp;"Closed")</f>
        <v>0</v>
      </c>
      <c r="AW101" s="46">
        <f>COUNTIFS('Risk Register'!$J$2:$J$878,AW$77,'Risk Register'!$P$2:$P$878,$AU101,'Risk Register'!$L$2:$L$878,"&lt;&gt;"&amp;"Closed")</f>
        <v>0</v>
      </c>
      <c r="AX101" s="46">
        <f>COUNTIFS('Risk Register'!$J$2:$J$878,AX$77,'Risk Register'!$P$2:$P$878,$AU101,'Risk Register'!$L$2:$L$878,"&lt;&gt;"&amp;"Closed")</f>
        <v>1</v>
      </c>
      <c r="AY101" s="46">
        <f>COUNTIFS('Risk Register'!$J$2:$J$878,AY$77,'Risk Register'!$P$2:$P$878,$AU101,'Risk Register'!$L$2:$L$878,"&lt;&gt;"&amp;"Closed")</f>
        <v>0</v>
      </c>
      <c r="AZ101" s="46">
        <f>COUNTIFS('Risk Register'!$J$2:$J$878,AZ$77,'Risk Register'!$P$2:$P$878,$AU101,'Risk Register'!$L$2:$L$878,"&lt;&gt;"&amp;"Closed")</f>
        <v>0</v>
      </c>
    </row>
    <row r="102" spans="47:53" ht="13.5" customHeight="1">
      <c r="AU102" s="62" t="s">
        <v>45</v>
      </c>
      <c r="AV102" s="46">
        <f>COUNTIFS('Risk Register'!$J$2:$J$878,AV$77,'Risk Register'!$P$2:$P$878,$AU102,'Risk Register'!$L$2:$L$878,"&lt;&gt;"&amp;"Closed")</f>
        <v>0</v>
      </c>
      <c r="AW102" s="46">
        <f>COUNTIFS('Risk Register'!$J$2:$J$878,AW$77,'Risk Register'!$P$2:$P$878,$AU102,'Risk Register'!$L$2:$L$878,"&lt;&gt;"&amp;"Closed")</f>
        <v>0</v>
      </c>
      <c r="AX102" s="46">
        <f>COUNTIFS('Risk Register'!$J$2:$J$878,AX$77,'Risk Register'!$P$2:$P$878,$AU102,'Risk Register'!$L$2:$L$878,"&lt;&gt;"&amp;"Closed")</f>
        <v>0</v>
      </c>
      <c r="AY102" s="46">
        <f>COUNTIFS('Risk Register'!$J$2:$J$878,AY$77,'Risk Register'!$P$2:$P$878,$AU102,'Risk Register'!$L$2:$L$878,"&lt;&gt;"&amp;"Closed")</f>
        <v>0</v>
      </c>
      <c r="AZ102" s="46">
        <f>COUNTIFS('Risk Register'!$J$2:$J$878,AZ$77,'Risk Register'!$P$2:$P$878,$AU102,'Risk Register'!$L$2:$L$878,"&lt;&gt;"&amp;"Closed")</f>
        <v>1</v>
      </c>
    </row>
    <row r="103" spans="47:53" ht="13.5" customHeight="1">
      <c r="AU103" s="62" t="s">
        <v>14</v>
      </c>
      <c r="AV103" s="46">
        <f>COUNTIFS('Risk Register'!$J$2:$J$878,AV$77,'Risk Register'!$P$2:$P$878,$AU103,'Risk Register'!$L$2:$L$878,"&lt;&gt;"&amp;"Closed")</f>
        <v>0</v>
      </c>
      <c r="AW103" s="46">
        <f>COUNTIFS('Risk Register'!$J$2:$J$878,AW$77,'Risk Register'!$P$2:$P$878,$AU103,'Risk Register'!$L$2:$L$878,"&lt;&gt;"&amp;"Closed")</f>
        <v>0</v>
      </c>
      <c r="AX103" s="46">
        <f>COUNTIFS('Risk Register'!$J$2:$J$878,AX$77,'Risk Register'!$P$2:$P$878,$AU103,'Risk Register'!$L$2:$L$878,"&lt;&gt;"&amp;"Closed")</f>
        <v>0</v>
      </c>
      <c r="AY103" s="46">
        <f>COUNTIFS('Risk Register'!$J$2:$J$878,AY$77,'Risk Register'!$P$2:$P$878,$AU103,'Risk Register'!$L$2:$L$878,"&lt;&gt;"&amp;"Closed")</f>
        <v>1</v>
      </c>
      <c r="AZ103" s="46">
        <f>COUNTIFS('Risk Register'!$J$2:$J$878,AZ$77,'Risk Register'!$P$2:$P$878,$AU103,'Risk Register'!$L$2:$L$878,"&lt;&gt;"&amp;"Closed")</f>
        <v>0</v>
      </c>
    </row>
    <row r="104" spans="47:53" ht="12.75" customHeight="1">
      <c r="AU104" s="61" t="s">
        <v>16</v>
      </c>
      <c r="AV104" s="46">
        <f>COUNTIFS('Risk Register'!$J$2:$J$878,AV$77,'Risk Register'!$P$2:$P$878,$AU104,'Risk Register'!$L$2:$L$878,"&lt;&gt;"&amp;"Closed")</f>
        <v>0</v>
      </c>
      <c r="AW104" s="46">
        <f>COUNTIFS('Risk Register'!$J$2:$J$878,AW$77,'Risk Register'!$P$2:$P$878,$AU104,'Risk Register'!$L$2:$L$878,"&lt;&gt;"&amp;"Closed")</f>
        <v>0</v>
      </c>
      <c r="AX104" s="46">
        <f>COUNTIFS('Risk Register'!$J$2:$J$878,AX$77,'Risk Register'!$P$2:$P$878,$AU104,'Risk Register'!$L$2:$L$878,"&lt;&gt;"&amp;"Closed")</f>
        <v>2</v>
      </c>
      <c r="AY104" s="46">
        <f>COUNTIFS('Risk Register'!$J$2:$J$878,AY$77,'Risk Register'!$P$2:$P$878,$AU104,'Risk Register'!$L$2:$L$878,"&lt;&gt;"&amp;"Closed")</f>
        <v>0</v>
      </c>
      <c r="AZ104" s="46">
        <f>COUNTIFS('Risk Register'!$J$2:$J$878,AZ$77,'Risk Register'!$P$2:$P$878,$AU104,'Risk Register'!$L$2:$L$878,"&lt;&gt;"&amp;"Closed")</f>
        <v>0</v>
      </c>
    </row>
    <row r="105" spans="47:53" ht="12.75" customHeight="1">
      <c r="AU105" s="61" t="s">
        <v>18</v>
      </c>
      <c r="AV105" s="46">
        <f>COUNTIFS('Risk Register'!$J$2:$J$878,AV$77,'Risk Register'!$P$2:$P$878,$AU105,'Risk Register'!$L$2:$L$878,"&lt;&gt;"&amp;"Closed")</f>
        <v>0</v>
      </c>
      <c r="AW105" s="46">
        <f>COUNTIFS('Risk Register'!$J$2:$J$878,AW$77,'Risk Register'!$P$2:$P$878,$AU105,'Risk Register'!$L$2:$L$878,"&lt;&gt;"&amp;"Closed")</f>
        <v>1</v>
      </c>
      <c r="AX105" s="46">
        <f>COUNTIFS('Risk Register'!$J$2:$J$878,AX$77,'Risk Register'!$P$2:$P$878,$AU105,'Risk Register'!$L$2:$L$878,"&lt;&gt;"&amp;"Closed")</f>
        <v>0</v>
      </c>
      <c r="AY105" s="46">
        <f>COUNTIFS('Risk Register'!$J$2:$J$878,AY$77,'Risk Register'!$P$2:$P$878,$AU105,'Risk Register'!$L$2:$L$878,"&lt;&gt;"&amp;"Closed")</f>
        <v>0</v>
      </c>
      <c r="AZ105" s="46">
        <f>COUNTIFS('Risk Register'!$J$2:$J$878,AZ$77,'Risk Register'!$P$2:$P$878,$AU105,'Risk Register'!$L$2:$L$878,"&lt;&gt;"&amp;"Closed")</f>
        <v>0</v>
      </c>
    </row>
    <row r="106" spans="47:53" ht="13.5" customHeight="1">
      <c r="AV106" s="62" t="str">
        <f>AV107&amp;" Very High"</f>
        <v>0 Very High</v>
      </c>
      <c r="AW106" s="62" t="str">
        <f>AW107&amp;" High Risk"</f>
        <v>0 High Risk</v>
      </c>
      <c r="AX106" s="62" t="str">
        <f>AX107&amp; " Medium Risk"</f>
        <v>0 Medium Risk</v>
      </c>
      <c r="AY106" s="62" t="str">
        <f>AY107&amp;" Low Risk"</f>
        <v>0 Low Risk</v>
      </c>
      <c r="AZ106" s="62" t="str">
        <f>AZ107&amp;" Very Low Risk"</f>
        <v>0 Very Low Risk</v>
      </c>
      <c r="BA106" s="66" t="s">
        <v>44</v>
      </c>
    </row>
    <row r="107" spans="47:53" ht="13.5" customHeight="1">
      <c r="AV107" s="31">
        <f>SUM(AV108:AV115)</f>
        <v>0</v>
      </c>
      <c r="AW107" s="31">
        <f>SUM(AW108:AW115)</f>
        <v>0</v>
      </c>
      <c r="AX107" s="31">
        <f>SUM(AX108:AX115)</f>
        <v>0</v>
      </c>
      <c r="AY107" s="31">
        <f>SUM(AY108:AY115)</f>
        <v>0</v>
      </c>
      <c r="AZ107" s="31">
        <f>SUM(AZ108:AZ115)</f>
        <v>0</v>
      </c>
      <c r="BA107" s="69">
        <f t="shared" ref="BA107:BA115" si="2">SUM(AV107:AZ107)</f>
        <v>0</v>
      </c>
    </row>
    <row r="108" spans="47:53" ht="13.5" customHeight="1">
      <c r="AU108" s="70"/>
      <c r="AV108" s="46">
        <f>COUNTIFS('Risk Register'!$J$2:$J$878,AV$77,'Risk Register'!$F$2:$F$878,$AU108,'Risk Register'!$L$2:$L$878,"&lt;&gt;"&amp;"Closed")</f>
        <v>0</v>
      </c>
      <c r="AW108" s="46">
        <f>COUNTIFS('Risk Register'!$J$2:$J$878,AW$77,'Risk Register'!$F$2:$F$878,$AU108,'Risk Register'!$L$2:$L$878,"&lt;&gt;"&amp;"Closed")</f>
        <v>0</v>
      </c>
      <c r="AX108" s="46">
        <f>COUNTIFS('Risk Register'!$J$2:$J$878,AX$77,'Risk Register'!$F$2:$F$878,$AU108,'Risk Register'!$L$2:$L$878,"&lt;&gt;"&amp;"Closed")</f>
        <v>0</v>
      </c>
      <c r="AY108" s="46">
        <f>COUNTIFS('Risk Register'!$J$2:$J$878,AY$77,'Risk Register'!$F$2:$F$878,$AU108,'Risk Register'!$L$2:$L$878,"&lt;&gt;"&amp;"Closed")</f>
        <v>0</v>
      </c>
      <c r="AZ108" s="46">
        <f>COUNTIFS('Risk Register'!$J$2:$J$878,AZ$77,'Risk Register'!$F$2:$F$878,$AU108,'Risk Register'!$L$2:$L$878,"&lt;&gt;"&amp;"Closed")</f>
        <v>0</v>
      </c>
      <c r="BA108" s="69">
        <f t="shared" si="2"/>
        <v>0</v>
      </c>
    </row>
    <row r="109" spans="47:53" ht="13.5" customHeight="1">
      <c r="AU109" s="70"/>
      <c r="AV109" s="46">
        <f>COUNTIFS('Risk Register'!$J$2:$J$878,AV$77,'Risk Register'!$F$2:$F$878,$AU109,'Risk Register'!$L$2:$L$878,"&lt;&gt;"&amp;"Closed")</f>
        <v>0</v>
      </c>
      <c r="AW109" s="46">
        <f>COUNTIFS('Risk Register'!$J$2:$J$878,AW$77,'Risk Register'!$F$2:$F$878,$AU109,'Risk Register'!$L$2:$L$878,"&lt;&gt;"&amp;"Closed")</f>
        <v>0</v>
      </c>
      <c r="AX109" s="46">
        <f>COUNTIFS('Risk Register'!$J$2:$J$878,AX$77,'Risk Register'!$F$2:$F$878,$AU109,'Risk Register'!$L$2:$L$878,"&lt;&gt;"&amp;"Closed")</f>
        <v>0</v>
      </c>
      <c r="AY109" s="46">
        <f>COUNTIFS('Risk Register'!$J$2:$J$878,AY$77,'Risk Register'!$F$2:$F$878,$AU109,'Risk Register'!$L$2:$L$878,"&lt;&gt;"&amp;"Closed")</f>
        <v>0</v>
      </c>
      <c r="AZ109" s="46">
        <f>COUNTIFS('Risk Register'!$J$2:$J$878,AZ$77,'Risk Register'!$F$2:$F$878,$AU109,'Risk Register'!$L$2:$L$878,"&lt;&gt;"&amp;"Closed")</f>
        <v>0</v>
      </c>
      <c r="BA109" s="69">
        <f t="shared" si="2"/>
        <v>0</v>
      </c>
    </row>
    <row r="110" spans="47:53" ht="13.5" customHeight="1">
      <c r="AU110" s="70"/>
      <c r="AV110" s="46">
        <f>COUNTIFS('Risk Register'!$J$2:$J$878,AV$77,'Risk Register'!$F$2:$F$878,$AU110,'Risk Register'!$L$2:$L$878,"&lt;&gt;"&amp;"Closed")</f>
        <v>0</v>
      </c>
      <c r="AW110" s="46">
        <f>COUNTIFS('Risk Register'!$J$2:$J$878,AW$77,'Risk Register'!$F$2:$F$878,$AU110,'Risk Register'!$L$2:$L$878,"&lt;&gt;"&amp;"Closed")</f>
        <v>0</v>
      </c>
      <c r="AX110" s="46">
        <f>COUNTIFS('Risk Register'!$J$2:$J$878,AX$77,'Risk Register'!$F$2:$F$878,$AU110,'Risk Register'!$L$2:$L$878,"&lt;&gt;"&amp;"Closed")</f>
        <v>0</v>
      </c>
      <c r="AY110" s="46">
        <f>COUNTIFS('Risk Register'!$J$2:$J$878,AY$77,'Risk Register'!$F$2:$F$878,$AU110,'Risk Register'!$L$2:$L$878,"&lt;&gt;"&amp;"Closed")</f>
        <v>0</v>
      </c>
      <c r="AZ110" s="46">
        <f>COUNTIFS('Risk Register'!$J$2:$J$878,AZ$77,'Risk Register'!$F$2:$F$878,$AU110,'Risk Register'!$L$2:$L$878,"&lt;&gt;"&amp;"Closed")</f>
        <v>0</v>
      </c>
      <c r="BA110" s="69">
        <f t="shared" si="2"/>
        <v>0</v>
      </c>
    </row>
    <row r="111" spans="47:53" ht="13.5" customHeight="1">
      <c r="AU111" s="70"/>
      <c r="AV111" s="46">
        <f>COUNTIFS('Risk Register'!$J$2:$J$878,AV$77,'Risk Register'!$F$2:$F$878,$AU111,'Risk Register'!$L$2:$L$878,"&lt;&gt;"&amp;"Closed")</f>
        <v>0</v>
      </c>
      <c r="AW111" s="46">
        <f>COUNTIFS('Risk Register'!$J$2:$J$878,AW$77,'Risk Register'!$F$2:$F$878,$AU111,'Risk Register'!$L$2:$L$878,"&lt;&gt;"&amp;"Closed")</f>
        <v>0</v>
      </c>
      <c r="AX111" s="46">
        <f>COUNTIFS('Risk Register'!$J$2:$J$878,AX$77,'Risk Register'!$F$2:$F$878,$AU111,'Risk Register'!$L$2:$L$878,"&lt;&gt;"&amp;"Closed")</f>
        <v>0</v>
      </c>
      <c r="AY111" s="46">
        <f>COUNTIFS('Risk Register'!$J$2:$J$878,AY$77,'Risk Register'!$F$2:$F$878,$AU111,'Risk Register'!$L$2:$L$878,"&lt;&gt;"&amp;"Closed")</f>
        <v>0</v>
      </c>
      <c r="AZ111" s="46">
        <f>COUNTIFS('Risk Register'!$J$2:$J$878,AZ$77,'Risk Register'!$F$2:$F$878,$AU111,'Risk Register'!$L$2:$L$878,"&lt;&gt;"&amp;"Closed")</f>
        <v>0</v>
      </c>
      <c r="BA111" s="69">
        <f t="shared" si="2"/>
        <v>0</v>
      </c>
    </row>
    <row r="112" spans="47:53" ht="13.5" customHeight="1">
      <c r="AU112" s="70"/>
      <c r="AV112" s="46">
        <f>COUNTIFS('Risk Register'!$J$2:$J$878,AV$77,'Risk Register'!$F$2:$F$878,$AU112,'Risk Register'!$L$2:$L$878,"&lt;&gt;"&amp;"Closed")</f>
        <v>0</v>
      </c>
      <c r="AW112" s="46">
        <f>COUNTIFS('Risk Register'!$J$2:$J$878,AW$77,'Risk Register'!$F$2:$F$878,$AU112,'Risk Register'!$L$2:$L$878,"&lt;&gt;"&amp;"Closed")</f>
        <v>0</v>
      </c>
      <c r="AX112" s="46">
        <f>COUNTIFS('Risk Register'!$J$2:$J$878,AX$77,'Risk Register'!$F$2:$F$878,$AU112,'Risk Register'!$L$2:$L$878,"&lt;&gt;"&amp;"Closed")</f>
        <v>0</v>
      </c>
      <c r="AY112" s="46">
        <f>COUNTIFS('Risk Register'!$J$2:$J$878,AY$77,'Risk Register'!$F$2:$F$878,$AU112,'Risk Register'!$L$2:$L$878,"&lt;&gt;"&amp;"Closed")</f>
        <v>0</v>
      </c>
      <c r="AZ112" s="46">
        <f>COUNTIFS('Risk Register'!$J$2:$J$878,AZ$77,'Risk Register'!$F$2:$F$878,$AU112,'Risk Register'!$L$2:$L$878,"&lt;&gt;"&amp;"Closed")</f>
        <v>0</v>
      </c>
      <c r="BA112" s="69">
        <f t="shared" si="2"/>
        <v>0</v>
      </c>
    </row>
    <row r="113" spans="47:53" ht="13.5" customHeight="1">
      <c r="AU113" s="70"/>
      <c r="AV113" s="46">
        <f>COUNTIFS('Risk Register'!$J$2:$J$878,AV$77,'Risk Register'!$F$2:$F$878,$AU113,'Risk Register'!$L$2:$L$878,"&lt;&gt;"&amp;"Closed")</f>
        <v>0</v>
      </c>
      <c r="AW113" s="46">
        <f>COUNTIFS('Risk Register'!$J$2:$J$878,AW$77,'Risk Register'!$F$2:$F$878,$AU113,'Risk Register'!$L$2:$L$878,"&lt;&gt;"&amp;"Closed")</f>
        <v>0</v>
      </c>
      <c r="AX113" s="46">
        <f>COUNTIFS('Risk Register'!$J$2:$J$878,AX$77,'Risk Register'!$F$2:$F$878,$AU113,'Risk Register'!$L$2:$L$878,"&lt;&gt;"&amp;"Closed")</f>
        <v>0</v>
      </c>
      <c r="AY113" s="46">
        <f>COUNTIFS('Risk Register'!$J$2:$J$878,AY$77,'Risk Register'!$F$2:$F$878,$AU113,'Risk Register'!$L$2:$L$878,"&lt;&gt;"&amp;"Closed")</f>
        <v>0</v>
      </c>
      <c r="AZ113" s="46">
        <f>COUNTIFS('Risk Register'!$J$2:$J$878,AZ$77,'Risk Register'!$F$2:$F$878,$AU113,'Risk Register'!$L$2:$L$878,"&lt;&gt;"&amp;"Closed")</f>
        <v>0</v>
      </c>
      <c r="BA113" s="69">
        <f t="shared" si="2"/>
        <v>0</v>
      </c>
    </row>
    <row r="114" spans="47:53" ht="13.5" customHeight="1">
      <c r="AU114" s="70"/>
      <c r="AV114" s="46">
        <f>COUNTIFS('Risk Register'!$J$2:$J$878,AV$77,'Risk Register'!$F$2:$F$878,$AU114,'Risk Register'!$L$2:$L$878,"&lt;&gt;"&amp;"Closed")</f>
        <v>0</v>
      </c>
      <c r="AW114" s="46">
        <f>COUNTIFS('Risk Register'!$J$2:$J$878,AW$77,'Risk Register'!$F$2:$F$878,$AU114,'Risk Register'!$L$2:$L$878,"&lt;&gt;"&amp;"Closed")</f>
        <v>0</v>
      </c>
      <c r="AX114" s="46">
        <f>COUNTIFS('Risk Register'!$J$2:$J$878,AX$77,'Risk Register'!$F$2:$F$878,$AU114,'Risk Register'!$L$2:$L$878,"&lt;&gt;"&amp;"Closed")</f>
        <v>0</v>
      </c>
      <c r="AY114" s="46">
        <f>COUNTIFS('Risk Register'!$J$2:$J$878,AY$77,'Risk Register'!$F$2:$F$878,$AU114,'Risk Register'!$L$2:$L$878,"&lt;&gt;"&amp;"Closed")</f>
        <v>0</v>
      </c>
      <c r="AZ114" s="46">
        <f>COUNTIFS('Risk Register'!$J$2:$J$878,AZ$77,'Risk Register'!$F$2:$F$878,$AU114,'Risk Register'!$L$2:$L$878,"&lt;&gt;"&amp;"Closed")</f>
        <v>0</v>
      </c>
      <c r="BA114" s="69">
        <f t="shared" si="2"/>
        <v>0</v>
      </c>
    </row>
    <row r="115" spans="47:53" ht="13.5" customHeight="1">
      <c r="AU115" s="70"/>
      <c r="AV115" s="46">
        <f>COUNTIFS('Risk Register'!$J$2:$J$878,AV$77,'Risk Register'!$F$2:$F$878,$AU115,'Risk Register'!$L$2:$L$878,"&lt;&gt;"&amp;"Closed")</f>
        <v>0</v>
      </c>
      <c r="AW115" s="46">
        <f>COUNTIFS('Risk Register'!$J$2:$J$878,AW$77,'Risk Register'!$F$2:$F$878,$AU115,'Risk Register'!$L$2:$L$878,"&lt;&gt;"&amp;"Closed")</f>
        <v>0</v>
      </c>
      <c r="AX115" s="46">
        <f>COUNTIFS('Risk Register'!$J$2:$J$878,AX$77,'Risk Register'!$F$2:$F$878,$AU115,'Risk Register'!$L$2:$L$878,"&lt;&gt;"&amp;"Closed")</f>
        <v>0</v>
      </c>
      <c r="AY115" s="46">
        <f>COUNTIFS('Risk Register'!$J$2:$J$878,AY$77,'Risk Register'!$F$2:$F$878,$AU115,'Risk Register'!$L$2:$L$878,"&lt;&gt;"&amp;"Closed")</f>
        <v>0</v>
      </c>
      <c r="AZ115" s="46">
        <f>COUNTIFS('Risk Register'!$J$2:$J$878,AZ$77,'Risk Register'!$F$2:$F$878,$AU115,'Risk Register'!$L$2:$L$878,"&lt;&gt;"&amp;"Closed")</f>
        <v>0</v>
      </c>
      <c r="BA115" s="69">
        <f t="shared" si="2"/>
        <v>0</v>
      </c>
    </row>
  </sheetData>
  <mergeCells count="5">
    <mergeCell ref="G26:I28"/>
    <mergeCell ref="J26:N26"/>
    <mergeCell ref="G29:G33"/>
    <mergeCell ref="AV76:BA76"/>
    <mergeCell ref="AT78:AT81"/>
  </mergeCells>
  <conditionalFormatting sqref="D27:D34">
    <cfRule type="expression" dxfId="23" priority="2">
      <formula>D27&gt;=$AN$30</formula>
    </cfRule>
    <cfRule type="expression" dxfId="22" priority="3">
      <formula>AND(D27&gt;=$AN$31,D27&lt;$AN$30)</formula>
    </cfRule>
    <cfRule type="expression" dxfId="21" priority="4">
      <formula>AND(D27&gt;=$AN$32,D27&lt;$AN$31)</formula>
    </cfRule>
    <cfRule type="expression" dxfId="20" priority="5">
      <formula>AND(D27&gt;=$AN$33,D27&lt;$AN$32)</formula>
    </cfRule>
    <cfRule type="expression" dxfId="19" priority="6">
      <formula>D27&lt;$AN$33</formula>
    </cfRule>
  </conditionalFormatting>
  <conditionalFormatting sqref="J29:N33">
    <cfRule type="expression" dxfId="18" priority="7">
      <formula>AND(AH29&gt;=$AN$30,J29=0)</formula>
    </cfRule>
    <cfRule type="expression" dxfId="17" priority="8">
      <formula>AND(AH29&gt;=$AN$31,AH29&lt;$AN$30,J29=0)</formula>
    </cfRule>
    <cfRule type="expression" dxfId="16" priority="9">
      <formula>AND(AH29&gt;=$AN$32,AH29&lt;$AN$31,J29=0)</formula>
    </cfRule>
    <cfRule type="expression" dxfId="15" priority="10">
      <formula>AND(AH29&gt;=$AN$33,AH29&lt;$AN$32,J29=0)</formula>
    </cfRule>
    <cfRule type="expression" dxfId="14" priority="11">
      <formula>AND(AH29&lt;$AN$33,J29=0)</formula>
    </cfRule>
    <cfRule type="expression" dxfId="13" priority="12">
      <formula>AH29&gt;=$AN$30</formula>
    </cfRule>
    <cfRule type="expression" dxfId="12" priority="13">
      <formula>AND(AH29&gt;=$AN$31,AH29&lt;$AN$30)</formula>
    </cfRule>
    <cfRule type="expression" dxfId="11" priority="14">
      <formula>AND(AH29&gt;=$AN$32,AH29&lt;$AN$31)</formula>
    </cfRule>
    <cfRule type="expression" dxfId="10" priority="15">
      <formula>AND(AH29&gt;=$AN$33,AH29&lt;$AN$32)</formula>
    </cfRule>
    <cfRule type="expression" dxfId="9" priority="16">
      <formula>AH29&lt;$AN$33</formula>
    </cfRule>
  </conditionalFormatting>
  <conditionalFormatting sqref="AH29:AL33">
    <cfRule type="expression" dxfId="8" priority="17">
      <formula>AH29&gt;=$AN$30</formula>
    </cfRule>
    <cfRule type="expression" dxfId="7" priority="18">
      <formula>AND(AH29&gt;=$AN$31,AH29&lt;$AN$30)</formula>
    </cfRule>
    <cfRule type="expression" dxfId="6" priority="19">
      <formula>AND(AH29&gt;=$AN$32,AH29&lt;$AN$31)</formula>
    </cfRule>
    <cfRule type="expression" dxfId="5" priority="20">
      <formula>AND(AH29&gt;=$AN$33,AH29&lt;$AN$32)</formula>
    </cfRule>
    <cfRule type="expression" dxfId="4" priority="21">
      <formula>AH29&lt;$AN$33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CC66"/>
  </sheetPr>
  <dimension ref="A1:AN880"/>
  <sheetViews>
    <sheetView topLeftCell="G1" zoomScaleNormal="100" workbookViewId="0">
      <selection activeCell="Q8" sqref="Q8"/>
    </sheetView>
  </sheetViews>
  <sheetFormatPr defaultColWidth="8.6640625" defaultRowHeight="14.25" customHeight="1"/>
  <cols>
    <col min="1" max="1" width="7.5546875" style="71" customWidth="1"/>
    <col min="2" max="2" width="13.21875" hidden="1" customWidth="1"/>
    <col min="3" max="4" width="32.44140625" style="72" customWidth="1"/>
    <col min="5" max="5" width="22.6640625" style="72" customWidth="1"/>
    <col min="6" max="6" width="11.88671875" customWidth="1"/>
    <col min="7" max="8" width="12.109375" customWidth="1"/>
    <col min="9" max="9" width="11" customWidth="1"/>
    <col min="10" max="10" width="14.33203125" customWidth="1"/>
    <col min="11" max="11" width="8.33203125" customWidth="1"/>
    <col min="12" max="12" width="14.33203125" customWidth="1"/>
    <col min="13" max="16" width="14" style="73" customWidth="1"/>
    <col min="17" max="17" width="65.5546875" customWidth="1"/>
    <col min="19" max="19" width="18.109375" customWidth="1"/>
    <col min="20" max="20" width="13.44140625" customWidth="1"/>
    <col min="21" max="21" width="15.44140625" customWidth="1"/>
    <col min="22" max="22" width="4.109375" customWidth="1"/>
    <col min="23" max="23" width="10.88671875" customWidth="1"/>
    <col min="24" max="24" width="12.5546875" customWidth="1"/>
    <col min="25" max="28" width="11.109375" customWidth="1"/>
    <col min="29" max="29" width="12.109375" customWidth="1"/>
    <col min="31" max="31" width="15" customWidth="1"/>
    <col min="32" max="35" width="12.6640625" customWidth="1"/>
    <col min="36" max="36" width="12.6640625" hidden="1" customWidth="1"/>
    <col min="37" max="37" width="12.6640625" customWidth="1"/>
    <col min="38" max="39" width="11.88671875" customWidth="1"/>
    <col min="40" max="41" width="13" customWidth="1"/>
    <col min="42" max="42" width="10.88671875" customWidth="1"/>
    <col min="43" max="43" width="7" customWidth="1"/>
    <col min="44" max="44" width="12.109375" customWidth="1"/>
    <col min="45" max="45" width="2.88671875" customWidth="1"/>
    <col min="46" max="46" width="10.44140625" customWidth="1"/>
    <col min="47" max="47" width="12.6640625" customWidth="1"/>
    <col min="48" max="48" width="9.109375" customWidth="1"/>
    <col min="49" max="49" width="12.44140625" customWidth="1"/>
    <col min="50" max="50" width="13.88671875" customWidth="1"/>
    <col min="51" max="64" width="9.109375" customWidth="1"/>
  </cols>
  <sheetData>
    <row r="1" spans="1:40" ht="29.25" customHeight="1">
      <c r="A1" s="74" t="s">
        <v>6</v>
      </c>
      <c r="B1" s="75" t="s">
        <v>46</v>
      </c>
      <c r="C1" s="76" t="s">
        <v>7</v>
      </c>
      <c r="D1" s="76" t="s">
        <v>47</v>
      </c>
      <c r="E1" s="77" t="s">
        <v>48</v>
      </c>
      <c r="F1" s="76" t="s">
        <v>49</v>
      </c>
      <c r="G1" s="76" t="s">
        <v>50</v>
      </c>
      <c r="H1" s="76" t="s">
        <v>51</v>
      </c>
      <c r="I1" s="76" t="s">
        <v>52</v>
      </c>
      <c r="J1" s="77" t="s">
        <v>53</v>
      </c>
      <c r="K1" s="78" t="s">
        <v>54</v>
      </c>
      <c r="L1" s="77" t="s">
        <v>55</v>
      </c>
      <c r="M1" s="79" t="s">
        <v>56</v>
      </c>
      <c r="N1" s="79" t="s">
        <v>57</v>
      </c>
      <c r="O1" s="79" t="s">
        <v>58</v>
      </c>
      <c r="P1" s="80" t="s">
        <v>59</v>
      </c>
      <c r="Q1" s="81" t="s">
        <v>60</v>
      </c>
      <c r="S1" s="65"/>
      <c r="U1" s="65"/>
    </row>
    <row r="2" spans="1:40" ht="27" customHeight="1">
      <c r="A2" s="82">
        <f>IF($B2="","",IF(IFERROR(INDEX('RAID Log'!$1:$1048576,$B2,MATCH("RAID ID",'RAID Log'!$1:$1,0)),"")="","",IFERROR(INDEX('RAID Log'!$1:$1048576,$B2,MATCH("RAID ID",'RAID Log'!$1:$1,0)),"")))</f>
        <v>1</v>
      </c>
      <c r="B2" s="83">
        <f>IFERROR(MATCH(ROW()-1,'RAID Log'!$S:$S,0),"")</f>
        <v>2</v>
      </c>
      <c r="C2" s="84" t="str">
        <f>IF($B2="","",IF(IFERROR(INDEX('RAID Log'!$1:$1048576,$B2,MATCH("Description",'RAID Log'!$1:$1,0)),"")="","",IFERROR(INDEX('RAID Log'!$1:$1048576,$B2,MATCH("Description",'RAID Log'!$1:$1,0)),"")))</f>
        <v>D 1</v>
      </c>
      <c r="D2" s="84" t="str">
        <f>IF($B2="","",IF(IFERROR(INDEX('RAID Log'!$1:$1048576,$B2,MATCH("Impact/Effect of the RAID",'RAID Log'!$1:$1,0)),"")="","",IFERROR(INDEX('RAID Log'!$1:$1048576,$B2,MATCH("Impact/Effect of the RAID",'RAID Log'!$1:$1,0)),"")))</f>
        <v>Impact and Effect 1</v>
      </c>
      <c r="E2" s="85" t="str">
        <f>IF($B2="","",IF(IFERROR(INDEX('RAID Log'!$1:$1048576,$B2,MATCH("Impact Area",'RAID Log'!$1:$1,0)),"")="","",IFERROR(INDEX('RAID Log'!$1:$1048576,$B2,MATCH("Impact Area",'RAID Log'!$1:$1,0)),"")))</f>
        <v>Cost</v>
      </c>
      <c r="F2" s="85" t="str">
        <f>IF($B2="","",IF(IFERROR(INDEX('RAID Log'!$1:$1048576,$B2,MATCH("Impact Area",'RAID Log'!$1:$1,0)),"")="","",IFERROR(INDEX('RAID Log'!$1:$1048576,$B2,MATCH("Impact Area",'RAID Log'!$1:$1,0)),"")))</f>
        <v>Cost</v>
      </c>
      <c r="G2" s="85" t="str">
        <f>IF($B2="","",IF(IFERROR(INDEX('RAID Log'!$1:$1048576,$B2,MATCH("Impact Rating",'RAID Log'!$1:$1,0)),"")="","",IFERROR(INDEX('RAID Log'!$1:$1048576,$B2,MATCH("Impact Rating",'RAID Log'!$1:$1,0)),"")))</f>
        <v>Moderate</v>
      </c>
      <c r="H2" s="85" t="str">
        <f>IF($B2="","",IF(IFERROR(INDEX('RAID Log'!$1:$1048576,$B2,MATCH("Initial Probability",'RAID Log'!$1:$1,0)),"")="","",IFERROR(INDEX('RAID Log'!$1:$1048576,$B2,MATCH("Initial Probability",'RAID Log'!$1:$1,0)),"")))</f>
        <v>Average</v>
      </c>
      <c r="I2" s="86">
        <f t="shared" ref="I2:I65" si="0">IF($B2="","",(IF($G2="Severe",25,IF($G2="Major",20,IF($G2="Moderate",15,IF($G2="Minor",10,IF($G2="Insignificant",5,0))))))*IF($H2="Very High",1,IF($H2="High",0.8,IF($H2="Average",0.6,IF($H2="Low",0.4,IF($H2="Very Low",0.2,0))))))</f>
        <v>9</v>
      </c>
      <c r="J2" s="85" t="str">
        <f t="shared" ref="J2:J65" si="1">IF($B2="","",IF($I2&gt;20,"Critical",IF($I2&gt;15,"High",IF($I2&gt;8,"Moderate",IF($I2&gt;3,"Tolerable","Negligible")))))</f>
        <v>Moderate</v>
      </c>
      <c r="K2" s="86">
        <f t="shared" ref="K2:K65" si="2">IF(OR($B2="",UPPER($L2)="CLOSED"),"",COUNTIFS($L$2:$L$880,"&lt;&gt;Closed",$I$2:$I$880,"&gt;"&amp;$I2)+COUNTIFS($L$2:$L$880,"&lt;&gt;Closed",$I$2:$I$880,$I2,$N$2:$N$880,"&lt;"&amp;$N2)+COUNTIFS($L$2:$L$880,"&lt;&gt;Closed",$I$2:$I$880,$I2,$N$2:$N$880,$N2,$B$2:$B$880,"&lt;"&amp;$B2)+1)</f>
        <v>3</v>
      </c>
      <c r="L2" s="85" t="str">
        <f>IF($B2="","",IF(IFERROR(INDEX('RAID Log'!$1:$1048576,$B2,MATCH("Status",'RAID Log'!$1:$1,0)),"")="","",IFERROR(INDEX('RAID Log'!$1:$1048576,$B2,MATCH("Status",'RAID Log'!$1:$1,0)),"")))</f>
        <v>Not Started</v>
      </c>
      <c r="M2" s="85" t="str">
        <f>IF($B2="","",IF(IFERROR(INDEX('RAID Log'!$1:$1048576,$B2,MATCH("RAID Owner",'RAID Log'!$1:$1,0)),"")="","",IFERROR(INDEX('RAID Log'!$1:$1048576,$B2,MATCH("RAID Owner",'RAID Log'!$1:$1,0)),"")))</f>
        <v>Owner 1</v>
      </c>
      <c r="N2" s="87">
        <f>IF($B2="","",IF(IFERROR(INDEX('RAID Log'!$1:$1048576,$B2,MATCH("Date Raised",'RAID Log'!$1:$1,0)),"")="","",IFERROR(INDEX('RAID Log'!$1:$1048576,$B2,MATCH("Date Raised",'RAID Log'!$1:$1,0)),"")))</f>
        <v>45992</v>
      </c>
      <c r="O2" s="87" t="str">
        <f>IF($B2="","",IF(IFERROR(INDEX('RAID Log'!$1:$1048576,$B2,MATCH("Closed Date",'RAID Log'!$1:$1,0)),"")="","",IFERROR(INDEX('RAID Log'!$1:$1048576,$B2,MATCH("Closed Date",'RAID Log'!$1:$1,0)),"")))</f>
        <v/>
      </c>
      <c r="P2" s="85" t="str">
        <f>IF($B2="","",IF(IFERROR(INDEX('RAID Log'!$1:$1048576,$B2,MATCH("Mitigation Strategy",'RAID Log'!$1:$1,0)),"")="","",IFERROR(INDEX('RAID Log'!$1:$1048576,$B2,MATCH("Mitigation Strategy",'RAID Log'!$1:$1,0)),"")))</f>
        <v>Mitigate</v>
      </c>
      <c r="Q2" s="88" t="str">
        <f>IF($B2="","",IF(IFERROR(INDEX('RAID Log'!$1:$1048576,$B2,MATCH("RAID Response/Plan",'RAID Log'!$1:$1,0)),"")="","",IFERROR(INDEX('RAID Log'!$1:$1048576,$B2,MATCH("RAID Response/Plan",'RAID Log'!$1:$1,0)),"")))</f>
        <v/>
      </c>
      <c r="S2" s="19"/>
      <c r="T2" s="19"/>
      <c r="U2" s="19"/>
    </row>
    <row r="3" spans="1:40" ht="27" customHeight="1">
      <c r="A3" s="82">
        <f>IF($B3="","",IF(IFERROR(INDEX('RAID Log'!$1:$1048576,$B3,MATCH("RAID ID",'RAID Log'!$1:$1,0)),"")="","",IFERROR(INDEX('RAID Log'!$1:$1048576,$B3,MATCH("RAID ID",'RAID Log'!$1:$1,0)),"")))</f>
        <v>4</v>
      </c>
      <c r="B3" s="83">
        <f>IFERROR(MATCH(ROW()-1,'RAID Log'!$S:$S,0),"")</f>
        <v>5</v>
      </c>
      <c r="C3" s="84" t="str">
        <f>IF($B3="","",IF(IFERROR(INDEX('RAID Log'!$1:$1048576,$B3,MATCH("Description",'RAID Log'!$1:$1,0)),"")="","",IFERROR(INDEX('RAID Log'!$1:$1048576,$B3,MATCH("Description",'RAID Log'!$1:$1,0)),"")))</f>
        <v>D 4</v>
      </c>
      <c r="D3" s="84" t="str">
        <f>IF($B3="","",IF(IFERROR(INDEX('RAID Log'!$1:$1048576,$B3,MATCH("Impact/Effect of the RAID",'RAID Log'!$1:$1,0)),"")="","",IFERROR(INDEX('RAID Log'!$1:$1048576,$B3,MATCH("Impact/Effect of the RAID",'RAID Log'!$1:$1,0)),"")))</f>
        <v>Impact and Effect 4</v>
      </c>
      <c r="E3" s="85" t="str">
        <f>IF($B3="","",IF(IFERROR(INDEX('RAID Log'!$1:$1048576,$B3,MATCH("Impact Area",'RAID Log'!$1:$1,0)),"")="","",IFERROR(INDEX('RAID Log'!$1:$1048576,$B3,MATCH("Impact Area",'RAID Log'!$1:$1,0)),"")))</f>
        <v>Security/Compliance</v>
      </c>
      <c r="F3" s="85" t="str">
        <f>IF($B3="","",IF(IFERROR(INDEX('RAID Log'!$1:$1048576,$B3,MATCH("Impact Area",'RAID Log'!$1:$1,0)),"")="","",IFERROR(INDEX('RAID Log'!$1:$1048576,$B3,MATCH("Impact Area",'RAID Log'!$1:$1,0)),"")))</f>
        <v>Security/Compliance</v>
      </c>
      <c r="G3" s="85" t="str">
        <f>IF($B3="","",IF(IFERROR(INDEX('RAID Log'!$1:$1048576,$B3,MATCH("Impact Rating",'RAID Log'!$1:$1,0)),"")="","",IFERROR(INDEX('RAID Log'!$1:$1048576,$B3,MATCH("Impact Rating",'RAID Log'!$1:$1,0)),"")))</f>
        <v>Minor</v>
      </c>
      <c r="H3" s="85" t="str">
        <f>IF($B3="","",IF(IFERROR(INDEX('RAID Log'!$1:$1048576,$B3,MATCH("Initial Probability",'RAID Log'!$1:$1,0)),"")="","",IFERROR(INDEX('RAID Log'!$1:$1048576,$B3,MATCH("Initial Probability",'RAID Log'!$1:$1,0)),"")))</f>
        <v>Very High</v>
      </c>
      <c r="I3" s="86">
        <f t="shared" si="0"/>
        <v>10</v>
      </c>
      <c r="J3" s="85" t="str">
        <f t="shared" si="1"/>
        <v>Moderate</v>
      </c>
      <c r="K3" s="86" t="str">
        <f t="shared" si="2"/>
        <v/>
      </c>
      <c r="L3" s="85" t="str">
        <f>IF($B3="","",IF(IFERROR(INDEX('RAID Log'!$1:$1048576,$B3,MATCH("Status",'RAID Log'!$1:$1,0)),"")="","",IFERROR(INDEX('RAID Log'!$1:$1048576,$B3,MATCH("Status",'RAID Log'!$1:$1,0)),"")))</f>
        <v>Closed</v>
      </c>
      <c r="M3" s="85" t="str">
        <f>IF($B3="","",IF(IFERROR(INDEX('RAID Log'!$1:$1048576,$B3,MATCH("RAID Owner",'RAID Log'!$1:$1,0)),"")="","",IFERROR(INDEX('RAID Log'!$1:$1048576,$B3,MATCH("RAID Owner",'RAID Log'!$1:$1,0)),"")))</f>
        <v>Owner 4</v>
      </c>
      <c r="N3" s="87">
        <f>IF($B3="","",IF(IFERROR(INDEX('RAID Log'!$1:$1048576,$B3,MATCH("Date Raised",'RAID Log'!$1:$1,0)),"")="","",IFERROR(INDEX('RAID Log'!$1:$1048576,$B3,MATCH("Date Raised",'RAID Log'!$1:$1,0)),"")))</f>
        <v>46039</v>
      </c>
      <c r="O3" s="87">
        <f>IF($B3="","",IF(IFERROR(INDEX('RAID Log'!$1:$1048576,$B3,MATCH("Closed Date",'RAID Log'!$1:$1,0)),"")="","",IFERROR(INDEX('RAID Log'!$1:$1048576,$B3,MATCH("Closed Date",'RAID Log'!$1:$1,0)),"")))</f>
        <v>46049</v>
      </c>
      <c r="P3" s="85" t="str">
        <f>IF($B3="","",IF(IFERROR(INDEX('RAID Log'!$1:$1048576,$B3,MATCH("Mitigation Strategy",'RAID Log'!$1:$1,0)),"")="","",IFERROR(INDEX('RAID Log'!$1:$1048576,$B3,MATCH("Mitigation Strategy",'RAID Log'!$1:$1,0)),"")))</f>
        <v>Accept</v>
      </c>
      <c r="Q3" s="88" t="str">
        <f>IF($B3="","",IF(IFERROR(INDEX('RAID Log'!$1:$1048576,$B3,MATCH("RAID Response/Plan",'RAID Log'!$1:$1,0)),"")="","",IFERROR(INDEX('RAID Log'!$1:$1048576,$B3,MATCH("RAID Response/Plan",'RAID Log'!$1:$1,0)),"")))</f>
        <v/>
      </c>
      <c r="S3" s="19"/>
      <c r="T3" s="19"/>
      <c r="U3" s="19"/>
    </row>
    <row r="4" spans="1:40" ht="27" customHeight="1">
      <c r="A4" s="82">
        <f>IF($B4="","",IF(IFERROR(INDEX('RAID Log'!$1:$1048576,$B4,MATCH("RAID ID",'RAID Log'!$1:$1,0)),"")="","",IFERROR(INDEX('RAID Log'!$1:$1048576,$B4,MATCH("RAID ID",'RAID Log'!$1:$1,0)),"")))</f>
        <v>6</v>
      </c>
      <c r="B4" s="83">
        <f>IFERROR(MATCH(ROW()-1,'RAID Log'!$S:$S,0),"")</f>
        <v>7</v>
      </c>
      <c r="C4" s="84" t="str">
        <f>IF($B4="","",IF(IFERROR(INDEX('RAID Log'!$1:$1048576,$B4,MATCH("Description",'RAID Log'!$1:$1,0)),"")="","",IFERROR(INDEX('RAID Log'!$1:$1048576,$B4,MATCH("Description",'RAID Log'!$1:$1,0)),"")))</f>
        <v>D 6</v>
      </c>
      <c r="D4" s="84" t="str">
        <f>IF($B4="","",IF(IFERROR(INDEX('RAID Log'!$1:$1048576,$B4,MATCH("Impact/Effect of the RAID",'RAID Log'!$1:$1,0)),"")="","",IFERROR(INDEX('RAID Log'!$1:$1048576,$B4,MATCH("Impact/Effect of the RAID",'RAID Log'!$1:$1,0)),"")))</f>
        <v>Impact and Effect 6</v>
      </c>
      <c r="E4" s="85" t="str">
        <f>IF($B4="","",IF(IFERROR(INDEX('RAID Log'!$1:$1048576,$B4,MATCH("Impact Area",'RAID Log'!$1:$1,0)),"")="","",IFERROR(INDEX('RAID Log'!$1:$1048576,$B4,MATCH("Impact Area",'RAID Log'!$1:$1,0)),"")))</f>
        <v>Security/Compliance</v>
      </c>
      <c r="F4" s="85" t="str">
        <f>IF($B4="","",IF(IFERROR(INDEX('RAID Log'!$1:$1048576,$B4,MATCH("Impact Area",'RAID Log'!$1:$1,0)),"")="","",IFERROR(INDEX('RAID Log'!$1:$1048576,$B4,MATCH("Impact Area",'RAID Log'!$1:$1,0)),"")))</f>
        <v>Security/Compliance</v>
      </c>
      <c r="G4" s="85" t="str">
        <f>IF($B4="","",IF(IFERROR(INDEX('RAID Log'!$1:$1048576,$B4,MATCH("Impact Rating",'RAID Log'!$1:$1,0)),"")="","",IFERROR(INDEX('RAID Log'!$1:$1048576,$B4,MATCH("Impact Rating",'RAID Log'!$1:$1,0)),"")))</f>
        <v>Moderate</v>
      </c>
      <c r="H4" s="85" t="str">
        <f>IF($B4="","",IF(IFERROR(INDEX('RAID Log'!$1:$1048576,$B4,MATCH("Initial Probability",'RAID Log'!$1:$1,0)),"")="","",IFERROR(INDEX('RAID Log'!$1:$1048576,$B4,MATCH("Initial Probability",'RAID Log'!$1:$1,0)),"")))</f>
        <v>Very Low</v>
      </c>
      <c r="I4" s="86">
        <f t="shared" si="0"/>
        <v>3</v>
      </c>
      <c r="J4" s="85" t="str">
        <f t="shared" si="1"/>
        <v>Negligible</v>
      </c>
      <c r="K4" s="86">
        <f t="shared" si="2"/>
        <v>6</v>
      </c>
      <c r="L4" s="85" t="str">
        <f>IF($B4="","",IF(IFERROR(INDEX('RAID Log'!$1:$1048576,$B4,MATCH("Status",'RAID Log'!$1:$1,0)),"")="","",IFERROR(INDEX('RAID Log'!$1:$1048576,$B4,MATCH("Status",'RAID Log'!$1:$1,0)),"")))</f>
        <v>Behind</v>
      </c>
      <c r="M4" s="85" t="str">
        <f>IF($B4="","",IF(IFERROR(INDEX('RAID Log'!$1:$1048576,$B4,MATCH("RAID Owner",'RAID Log'!$1:$1,0)),"")="","",IFERROR(INDEX('RAID Log'!$1:$1048576,$B4,MATCH("RAID Owner",'RAID Log'!$1:$1,0)),"")))</f>
        <v>Owner 6</v>
      </c>
      <c r="N4" s="87">
        <f>IF($B4="","",IF(IFERROR(INDEX('RAID Log'!$1:$1048576,$B4,MATCH("Date Raised",'RAID Log'!$1:$1,0)),"")="","",IFERROR(INDEX('RAID Log'!$1:$1048576,$B4,MATCH("Date Raised",'RAID Log'!$1:$1,0)),"")))</f>
        <v>46053</v>
      </c>
      <c r="O4" s="87" t="str">
        <f>IF($B4="","",IF(IFERROR(INDEX('RAID Log'!$1:$1048576,$B4,MATCH("Closed Date",'RAID Log'!$1:$1,0)),"")="","",IFERROR(INDEX('RAID Log'!$1:$1048576,$B4,MATCH("Closed Date",'RAID Log'!$1:$1,0)),"")))</f>
        <v/>
      </c>
      <c r="P4" s="85" t="str">
        <f>IF($B4="","",IF(IFERROR(INDEX('RAID Log'!$1:$1048576,$B4,MATCH("Mitigation Strategy",'RAID Log'!$1:$1,0)),"")="","",IFERROR(INDEX('RAID Log'!$1:$1048576,$B4,MATCH("Mitigation Strategy",'RAID Log'!$1:$1,0)),"")))</f>
        <v>Escalate</v>
      </c>
      <c r="Q4" s="88" t="str">
        <f>IF($B4="","",IF(IFERROR(INDEX('RAID Log'!$1:$1048576,$B4,MATCH("RAID Response/Plan",'RAID Log'!$1:$1,0)),"")="","",IFERROR(INDEX('RAID Log'!$1:$1048576,$B4,MATCH("RAID Response/Plan",'RAID Log'!$1:$1,0)),"")))</f>
        <v/>
      </c>
      <c r="S4" s="19"/>
      <c r="T4" s="19"/>
      <c r="U4" s="19"/>
    </row>
    <row r="5" spans="1:40" ht="27" customHeight="1">
      <c r="A5" s="82">
        <f>IF($B5="","",IF(IFERROR(INDEX('RAID Log'!$1:$1048576,$B5,MATCH("RAID ID",'RAID Log'!$1:$1,0)),"")="","",IFERROR(INDEX('RAID Log'!$1:$1048576,$B5,MATCH("RAID ID",'RAID Log'!$1:$1,0)),"")))</f>
        <v>9</v>
      </c>
      <c r="B5" s="83">
        <f>IFERROR(MATCH(ROW()-1,'RAID Log'!$S:$S,0),"")</f>
        <v>10</v>
      </c>
      <c r="C5" s="84" t="str">
        <f>IF($B5="","",IF(IFERROR(INDEX('RAID Log'!$1:$1048576,$B5,MATCH("Description",'RAID Log'!$1:$1,0)),"")="","",IFERROR(INDEX('RAID Log'!$1:$1048576,$B5,MATCH("Description",'RAID Log'!$1:$1,0)),"")))</f>
        <v>D 9</v>
      </c>
      <c r="D5" s="84" t="str">
        <f>IF($B5="","",IF(IFERROR(INDEX('RAID Log'!$1:$1048576,$B5,MATCH("Impact/Effect of the RAID",'RAID Log'!$1:$1,0)),"")="","",IFERROR(INDEX('RAID Log'!$1:$1048576,$B5,MATCH("Impact/Effect of the RAID",'RAID Log'!$1:$1,0)),"")))</f>
        <v>Impact and Effect 9</v>
      </c>
      <c r="E5" s="85" t="str">
        <f>IF($B5="","",IF(IFERROR(INDEX('RAID Log'!$1:$1048576,$B5,MATCH("Impact Area",'RAID Log'!$1:$1,0)),"")="","",IFERROR(INDEX('RAID Log'!$1:$1048576,$B5,MATCH("Impact Area",'RAID Log'!$1:$1,0)),"")))</f>
        <v>Schedule</v>
      </c>
      <c r="F5" s="85" t="str">
        <f>IF($B5="","",IF(IFERROR(INDEX('RAID Log'!$1:$1048576,$B5,MATCH("Impact Area",'RAID Log'!$1:$1,0)),"")="","",IFERROR(INDEX('RAID Log'!$1:$1048576,$B5,MATCH("Impact Area",'RAID Log'!$1:$1,0)),"")))</f>
        <v>Schedule</v>
      </c>
      <c r="G5" s="85" t="str">
        <f>IF($B5="","",IF(IFERROR(INDEX('RAID Log'!$1:$1048576,$B5,MATCH("Impact Rating",'RAID Log'!$1:$1,0)),"")="","",IFERROR(INDEX('RAID Log'!$1:$1048576,$B5,MATCH("Impact Rating",'RAID Log'!$1:$1,0)),"")))</f>
        <v>Minor</v>
      </c>
      <c r="H5" s="85" t="str">
        <f>IF($B5="","",IF(IFERROR(INDEX('RAID Log'!$1:$1048576,$B5,MATCH("Initial Probability",'RAID Log'!$1:$1,0)),"")="","",IFERROR(INDEX('RAID Log'!$1:$1048576,$B5,MATCH("Initial Probability",'RAID Log'!$1:$1,0)),"")))</f>
        <v>Very High</v>
      </c>
      <c r="I5" s="86">
        <f t="shared" si="0"/>
        <v>10</v>
      </c>
      <c r="J5" s="85" t="str">
        <f t="shared" si="1"/>
        <v>Moderate</v>
      </c>
      <c r="K5" s="86">
        <f t="shared" si="2"/>
        <v>2</v>
      </c>
      <c r="L5" s="85" t="str">
        <f>IF($B5="","",IF(IFERROR(INDEX('RAID Log'!$1:$1048576,$B5,MATCH("Status",'RAID Log'!$1:$1,0)),"")="","",IFERROR(INDEX('RAID Log'!$1:$1048576,$B5,MATCH("Status",'RAID Log'!$1:$1,0)),"")))</f>
        <v>In-Progress</v>
      </c>
      <c r="M5" s="85" t="str">
        <f>IF($B5="","",IF(IFERROR(INDEX('RAID Log'!$1:$1048576,$B5,MATCH("RAID Owner",'RAID Log'!$1:$1,0)),"")="","",IFERROR(INDEX('RAID Log'!$1:$1048576,$B5,MATCH("RAID Owner",'RAID Log'!$1:$1,0)),"")))</f>
        <v>Owner 9</v>
      </c>
      <c r="N5" s="87">
        <f>IF($B5="","",IF(IFERROR(INDEX('RAID Log'!$1:$1048576,$B5,MATCH("Date Raised",'RAID Log'!$1:$1,0)),"")="","",IFERROR(INDEX('RAID Log'!$1:$1048576,$B5,MATCH("Date Raised",'RAID Log'!$1:$1,0)),"")))</f>
        <v>46074</v>
      </c>
      <c r="O5" s="87" t="str">
        <f>IF($B5="","",IF(IFERROR(INDEX('RAID Log'!$1:$1048576,$B5,MATCH("Closed Date",'RAID Log'!$1:$1,0)),"")="","",IFERROR(INDEX('RAID Log'!$1:$1048576,$B5,MATCH("Closed Date",'RAID Log'!$1:$1,0)),"")))</f>
        <v/>
      </c>
      <c r="P5" s="85" t="str">
        <f>IF($B5="","",IF(IFERROR(INDEX('RAID Log'!$1:$1048576,$B5,MATCH("Mitigation Strategy",'RAID Log'!$1:$1,0)),"")="","",IFERROR(INDEX('RAID Log'!$1:$1048576,$B5,MATCH("Mitigation Strategy",'RAID Log'!$1:$1,0)),"")))</f>
        <v>Avoid</v>
      </c>
      <c r="Q5" s="88" t="str">
        <f>IF($B5="","",IF(IFERROR(INDEX('RAID Log'!$1:$1048576,$B5,MATCH("RAID Response/Plan",'RAID Log'!$1:$1,0)),"")="","",IFERROR(INDEX('RAID Log'!$1:$1048576,$B5,MATCH("RAID Response/Plan",'RAID Log'!$1:$1,0)),"")))</f>
        <v/>
      </c>
    </row>
    <row r="6" spans="1:40" ht="15" customHeight="1">
      <c r="A6" s="82">
        <f>IF($B6="","",IF(IFERROR(INDEX('RAID Log'!$1:$1048576,$B6,MATCH("RAID ID",'RAID Log'!$1:$1,0)),"")="","",IFERROR(INDEX('RAID Log'!$1:$1048576,$B6,MATCH("RAID ID",'RAID Log'!$1:$1,0)),"")))</f>
        <v>11</v>
      </c>
      <c r="B6" s="83">
        <f>IFERROR(MATCH(ROW()-1,'RAID Log'!$S:$S,0),"")</f>
        <v>12</v>
      </c>
      <c r="C6" s="84" t="str">
        <f>IF($B6="","",IF(IFERROR(INDEX('RAID Log'!$1:$1048576,$B6,MATCH("Description",'RAID Log'!$1:$1,0)),"")="","",IFERROR(INDEX('RAID Log'!$1:$1048576,$B6,MATCH("Description",'RAID Log'!$1:$1,0)),"")))</f>
        <v>D 11</v>
      </c>
      <c r="D6" s="84" t="str">
        <f>IF($B6="","",IF(IFERROR(INDEX('RAID Log'!$1:$1048576,$B6,MATCH("Impact/Effect of the RAID",'RAID Log'!$1:$1,0)),"")="","",IFERROR(INDEX('RAID Log'!$1:$1048576,$B6,MATCH("Impact/Effect of the RAID",'RAID Log'!$1:$1,0)),"")))</f>
        <v>Impact and Effect 11</v>
      </c>
      <c r="E6" s="85" t="str">
        <f>IF($B6="","",IF(IFERROR(INDEX('RAID Log'!$1:$1048576,$B6,MATCH("Impact Area",'RAID Log'!$1:$1,0)),"")="","",IFERROR(INDEX('RAID Log'!$1:$1048576,$B6,MATCH("Impact Area",'RAID Log'!$1:$1,0)),"")))</f>
        <v>Cost</v>
      </c>
      <c r="F6" s="85" t="str">
        <f>IF($B6="","",IF(IFERROR(INDEX('RAID Log'!$1:$1048576,$B6,MATCH("Impact Area",'RAID Log'!$1:$1,0)),"")="","",IFERROR(INDEX('RAID Log'!$1:$1048576,$B6,MATCH("Impact Area",'RAID Log'!$1:$1,0)),"")))</f>
        <v>Cost</v>
      </c>
      <c r="G6" s="85" t="str">
        <f>IF($B6="","",IF(IFERROR(INDEX('RAID Log'!$1:$1048576,$B6,MATCH("Impact Rating",'RAID Log'!$1:$1,0)),"")="","",IFERROR(INDEX('RAID Log'!$1:$1048576,$B6,MATCH("Impact Rating",'RAID Log'!$1:$1,0)),"")))</f>
        <v>Moderate</v>
      </c>
      <c r="H6" s="85" t="str">
        <f>IF($B6="","",IF(IFERROR(INDEX('RAID Log'!$1:$1048576,$B6,MATCH("Initial Probability",'RAID Log'!$1:$1,0)),"")="","",IFERROR(INDEX('RAID Log'!$1:$1048576,$B6,MATCH("Initial Probability",'RAID Log'!$1:$1,0)),"")))</f>
        <v>Average</v>
      </c>
      <c r="I6" s="86">
        <f t="shared" si="0"/>
        <v>9</v>
      </c>
      <c r="J6" s="85" t="str">
        <f t="shared" si="1"/>
        <v>Moderate</v>
      </c>
      <c r="K6" s="86">
        <f t="shared" si="2"/>
        <v>4</v>
      </c>
      <c r="L6" s="85" t="str">
        <f>IF($B6="","",IF(IFERROR(INDEX('RAID Log'!$1:$1048576,$B6,MATCH("Status",'RAID Log'!$1:$1,0)),"")="","",IFERROR(INDEX('RAID Log'!$1:$1048576,$B6,MATCH("Status",'RAID Log'!$1:$1,0)),"")))</f>
        <v>In-Progress</v>
      </c>
      <c r="M6" s="85" t="str">
        <f>IF($B6="","",IF(IFERROR(INDEX('RAID Log'!$1:$1048576,$B6,MATCH("RAID Owner",'RAID Log'!$1:$1,0)),"")="","",IFERROR(INDEX('RAID Log'!$1:$1048576,$B6,MATCH("RAID Owner",'RAID Log'!$1:$1,0)),"")))</f>
        <v>Owner 11</v>
      </c>
      <c r="N6" s="87">
        <f>IF($B6="","",IF(IFERROR(INDEX('RAID Log'!$1:$1048576,$B6,MATCH("Date Raised",'RAID Log'!$1:$1,0)),"")="","",IFERROR(INDEX('RAID Log'!$1:$1048576,$B6,MATCH("Date Raised",'RAID Log'!$1:$1,0)),"")))</f>
        <v>46046</v>
      </c>
      <c r="O6" s="87" t="str">
        <f>IF($B6="","",IF(IFERROR(INDEX('RAID Log'!$1:$1048576,$B6,MATCH("Closed Date",'RAID Log'!$1:$1,0)),"")="","",IFERROR(INDEX('RAID Log'!$1:$1048576,$B6,MATCH("Closed Date",'RAID Log'!$1:$1,0)),"")))</f>
        <v/>
      </c>
      <c r="P6" s="85" t="str">
        <f>IF($B6="","",IF(IFERROR(INDEX('RAID Log'!$1:$1048576,$B6,MATCH("Mitigation Strategy",'RAID Log'!$1:$1,0)),"")="","",IFERROR(INDEX('RAID Log'!$1:$1048576,$B6,MATCH("Mitigation Strategy",'RAID Log'!$1:$1,0)),"")))</f>
        <v>Mitigate</v>
      </c>
      <c r="Q6" s="88" t="str">
        <f>IF($B6="","",IF(IFERROR(INDEX('RAID Log'!$1:$1048576,$B6,MATCH("RAID Response/Plan",'RAID Log'!$1:$1,0)),"")="","",IFERROR(INDEX('RAID Log'!$1:$1048576,$B6,MATCH("RAID Response/Plan",'RAID Log'!$1:$1,0)),"")))</f>
        <v/>
      </c>
    </row>
    <row r="7" spans="1:40" ht="15" customHeight="1">
      <c r="A7" s="82">
        <f>IF($B7="","",IF(IFERROR(INDEX('RAID Log'!$1:$1048576,$B7,MATCH("RAID ID",'RAID Log'!$1:$1,0)),"")="","",IFERROR(INDEX('RAID Log'!$1:$1048576,$B7,MATCH("RAID ID",'RAID Log'!$1:$1,0)),"")))</f>
        <v>14</v>
      </c>
      <c r="B7" s="83">
        <f>IFERROR(MATCH(ROW()-1,'RAID Log'!$S:$S,0),"")</f>
        <v>15</v>
      </c>
      <c r="C7" s="84" t="str">
        <f>IF($B7="","",IF(IFERROR(INDEX('RAID Log'!$1:$1048576,$B7,MATCH("Description",'RAID Log'!$1:$1,0)),"")="","",IFERROR(INDEX('RAID Log'!$1:$1048576,$B7,MATCH("Description",'RAID Log'!$1:$1,0)),"")))</f>
        <v>D 14</v>
      </c>
      <c r="D7" s="84" t="str">
        <f>IF($B7="","",IF(IFERROR(INDEX('RAID Log'!$1:$1048576,$B7,MATCH("Impact/Effect of the RAID",'RAID Log'!$1:$1,0)),"")="","",IFERROR(INDEX('RAID Log'!$1:$1048576,$B7,MATCH("Impact/Effect of the RAID",'RAID Log'!$1:$1,0)),"")))</f>
        <v>Impact and Effect 14</v>
      </c>
      <c r="E7" s="85" t="str">
        <f>IF($B7="","",IF(IFERROR(INDEX('RAID Log'!$1:$1048576,$B7,MATCH("Impact Area",'RAID Log'!$1:$1,0)),"")="","",IFERROR(INDEX('RAID Log'!$1:$1048576,$B7,MATCH("Impact Area",'RAID Log'!$1:$1,0)),"")))</f>
        <v>Other</v>
      </c>
      <c r="F7" s="85" t="str">
        <f>IF($B7="","",IF(IFERROR(INDEX('RAID Log'!$1:$1048576,$B7,MATCH("Impact Area",'RAID Log'!$1:$1,0)),"")="","",IFERROR(INDEX('RAID Log'!$1:$1048576,$B7,MATCH("Impact Area",'RAID Log'!$1:$1,0)),"")))</f>
        <v>Other</v>
      </c>
      <c r="G7" s="85" t="str">
        <f>IF($B7="","",IF(IFERROR(INDEX('RAID Log'!$1:$1048576,$B7,MATCH("Impact Rating",'RAID Log'!$1:$1,0)),"")="","",IFERROR(INDEX('RAID Log'!$1:$1048576,$B7,MATCH("Impact Rating",'RAID Log'!$1:$1,0)),"")))</f>
        <v>Minor</v>
      </c>
      <c r="H7" s="85" t="str">
        <f>IF($B7="","",IF(IFERROR(INDEX('RAID Log'!$1:$1048576,$B7,MATCH("Initial Probability",'RAID Log'!$1:$1,0)),"")="","",IFERROR(INDEX('RAID Log'!$1:$1048576,$B7,MATCH("Initial Probability",'RAID Log'!$1:$1,0)),"")))</f>
        <v>Average</v>
      </c>
      <c r="I7" s="86">
        <f t="shared" si="0"/>
        <v>6</v>
      </c>
      <c r="J7" s="85" t="str">
        <f t="shared" si="1"/>
        <v>Tolerable</v>
      </c>
      <c r="K7" s="86">
        <f t="shared" si="2"/>
        <v>5</v>
      </c>
      <c r="L7" s="85" t="str">
        <f>IF($B7="","",IF(IFERROR(INDEX('RAID Log'!$1:$1048576,$B7,MATCH("Status",'RAID Log'!$1:$1,0)),"")="","",IFERROR(INDEX('RAID Log'!$1:$1048576,$B7,MATCH("Status",'RAID Log'!$1:$1,0)),"")))</f>
        <v>Behind</v>
      </c>
      <c r="M7" s="85" t="str">
        <f>IF($B7="","",IF(IFERROR(INDEX('RAID Log'!$1:$1048576,$B7,MATCH("RAID Owner",'RAID Log'!$1:$1,0)),"")="","",IFERROR(INDEX('RAID Log'!$1:$1048576,$B7,MATCH("RAID Owner",'RAID Log'!$1:$1,0)),"")))</f>
        <v>Owner 3</v>
      </c>
      <c r="N7" s="87">
        <f>IF($B7="","",IF(IFERROR(INDEX('RAID Log'!$1:$1048576,$B7,MATCH("Date Raised",'RAID Log'!$1:$1,0)),"")="","",IFERROR(INDEX('RAID Log'!$1:$1048576,$B7,MATCH("Date Raised",'RAID Log'!$1:$1,0)),"")))</f>
        <v>46067</v>
      </c>
      <c r="O7" s="87" t="str">
        <f>IF($B7="","",IF(IFERROR(INDEX('RAID Log'!$1:$1048576,$B7,MATCH("Closed Date",'RAID Log'!$1:$1,0)),"")="","",IFERROR(INDEX('RAID Log'!$1:$1048576,$B7,MATCH("Closed Date",'RAID Log'!$1:$1,0)),"")))</f>
        <v/>
      </c>
      <c r="P7" s="85" t="str">
        <f>IF($B7="","",IF(IFERROR(INDEX('RAID Log'!$1:$1048576,$B7,MATCH("Mitigation Strategy",'RAID Log'!$1:$1,0)),"")="","",IFERROR(INDEX('RAID Log'!$1:$1048576,$B7,MATCH("Mitigation Strategy",'RAID Log'!$1:$1,0)),"")))</f>
        <v>Transfer</v>
      </c>
      <c r="Q7" s="88" t="str">
        <f>IF($B7="","",IF(IFERROR(INDEX('RAID Log'!$1:$1048576,$B7,MATCH("RAID Response/Plan",'RAID Log'!$1:$1,0)),"")="","",IFERROR(INDEX('RAID Log'!$1:$1048576,$B7,MATCH("RAID Response/Plan",'RAID Log'!$1:$1,0)),"")))</f>
        <v/>
      </c>
    </row>
    <row r="8" spans="1:40" ht="27" customHeight="1">
      <c r="A8" s="82" t="str">
        <f>IF($B8="","",IF(IFERROR(INDEX('RAID Log'!$1:$1048576,$B8,MATCH("RAID ID",'RAID Log'!$1:$1,0)),"")="","",IFERROR(INDEX('RAID Log'!$1:$1048576,$B8,MATCH("RAID ID",'RAID Log'!$1:$1,0)),"")))</f>
        <v/>
      </c>
      <c r="B8" s="83">
        <f>IFERROR(MATCH(ROW()-1,'RAID Log'!$S:$S,0),"")</f>
        <v>20</v>
      </c>
      <c r="C8" s="84" t="str">
        <f>IF($B8="","",IF(IFERROR(INDEX('RAID Log'!$1:$1048576,$B8,MATCH("Description",'RAID Log'!$1:$1,0)),"")="","",IFERROR(INDEX('RAID Log'!$1:$1048576,$B8,MATCH("Description",'RAID Log'!$1:$1,0)),"")))</f>
        <v>D 19</v>
      </c>
      <c r="D8" s="84" t="str">
        <f>IF($B8="","",IF(IFERROR(INDEX('RAID Log'!$1:$1048576,$B8,MATCH("Impact/Effect of the RAID",'RAID Log'!$1:$1,0)),"")="","",IFERROR(INDEX('RAID Log'!$1:$1048576,$B8,MATCH("Impact/Effect of the RAID",'RAID Log'!$1:$1,0)),"")))</f>
        <v>Impact and Effect 19</v>
      </c>
      <c r="E8" s="85" t="str">
        <f>IF($B8="","",IF(IFERROR(INDEX('RAID Log'!$1:$1048576,$B8,MATCH("Impact Area",'RAID Log'!$1:$1,0)),"")="","",IFERROR(INDEX('RAID Log'!$1:$1048576,$B8,MATCH("Impact Area",'RAID Log'!$1:$1,0)),"")))</f>
        <v>Other</v>
      </c>
      <c r="F8" s="85" t="str">
        <f>IF($B8="","",IF(IFERROR(INDEX('RAID Log'!$1:$1048576,$B8,MATCH("Impact Area",'RAID Log'!$1:$1,0)),"")="","",IFERROR(INDEX('RAID Log'!$1:$1048576,$B8,MATCH("Impact Area",'RAID Log'!$1:$1,0)),"")))</f>
        <v>Other</v>
      </c>
      <c r="G8" s="85" t="str">
        <f>IF($B8="","",IF(IFERROR(INDEX('RAID Log'!$1:$1048576,$B8,MATCH("Impact Rating",'RAID Log'!$1:$1,0)),"")="","",IFERROR(INDEX('RAID Log'!$1:$1048576,$B8,MATCH("Impact Rating",'RAID Log'!$1:$1,0)),"")))</f>
        <v>Major</v>
      </c>
      <c r="H8" s="85" t="str">
        <f>IF($B8="","",IF(IFERROR(INDEX('RAID Log'!$1:$1048576,$B8,MATCH("Initial Probability",'RAID Log'!$1:$1,0)),"")="","",IFERROR(INDEX('RAID Log'!$1:$1048576,$B8,MATCH("Initial Probability",'RAID Log'!$1:$1,0)),"")))</f>
        <v>Very High</v>
      </c>
      <c r="I8" s="86">
        <f t="shared" si="0"/>
        <v>20</v>
      </c>
      <c r="J8" s="85" t="str">
        <f t="shared" si="1"/>
        <v>High</v>
      </c>
      <c r="K8" s="86">
        <f t="shared" si="2"/>
        <v>1</v>
      </c>
      <c r="L8" s="85" t="str">
        <f>IF($B8="","",IF(IFERROR(INDEX('RAID Log'!$1:$1048576,$B8,MATCH("Status",'RAID Log'!$1:$1,0)),"")="","",IFERROR(INDEX('RAID Log'!$1:$1048576,$B8,MATCH("Status",'RAID Log'!$1:$1,0)),"")))</f>
        <v>Behind</v>
      </c>
      <c r="M8" s="85" t="str">
        <f>IF($B8="","",IF(IFERROR(INDEX('RAID Log'!$1:$1048576,$B8,MATCH("RAID Owner",'RAID Log'!$1:$1,0)),"")="","",IFERROR(INDEX('RAID Log'!$1:$1048576,$B8,MATCH("RAID Owner",'RAID Log'!$1:$1,0)),"")))</f>
        <v>Owner 8</v>
      </c>
      <c r="N8" s="87">
        <f>IF($B8="","",IF(IFERROR(INDEX('RAID Log'!$1:$1048576,$B8,MATCH("Date Raised",'RAID Log'!$1:$1,0)),"")="","",IFERROR(INDEX('RAID Log'!$1:$1048576,$B8,MATCH("Date Raised",'RAID Log'!$1:$1,0)),"")))</f>
        <v>46081</v>
      </c>
      <c r="O8" s="87" t="str">
        <f>IF($B8="","",IF(IFERROR(INDEX('RAID Log'!$1:$1048576,$B8,MATCH("Closed Date",'RAID Log'!$1:$1,0)),"")="","",IFERROR(INDEX('RAID Log'!$1:$1048576,$B8,MATCH("Closed Date",'RAID Log'!$1:$1,0)),"")))</f>
        <v/>
      </c>
      <c r="P8" s="85" t="str">
        <f>IF($B8="","",IF(IFERROR(INDEX('RAID Log'!$1:$1048576,$B8,MATCH("Mitigation Strategy",'RAID Log'!$1:$1,0)),"")="","",IFERROR(INDEX('RAID Log'!$1:$1048576,$B8,MATCH("Mitigation Strategy",'RAID Log'!$1:$1,0)),"")))</f>
        <v>Accept</v>
      </c>
      <c r="Q8" s="88" t="str">
        <f>IF($B8="","",IF(IFERROR(INDEX('RAID Log'!$1:$1048576,$B8,MATCH("RAID Response/Plan",'RAID Log'!$1:$1,0)),"")="","",IFERROR(INDEX('RAID Log'!$1:$1048576,$B8,MATCH("RAID Response/Plan",'RAID Log'!$1:$1,0)),"")))</f>
        <v/>
      </c>
      <c r="AE8" s="67"/>
      <c r="AF8" s="67"/>
      <c r="AG8" s="67"/>
      <c r="AH8" s="19"/>
      <c r="AN8" s="67"/>
    </row>
    <row r="9" spans="1:40" ht="15" customHeight="1">
      <c r="A9" s="82" t="str">
        <f>IF($B9="","",IF(IFERROR(INDEX('RAID Log'!$1:$1048576,$B9,MATCH("RAID ID",'RAID Log'!$1:$1,0)),"")="","",IFERROR(INDEX('RAID Log'!$1:$1048576,$B9,MATCH("RAID ID",'RAID Log'!$1:$1,0)),"")))</f>
        <v/>
      </c>
      <c r="B9" s="83" t="str">
        <f>IFERROR(MATCH(ROW()-1,'RAID Log'!$S:$S,0),"")</f>
        <v/>
      </c>
      <c r="C9" s="84" t="str">
        <f>IF($B9="","",IF(IFERROR(INDEX('RAID Log'!$1:$1048576,$B9,MATCH("Description",'RAID Log'!$1:$1,0)),"")="","",IFERROR(INDEX('RAID Log'!$1:$1048576,$B9,MATCH("Description",'RAID Log'!$1:$1,0)),"")))</f>
        <v/>
      </c>
      <c r="D9" s="84" t="str">
        <f>IF($B9="","",IF(IFERROR(INDEX('RAID Log'!$1:$1048576,$B9,MATCH("Impact/Effect of the RAID",'RAID Log'!$1:$1,0)),"")="","",IFERROR(INDEX('RAID Log'!$1:$1048576,$B9,MATCH("Impact/Effect of the RAID",'RAID Log'!$1:$1,0)),"")))</f>
        <v/>
      </c>
      <c r="E9" s="85" t="str">
        <f>IF($B9="","",IF(IFERROR(INDEX('RAID Log'!$1:$1048576,$B9,MATCH("Impact Area",'RAID Log'!$1:$1,0)),"")="","",IFERROR(INDEX('RAID Log'!$1:$1048576,$B9,MATCH("Impact Area",'RAID Log'!$1:$1,0)),"")))</f>
        <v/>
      </c>
      <c r="F9" s="85" t="str">
        <f>IF($B9="","",IF(IFERROR(INDEX('RAID Log'!$1:$1048576,$B9,MATCH("Impact Area",'RAID Log'!$1:$1,0)),"")="","",IFERROR(INDEX('RAID Log'!$1:$1048576,$B9,MATCH("Impact Area",'RAID Log'!$1:$1,0)),"")))</f>
        <v/>
      </c>
      <c r="G9" s="85" t="str">
        <f>IF($B9="","",IF(IFERROR(INDEX('RAID Log'!$1:$1048576,$B9,MATCH("Impact Rating",'RAID Log'!$1:$1,0)),"")="","",IFERROR(INDEX('RAID Log'!$1:$1048576,$B9,MATCH("Impact Rating",'RAID Log'!$1:$1,0)),"")))</f>
        <v/>
      </c>
      <c r="H9" s="85" t="str">
        <f>IF($B9="","",IF(IFERROR(INDEX('RAID Log'!$1:$1048576,$B9,MATCH("Initial Probability",'RAID Log'!$1:$1,0)),"")="","",IFERROR(INDEX('RAID Log'!$1:$1048576,$B9,MATCH("Initial Probability",'RAID Log'!$1:$1,0)),"")))</f>
        <v/>
      </c>
      <c r="I9" s="86" t="str">
        <f t="shared" si="0"/>
        <v/>
      </c>
      <c r="J9" s="85" t="str">
        <f t="shared" si="1"/>
        <v/>
      </c>
      <c r="K9" s="86" t="str">
        <f t="shared" si="2"/>
        <v/>
      </c>
      <c r="L9" s="85" t="str">
        <f>IF($B9="","",IF(IFERROR(INDEX('RAID Log'!$1:$1048576,$B9,MATCH("Status",'RAID Log'!$1:$1,0)),"")="","",IFERROR(INDEX('RAID Log'!$1:$1048576,$B9,MATCH("Status",'RAID Log'!$1:$1,0)),"")))</f>
        <v/>
      </c>
      <c r="M9" s="85" t="str">
        <f>IF($B9="","",IF(IFERROR(INDEX('RAID Log'!$1:$1048576,$B9,MATCH("RAID Owner",'RAID Log'!$1:$1,0)),"")="","",IFERROR(INDEX('RAID Log'!$1:$1048576,$B9,MATCH("RAID Owner",'RAID Log'!$1:$1,0)),"")))</f>
        <v/>
      </c>
      <c r="N9" s="87" t="str">
        <f>IF($B9="","",IF(IFERROR(INDEX('RAID Log'!$1:$1048576,$B9,MATCH("Date Raised",'RAID Log'!$1:$1,0)),"")="","",IFERROR(INDEX('RAID Log'!$1:$1048576,$B9,MATCH("Date Raised",'RAID Log'!$1:$1,0)),"")))</f>
        <v/>
      </c>
      <c r="O9" s="87" t="str">
        <f>IF($B9="","",IF(IFERROR(INDEX('RAID Log'!$1:$1048576,$B9,MATCH("Closed Date",'RAID Log'!$1:$1,0)),"")="","",IFERROR(INDEX('RAID Log'!$1:$1048576,$B9,MATCH("Closed Date",'RAID Log'!$1:$1,0)),"")))</f>
        <v/>
      </c>
      <c r="P9" s="85" t="str">
        <f>IF($B9="","",IF(IFERROR(INDEX('RAID Log'!$1:$1048576,$B9,MATCH("Mitigation Strategy",'RAID Log'!$1:$1,0)),"")="","",IFERROR(INDEX('RAID Log'!$1:$1048576,$B9,MATCH("Mitigation Strategy",'RAID Log'!$1:$1,0)),"")))</f>
        <v/>
      </c>
      <c r="Q9" s="88" t="str">
        <f>IF($B9="","",IF(IFERROR(INDEX('RAID Log'!$1:$1048576,$B9,MATCH("RAID Response/Plan",'RAID Log'!$1:$1,0)),"")="","",IFERROR(INDEX('RAID Log'!$1:$1048576,$B9,MATCH("RAID Response/Plan",'RAID Log'!$1:$1,0)),"")))</f>
        <v/>
      </c>
      <c r="U9" s="19"/>
      <c r="W9" s="19"/>
      <c r="AE9" s="67"/>
      <c r="AF9" s="67"/>
      <c r="AG9" s="67"/>
      <c r="AH9" s="19"/>
      <c r="AN9" s="67"/>
    </row>
    <row r="10" spans="1:40" ht="15" customHeight="1">
      <c r="A10" s="82" t="str">
        <f>IF($B10="","",IF(IFERROR(INDEX('RAID Log'!$1:$1048576,$B10,MATCH("RAID ID",'RAID Log'!$1:$1,0)),"")="","",IFERROR(INDEX('RAID Log'!$1:$1048576,$B10,MATCH("RAID ID",'RAID Log'!$1:$1,0)),"")))</f>
        <v/>
      </c>
      <c r="B10" s="83" t="str">
        <f>IFERROR(MATCH(ROW()-1,'RAID Log'!$S:$S,0),"")</f>
        <v/>
      </c>
      <c r="C10" s="84" t="str">
        <f>IF($B10="","",IF(IFERROR(INDEX('RAID Log'!$1:$1048576,$B10,MATCH("Description",'RAID Log'!$1:$1,0)),"")="","",IFERROR(INDEX('RAID Log'!$1:$1048576,$B10,MATCH("Description",'RAID Log'!$1:$1,0)),"")))</f>
        <v/>
      </c>
      <c r="D10" s="84" t="str">
        <f>IF($B10="","",IF(IFERROR(INDEX('RAID Log'!$1:$1048576,$B10,MATCH("Impact/Effect of the RAID",'RAID Log'!$1:$1,0)),"")="","",IFERROR(INDEX('RAID Log'!$1:$1048576,$B10,MATCH("Impact/Effect of the RAID",'RAID Log'!$1:$1,0)),"")))</f>
        <v/>
      </c>
      <c r="E10" s="85" t="str">
        <f>IF($B10="","",IF(IFERROR(INDEX('RAID Log'!$1:$1048576,$B10,MATCH("Impact Area",'RAID Log'!$1:$1,0)),"")="","",IFERROR(INDEX('RAID Log'!$1:$1048576,$B10,MATCH("Impact Area",'RAID Log'!$1:$1,0)),"")))</f>
        <v/>
      </c>
      <c r="F10" s="85" t="str">
        <f>IF($B10="","",IF(IFERROR(INDEX('RAID Log'!$1:$1048576,$B10,MATCH("Impact Area",'RAID Log'!$1:$1,0)),"")="","",IFERROR(INDEX('RAID Log'!$1:$1048576,$B10,MATCH("Impact Area",'RAID Log'!$1:$1,0)),"")))</f>
        <v/>
      </c>
      <c r="G10" s="85" t="str">
        <f>IF($B10="","",IF(IFERROR(INDEX('RAID Log'!$1:$1048576,$B10,MATCH("Impact Rating",'RAID Log'!$1:$1,0)),"")="","",IFERROR(INDEX('RAID Log'!$1:$1048576,$B10,MATCH("Impact Rating",'RAID Log'!$1:$1,0)),"")))</f>
        <v/>
      </c>
      <c r="H10" s="85" t="str">
        <f>IF($B10="","",IF(IFERROR(INDEX('RAID Log'!$1:$1048576,$B10,MATCH("Initial Probability",'RAID Log'!$1:$1,0)),"")="","",IFERROR(INDEX('RAID Log'!$1:$1048576,$B10,MATCH("Initial Probability",'RAID Log'!$1:$1,0)),"")))</f>
        <v/>
      </c>
      <c r="I10" s="86" t="str">
        <f t="shared" si="0"/>
        <v/>
      </c>
      <c r="J10" s="85" t="str">
        <f t="shared" si="1"/>
        <v/>
      </c>
      <c r="K10" s="86" t="str">
        <f t="shared" si="2"/>
        <v/>
      </c>
      <c r="L10" s="85" t="str">
        <f>IF($B10="","",IF(IFERROR(INDEX('RAID Log'!$1:$1048576,$B10,MATCH("Status",'RAID Log'!$1:$1,0)),"")="","",IFERROR(INDEX('RAID Log'!$1:$1048576,$B10,MATCH("Status",'RAID Log'!$1:$1,0)),"")))</f>
        <v/>
      </c>
      <c r="M10" s="85" t="str">
        <f>IF($B10="","",IF(IFERROR(INDEX('RAID Log'!$1:$1048576,$B10,MATCH("RAID Owner",'RAID Log'!$1:$1,0)),"")="","",IFERROR(INDEX('RAID Log'!$1:$1048576,$B10,MATCH("RAID Owner",'RAID Log'!$1:$1,0)),"")))</f>
        <v/>
      </c>
      <c r="N10" s="87" t="str">
        <f>IF($B10="","",IF(IFERROR(INDEX('RAID Log'!$1:$1048576,$B10,MATCH("Date Raised",'RAID Log'!$1:$1,0)),"")="","",IFERROR(INDEX('RAID Log'!$1:$1048576,$B10,MATCH("Date Raised",'RAID Log'!$1:$1,0)),"")))</f>
        <v/>
      </c>
      <c r="O10" s="87" t="str">
        <f>IF($B10="","",IF(IFERROR(INDEX('RAID Log'!$1:$1048576,$B10,MATCH("Closed Date",'RAID Log'!$1:$1,0)),"")="","",IFERROR(INDEX('RAID Log'!$1:$1048576,$B10,MATCH("Closed Date",'RAID Log'!$1:$1,0)),"")))</f>
        <v/>
      </c>
      <c r="P10" s="85" t="str">
        <f>IF($B10="","",IF(IFERROR(INDEX('RAID Log'!$1:$1048576,$B10,MATCH("Mitigation Strategy",'RAID Log'!$1:$1,0)),"")="","",IFERROR(INDEX('RAID Log'!$1:$1048576,$B10,MATCH("Mitigation Strategy",'RAID Log'!$1:$1,0)),"")))</f>
        <v/>
      </c>
      <c r="Q10" s="88" t="str">
        <f>IF($B10="","",IF(IFERROR(INDEX('RAID Log'!$1:$1048576,$B10,MATCH("RAID Response/Plan",'RAID Log'!$1:$1,0)),"")="","",IFERROR(INDEX('RAID Log'!$1:$1048576,$B10,MATCH("RAID Response/Plan",'RAID Log'!$1:$1,0)),"")))</f>
        <v/>
      </c>
      <c r="U10" s="19"/>
      <c r="W10" s="19"/>
      <c r="AE10" s="67"/>
      <c r="AF10" s="67"/>
      <c r="AG10" s="67"/>
      <c r="AH10" s="19"/>
      <c r="AN10" s="67"/>
    </row>
    <row r="11" spans="1:40" ht="27" customHeight="1">
      <c r="A11" s="82" t="str">
        <f>IF($B11="","",IF(IFERROR(INDEX('RAID Log'!$1:$1048576,$B11,MATCH("RAID ID",'RAID Log'!$1:$1,0)),"")="","",IFERROR(INDEX('RAID Log'!$1:$1048576,$B11,MATCH("RAID ID",'RAID Log'!$1:$1,0)),"")))</f>
        <v/>
      </c>
      <c r="B11" s="83" t="str">
        <f>IFERROR(MATCH(ROW()-1,'RAID Log'!$S:$S,0),"")</f>
        <v/>
      </c>
      <c r="C11" s="84" t="str">
        <f>IF($B11="","",IF(IFERROR(INDEX('RAID Log'!$1:$1048576,$B11,MATCH("Description",'RAID Log'!$1:$1,0)),"")="","",IFERROR(INDEX('RAID Log'!$1:$1048576,$B11,MATCH("Description",'RAID Log'!$1:$1,0)),"")))</f>
        <v/>
      </c>
      <c r="D11" s="84" t="str">
        <f>IF($B11="","",IF(IFERROR(INDEX('RAID Log'!$1:$1048576,$B11,MATCH("Impact/Effect of the RAID",'RAID Log'!$1:$1,0)),"")="","",IFERROR(INDEX('RAID Log'!$1:$1048576,$B11,MATCH("Impact/Effect of the RAID",'RAID Log'!$1:$1,0)),"")))</f>
        <v/>
      </c>
      <c r="E11" s="85" t="str">
        <f>IF($B11="","",IF(IFERROR(INDEX('RAID Log'!$1:$1048576,$B11,MATCH("Impact Area",'RAID Log'!$1:$1,0)),"")="","",IFERROR(INDEX('RAID Log'!$1:$1048576,$B11,MATCH("Impact Area",'RAID Log'!$1:$1,0)),"")))</f>
        <v/>
      </c>
      <c r="F11" s="85" t="str">
        <f>IF($B11="","",IF(IFERROR(INDEX('RAID Log'!$1:$1048576,$B11,MATCH("Impact Area",'RAID Log'!$1:$1,0)),"")="","",IFERROR(INDEX('RAID Log'!$1:$1048576,$B11,MATCH("Impact Area",'RAID Log'!$1:$1,0)),"")))</f>
        <v/>
      </c>
      <c r="G11" s="85" t="str">
        <f>IF($B11="","",IF(IFERROR(INDEX('RAID Log'!$1:$1048576,$B11,MATCH("Impact Rating",'RAID Log'!$1:$1,0)),"")="","",IFERROR(INDEX('RAID Log'!$1:$1048576,$B11,MATCH("Impact Rating",'RAID Log'!$1:$1,0)),"")))</f>
        <v/>
      </c>
      <c r="H11" s="85" t="str">
        <f>IF($B11="","",IF(IFERROR(INDEX('RAID Log'!$1:$1048576,$B11,MATCH("Initial Probability",'RAID Log'!$1:$1,0)),"")="","",IFERROR(INDEX('RAID Log'!$1:$1048576,$B11,MATCH("Initial Probability",'RAID Log'!$1:$1,0)),"")))</f>
        <v/>
      </c>
      <c r="I11" s="86" t="str">
        <f t="shared" si="0"/>
        <v/>
      </c>
      <c r="J11" s="85" t="str">
        <f t="shared" si="1"/>
        <v/>
      </c>
      <c r="K11" s="86" t="str">
        <f t="shared" si="2"/>
        <v/>
      </c>
      <c r="L11" s="85" t="str">
        <f>IF($B11="","",IF(IFERROR(INDEX('RAID Log'!$1:$1048576,$B11,MATCH("Status",'RAID Log'!$1:$1,0)),"")="","",IFERROR(INDEX('RAID Log'!$1:$1048576,$B11,MATCH("Status",'RAID Log'!$1:$1,0)),"")))</f>
        <v/>
      </c>
      <c r="M11" s="85" t="str">
        <f>IF($B11="","",IF(IFERROR(INDEX('RAID Log'!$1:$1048576,$B11,MATCH("RAID Owner",'RAID Log'!$1:$1,0)),"")="","",IFERROR(INDEX('RAID Log'!$1:$1048576,$B11,MATCH("RAID Owner",'RAID Log'!$1:$1,0)),"")))</f>
        <v/>
      </c>
      <c r="N11" s="87" t="str">
        <f>IF($B11="","",IF(IFERROR(INDEX('RAID Log'!$1:$1048576,$B11,MATCH("Date Raised",'RAID Log'!$1:$1,0)),"")="","",IFERROR(INDEX('RAID Log'!$1:$1048576,$B11,MATCH("Date Raised",'RAID Log'!$1:$1,0)),"")))</f>
        <v/>
      </c>
      <c r="O11" s="87" t="str">
        <f>IF($B11="","",IF(IFERROR(INDEX('RAID Log'!$1:$1048576,$B11,MATCH("Closed Date",'RAID Log'!$1:$1,0)),"")="","",IFERROR(INDEX('RAID Log'!$1:$1048576,$B11,MATCH("Closed Date",'RAID Log'!$1:$1,0)),"")))</f>
        <v/>
      </c>
      <c r="P11" s="85" t="str">
        <f>IF($B11="","",IF(IFERROR(INDEX('RAID Log'!$1:$1048576,$B11,MATCH("Mitigation Strategy",'RAID Log'!$1:$1,0)),"")="","",IFERROR(INDEX('RAID Log'!$1:$1048576,$B11,MATCH("Mitigation Strategy",'RAID Log'!$1:$1,0)),"")))</f>
        <v/>
      </c>
      <c r="Q11" s="88" t="str">
        <f>IF($B11="","",IF(IFERROR(INDEX('RAID Log'!$1:$1048576,$B11,MATCH("RAID Response/Plan",'RAID Log'!$1:$1,0)),"")="","",IFERROR(INDEX('RAID Log'!$1:$1048576,$B11,MATCH("RAID Response/Plan",'RAID Log'!$1:$1,0)),"")))</f>
        <v/>
      </c>
      <c r="U11" s="19"/>
      <c r="W11" s="19"/>
      <c r="AE11" s="89"/>
      <c r="AF11" s="67"/>
      <c r="AG11" s="67"/>
      <c r="AH11" s="67"/>
      <c r="AI11" s="67"/>
      <c r="AJ11" s="67"/>
      <c r="AK11" s="67"/>
      <c r="AL11" s="67"/>
      <c r="AM11" s="67"/>
      <c r="AN11" s="67"/>
    </row>
    <row r="12" spans="1:40" ht="66.75" customHeight="1">
      <c r="A12" s="82" t="str">
        <f>IF($B12="","",IF(IFERROR(INDEX('RAID Log'!$1:$1048576,$B12,MATCH("RAID ID",'RAID Log'!$1:$1,0)),"")="","",IFERROR(INDEX('RAID Log'!$1:$1048576,$B12,MATCH("RAID ID",'RAID Log'!$1:$1,0)),"")))</f>
        <v/>
      </c>
      <c r="B12" s="83" t="str">
        <f>IFERROR(MATCH(ROW()-1,'RAID Log'!$S:$S,0),"")</f>
        <v/>
      </c>
      <c r="C12" s="84" t="str">
        <f>IF($B12="","",IF(IFERROR(INDEX('RAID Log'!$1:$1048576,$B12,MATCH("Description",'RAID Log'!$1:$1,0)),"")="","",IFERROR(INDEX('RAID Log'!$1:$1048576,$B12,MATCH("Description",'RAID Log'!$1:$1,0)),"")))</f>
        <v/>
      </c>
      <c r="D12" s="84" t="str">
        <f>IF($B12="","",IF(IFERROR(INDEX('RAID Log'!$1:$1048576,$B12,MATCH("Impact/Effect of the RAID",'RAID Log'!$1:$1,0)),"")="","",IFERROR(INDEX('RAID Log'!$1:$1048576,$B12,MATCH("Impact/Effect of the RAID",'RAID Log'!$1:$1,0)),"")))</f>
        <v/>
      </c>
      <c r="E12" s="85" t="str">
        <f>IF($B12="","",IF(IFERROR(INDEX('RAID Log'!$1:$1048576,$B12,MATCH("Impact Area",'RAID Log'!$1:$1,0)),"")="","",IFERROR(INDEX('RAID Log'!$1:$1048576,$B12,MATCH("Impact Area",'RAID Log'!$1:$1,0)),"")))</f>
        <v/>
      </c>
      <c r="F12" s="85" t="str">
        <f>IF($B12="","",IF(IFERROR(INDEX('RAID Log'!$1:$1048576,$B12,MATCH("Impact Area",'RAID Log'!$1:$1,0)),"")="","",IFERROR(INDEX('RAID Log'!$1:$1048576,$B12,MATCH("Impact Area",'RAID Log'!$1:$1,0)),"")))</f>
        <v/>
      </c>
      <c r="G12" s="85" t="str">
        <f>IF($B12="","",IF(IFERROR(INDEX('RAID Log'!$1:$1048576,$B12,MATCH("Impact Rating",'RAID Log'!$1:$1,0)),"")="","",IFERROR(INDEX('RAID Log'!$1:$1048576,$B12,MATCH("Impact Rating",'RAID Log'!$1:$1,0)),"")))</f>
        <v/>
      </c>
      <c r="H12" s="85" t="str">
        <f>IF($B12="","",IF(IFERROR(INDEX('RAID Log'!$1:$1048576,$B12,MATCH("Initial Probability",'RAID Log'!$1:$1,0)),"")="","",IFERROR(INDEX('RAID Log'!$1:$1048576,$B12,MATCH("Initial Probability",'RAID Log'!$1:$1,0)),"")))</f>
        <v/>
      </c>
      <c r="I12" s="86" t="str">
        <f t="shared" si="0"/>
        <v/>
      </c>
      <c r="J12" s="85" t="str">
        <f t="shared" si="1"/>
        <v/>
      </c>
      <c r="K12" s="86" t="str">
        <f t="shared" si="2"/>
        <v/>
      </c>
      <c r="L12" s="85" t="str">
        <f>IF($B12="","",IF(IFERROR(INDEX('RAID Log'!$1:$1048576,$B12,MATCH("Status",'RAID Log'!$1:$1,0)),"")="","",IFERROR(INDEX('RAID Log'!$1:$1048576,$B12,MATCH("Status",'RAID Log'!$1:$1,0)),"")))</f>
        <v/>
      </c>
      <c r="M12" s="85" t="str">
        <f>IF($B12="","",IF(IFERROR(INDEX('RAID Log'!$1:$1048576,$B12,MATCH("RAID Owner",'RAID Log'!$1:$1,0)),"")="","",IFERROR(INDEX('RAID Log'!$1:$1048576,$B12,MATCH("RAID Owner",'RAID Log'!$1:$1,0)),"")))</f>
        <v/>
      </c>
      <c r="N12" s="87" t="str">
        <f>IF($B12="","",IF(IFERROR(INDEX('RAID Log'!$1:$1048576,$B12,MATCH("Date Raised",'RAID Log'!$1:$1,0)),"")="","",IFERROR(INDEX('RAID Log'!$1:$1048576,$B12,MATCH("Date Raised",'RAID Log'!$1:$1,0)),"")))</f>
        <v/>
      </c>
      <c r="O12" s="87" t="str">
        <f>IF($B12="","",IF(IFERROR(INDEX('RAID Log'!$1:$1048576,$B12,MATCH("Closed Date",'RAID Log'!$1:$1,0)),"")="","",IFERROR(INDEX('RAID Log'!$1:$1048576,$B12,MATCH("Closed Date",'RAID Log'!$1:$1,0)),"")))</f>
        <v/>
      </c>
      <c r="P12" s="85" t="str">
        <f>IF($B12="","",IF(IFERROR(INDEX('RAID Log'!$1:$1048576,$B12,MATCH("Mitigation Strategy",'RAID Log'!$1:$1,0)),"")="","",IFERROR(INDEX('RAID Log'!$1:$1048576,$B12,MATCH("Mitigation Strategy",'RAID Log'!$1:$1,0)),"")))</f>
        <v/>
      </c>
      <c r="Q12" s="88" t="str">
        <f>IF($B12="","",IF(IFERROR(INDEX('RAID Log'!$1:$1048576,$B12,MATCH("RAID Response/Plan",'RAID Log'!$1:$1,0)),"")="","",IFERROR(INDEX('RAID Log'!$1:$1048576,$B12,MATCH("RAID Response/Plan",'RAID Log'!$1:$1,0)),"")))</f>
        <v/>
      </c>
      <c r="W12" s="19"/>
      <c r="AE12" s="67"/>
      <c r="AF12" s="67"/>
      <c r="AG12" s="67"/>
      <c r="AH12" s="67"/>
      <c r="AI12" s="67"/>
      <c r="AJ12" s="67"/>
      <c r="AK12" s="67"/>
      <c r="AL12" s="67"/>
      <c r="AM12" s="67"/>
      <c r="AN12" s="67"/>
    </row>
    <row r="13" spans="1:40" ht="27" customHeight="1">
      <c r="A13" s="82" t="str">
        <f>IF($B13="","",IF(IFERROR(INDEX('RAID Log'!$1:$1048576,$B13,MATCH("RAID ID",'RAID Log'!$1:$1,0)),"")="","",IFERROR(INDEX('RAID Log'!$1:$1048576,$B13,MATCH("RAID ID",'RAID Log'!$1:$1,0)),"")))</f>
        <v/>
      </c>
      <c r="B13" s="83" t="str">
        <f>IFERROR(MATCH(ROW()-1,'RAID Log'!$S:$S,0),"")</f>
        <v/>
      </c>
      <c r="C13" s="84" t="str">
        <f>IF($B13="","",IF(IFERROR(INDEX('RAID Log'!$1:$1048576,$B13,MATCH("Description",'RAID Log'!$1:$1,0)),"")="","",IFERROR(INDEX('RAID Log'!$1:$1048576,$B13,MATCH("Description",'RAID Log'!$1:$1,0)),"")))</f>
        <v/>
      </c>
      <c r="D13" s="84" t="str">
        <f>IF($B13="","",IF(IFERROR(INDEX('RAID Log'!$1:$1048576,$B13,MATCH("Impact/Effect of the RAID",'RAID Log'!$1:$1,0)),"")="","",IFERROR(INDEX('RAID Log'!$1:$1048576,$B13,MATCH("Impact/Effect of the RAID",'RAID Log'!$1:$1,0)),"")))</f>
        <v/>
      </c>
      <c r="E13" s="85" t="str">
        <f>IF($B13="","",IF(IFERROR(INDEX('RAID Log'!$1:$1048576,$B13,MATCH("Impact Area",'RAID Log'!$1:$1,0)),"")="","",IFERROR(INDEX('RAID Log'!$1:$1048576,$B13,MATCH("Impact Area",'RAID Log'!$1:$1,0)),"")))</f>
        <v/>
      </c>
      <c r="F13" s="85" t="str">
        <f>IF($B13="","",IF(IFERROR(INDEX('RAID Log'!$1:$1048576,$B13,MATCH("Impact Area",'RAID Log'!$1:$1,0)),"")="","",IFERROR(INDEX('RAID Log'!$1:$1048576,$B13,MATCH("Impact Area",'RAID Log'!$1:$1,0)),"")))</f>
        <v/>
      </c>
      <c r="G13" s="85" t="str">
        <f>IF($B13="","",IF(IFERROR(INDEX('RAID Log'!$1:$1048576,$B13,MATCH("Impact Rating",'RAID Log'!$1:$1,0)),"")="","",IFERROR(INDEX('RAID Log'!$1:$1048576,$B13,MATCH("Impact Rating",'RAID Log'!$1:$1,0)),"")))</f>
        <v/>
      </c>
      <c r="H13" s="85" t="str">
        <f>IF($B13="","",IF(IFERROR(INDEX('RAID Log'!$1:$1048576,$B13,MATCH("Initial Probability",'RAID Log'!$1:$1,0)),"")="","",IFERROR(INDEX('RAID Log'!$1:$1048576,$B13,MATCH("Initial Probability",'RAID Log'!$1:$1,0)),"")))</f>
        <v/>
      </c>
      <c r="I13" s="86" t="str">
        <f t="shared" si="0"/>
        <v/>
      </c>
      <c r="J13" s="85" t="str">
        <f t="shared" si="1"/>
        <v/>
      </c>
      <c r="K13" s="86" t="str">
        <f t="shared" si="2"/>
        <v/>
      </c>
      <c r="L13" s="85" t="str">
        <f>IF($B13="","",IF(IFERROR(INDEX('RAID Log'!$1:$1048576,$B13,MATCH("Status",'RAID Log'!$1:$1,0)),"")="","",IFERROR(INDEX('RAID Log'!$1:$1048576,$B13,MATCH("Status",'RAID Log'!$1:$1,0)),"")))</f>
        <v/>
      </c>
      <c r="M13" s="85" t="str">
        <f>IF($B13="","",IF(IFERROR(INDEX('RAID Log'!$1:$1048576,$B13,MATCH("RAID Owner",'RAID Log'!$1:$1,0)),"")="","",IFERROR(INDEX('RAID Log'!$1:$1048576,$B13,MATCH("RAID Owner",'RAID Log'!$1:$1,0)),"")))</f>
        <v/>
      </c>
      <c r="N13" s="87" t="str">
        <f>IF($B13="","",IF(IFERROR(INDEX('RAID Log'!$1:$1048576,$B13,MATCH("Date Raised",'RAID Log'!$1:$1,0)),"")="","",IFERROR(INDEX('RAID Log'!$1:$1048576,$B13,MATCH("Date Raised",'RAID Log'!$1:$1,0)),"")))</f>
        <v/>
      </c>
      <c r="O13" s="87" t="str">
        <f>IF($B13="","",IF(IFERROR(INDEX('RAID Log'!$1:$1048576,$B13,MATCH("Closed Date",'RAID Log'!$1:$1,0)),"")="","",IFERROR(INDEX('RAID Log'!$1:$1048576,$B13,MATCH("Closed Date",'RAID Log'!$1:$1,0)),"")))</f>
        <v/>
      </c>
      <c r="P13" s="85" t="str">
        <f>IF($B13="","",IF(IFERROR(INDEX('RAID Log'!$1:$1048576,$B13,MATCH("Mitigation Strategy",'RAID Log'!$1:$1,0)),"")="","",IFERROR(INDEX('RAID Log'!$1:$1048576,$B13,MATCH("Mitigation Strategy",'RAID Log'!$1:$1,0)),"")))</f>
        <v/>
      </c>
      <c r="Q13" s="88" t="str">
        <f>IF($B13="","",IF(IFERROR(INDEX('RAID Log'!$1:$1048576,$B13,MATCH("RAID Response/Plan",'RAID Log'!$1:$1,0)),"")="","",IFERROR(INDEX('RAID Log'!$1:$1048576,$B13,MATCH("RAID Response/Plan",'RAID Log'!$1:$1,0)),"")))</f>
        <v/>
      </c>
      <c r="W13" s="19"/>
      <c r="AE13" s="67"/>
      <c r="AF13" s="67"/>
    </row>
    <row r="14" spans="1:40" ht="40.5" customHeight="1">
      <c r="A14" s="82" t="str">
        <f>IF($B14="","",IF(IFERROR(INDEX('RAID Log'!$1:$1048576,$B14,MATCH("RAID ID",'RAID Log'!$1:$1,0)),"")="","",IFERROR(INDEX('RAID Log'!$1:$1048576,$B14,MATCH("RAID ID",'RAID Log'!$1:$1,0)),"")))</f>
        <v/>
      </c>
      <c r="B14" s="83" t="str">
        <f>IFERROR(MATCH(ROW()-1,'RAID Log'!$S:$S,0),"")</f>
        <v/>
      </c>
      <c r="C14" s="84" t="str">
        <f>IF($B14="","",IF(IFERROR(INDEX('RAID Log'!$1:$1048576,$B14,MATCH("Description",'RAID Log'!$1:$1,0)),"")="","",IFERROR(INDEX('RAID Log'!$1:$1048576,$B14,MATCH("Description",'RAID Log'!$1:$1,0)),"")))</f>
        <v/>
      </c>
      <c r="D14" s="84" t="str">
        <f>IF($B14="","",IF(IFERROR(INDEX('RAID Log'!$1:$1048576,$B14,MATCH("Impact/Effect of the RAID",'RAID Log'!$1:$1,0)),"")="","",IFERROR(INDEX('RAID Log'!$1:$1048576,$B14,MATCH("Impact/Effect of the RAID",'RAID Log'!$1:$1,0)),"")))</f>
        <v/>
      </c>
      <c r="E14" s="85" t="str">
        <f>IF($B14="","",IF(IFERROR(INDEX('RAID Log'!$1:$1048576,$B14,MATCH("Impact Area",'RAID Log'!$1:$1,0)),"")="","",IFERROR(INDEX('RAID Log'!$1:$1048576,$B14,MATCH("Impact Area",'RAID Log'!$1:$1,0)),"")))</f>
        <v/>
      </c>
      <c r="F14" s="85" t="str">
        <f>IF($B14="","",IF(IFERROR(INDEX('RAID Log'!$1:$1048576,$B14,MATCH("Impact Area",'RAID Log'!$1:$1,0)),"")="","",IFERROR(INDEX('RAID Log'!$1:$1048576,$B14,MATCH("Impact Area",'RAID Log'!$1:$1,0)),"")))</f>
        <v/>
      </c>
      <c r="G14" s="85" t="str">
        <f>IF($B14="","",IF(IFERROR(INDEX('RAID Log'!$1:$1048576,$B14,MATCH("Impact Rating",'RAID Log'!$1:$1,0)),"")="","",IFERROR(INDEX('RAID Log'!$1:$1048576,$B14,MATCH("Impact Rating",'RAID Log'!$1:$1,0)),"")))</f>
        <v/>
      </c>
      <c r="H14" s="85" t="str">
        <f>IF($B14="","",IF(IFERROR(INDEX('RAID Log'!$1:$1048576,$B14,MATCH("Initial Probability",'RAID Log'!$1:$1,0)),"")="","",IFERROR(INDEX('RAID Log'!$1:$1048576,$B14,MATCH("Initial Probability",'RAID Log'!$1:$1,0)),"")))</f>
        <v/>
      </c>
      <c r="I14" s="86" t="str">
        <f t="shared" si="0"/>
        <v/>
      </c>
      <c r="J14" s="85" t="str">
        <f t="shared" si="1"/>
        <v/>
      </c>
      <c r="K14" s="86" t="str">
        <f t="shared" si="2"/>
        <v/>
      </c>
      <c r="L14" s="85" t="str">
        <f>IF($B14="","",IF(IFERROR(INDEX('RAID Log'!$1:$1048576,$B14,MATCH("Status",'RAID Log'!$1:$1,0)),"")="","",IFERROR(INDEX('RAID Log'!$1:$1048576,$B14,MATCH("Status",'RAID Log'!$1:$1,0)),"")))</f>
        <v/>
      </c>
      <c r="M14" s="85" t="str">
        <f>IF($B14="","",IF(IFERROR(INDEX('RAID Log'!$1:$1048576,$B14,MATCH("RAID Owner",'RAID Log'!$1:$1,0)),"")="","",IFERROR(INDEX('RAID Log'!$1:$1048576,$B14,MATCH("RAID Owner",'RAID Log'!$1:$1,0)),"")))</f>
        <v/>
      </c>
      <c r="N14" s="87" t="str">
        <f>IF($B14="","",IF(IFERROR(INDEX('RAID Log'!$1:$1048576,$B14,MATCH("Date Raised",'RAID Log'!$1:$1,0)),"")="","",IFERROR(INDEX('RAID Log'!$1:$1048576,$B14,MATCH("Date Raised",'RAID Log'!$1:$1,0)),"")))</f>
        <v/>
      </c>
      <c r="O14" s="87" t="str">
        <f>IF($B14="","",IF(IFERROR(INDEX('RAID Log'!$1:$1048576,$B14,MATCH("Closed Date",'RAID Log'!$1:$1,0)),"")="","",IFERROR(INDEX('RAID Log'!$1:$1048576,$B14,MATCH("Closed Date",'RAID Log'!$1:$1,0)),"")))</f>
        <v/>
      </c>
      <c r="P14" s="85" t="str">
        <f>IF($B14="","",IF(IFERROR(INDEX('RAID Log'!$1:$1048576,$B14,MATCH("Mitigation Strategy",'RAID Log'!$1:$1,0)),"")="","",IFERROR(INDEX('RAID Log'!$1:$1048576,$B14,MATCH("Mitigation Strategy",'RAID Log'!$1:$1,0)),"")))</f>
        <v/>
      </c>
      <c r="Q14" s="88" t="str">
        <f>IF($B14="","",IF(IFERROR(INDEX('RAID Log'!$1:$1048576,$B14,MATCH("RAID Response/Plan",'RAID Log'!$1:$1,0)),"")="","",IFERROR(INDEX('RAID Log'!$1:$1048576,$B14,MATCH("RAID Response/Plan",'RAID Log'!$1:$1,0)),"")))</f>
        <v/>
      </c>
      <c r="U14" s="19"/>
      <c r="V14" s="19"/>
      <c r="W14" s="19"/>
      <c r="X14" s="19"/>
      <c r="Y14" s="19"/>
      <c r="Z14" s="19"/>
      <c r="AA14" s="19"/>
      <c r="AE14" s="67"/>
      <c r="AF14" s="90"/>
      <c r="AG14" s="19"/>
      <c r="AH14" s="19"/>
      <c r="AI14" s="19"/>
      <c r="AJ14" s="19"/>
      <c r="AK14" s="19"/>
      <c r="AL14" s="19"/>
      <c r="AM14" s="19"/>
      <c r="AN14" s="19"/>
    </row>
    <row r="15" spans="1:40" ht="15" customHeight="1">
      <c r="A15" s="82" t="str">
        <f>IF($B15="","",IF(IFERROR(INDEX('RAID Log'!$1:$1048576,$B15,MATCH("RAID ID",'RAID Log'!$1:$1,0)),"")="","",IFERROR(INDEX('RAID Log'!$1:$1048576,$B15,MATCH("RAID ID",'RAID Log'!$1:$1,0)),"")))</f>
        <v/>
      </c>
      <c r="B15" s="83" t="str">
        <f>IFERROR(MATCH(ROW()-1,'RAID Log'!$S:$S,0),"")</f>
        <v/>
      </c>
      <c r="C15" s="85" t="str">
        <f>IF($B15="","",IF(IFERROR(INDEX('RAID Log'!$1:$1048576,$B15,MATCH("Description",'RAID Log'!$1:$1,0)),"")="","",IFERROR(INDEX('RAID Log'!$1:$1048576,$B15,MATCH("Description",'RAID Log'!$1:$1,0)),"")))</f>
        <v/>
      </c>
      <c r="D15" s="85" t="str">
        <f>IF($B15="","",IF(IFERROR(INDEX('RAID Log'!$1:$1048576,$B15,MATCH("Impact/Effect of the RAID",'RAID Log'!$1:$1,0)),"")="","",IFERROR(INDEX('RAID Log'!$1:$1048576,$B15,MATCH("Impact/Effect of the RAID",'RAID Log'!$1:$1,0)),"")))</f>
        <v/>
      </c>
      <c r="E15" s="85" t="str">
        <f>IF($B15="","",IF(IFERROR(INDEX('RAID Log'!$1:$1048576,$B15,MATCH("Impact Area",'RAID Log'!$1:$1,0)),"")="","",IFERROR(INDEX('RAID Log'!$1:$1048576,$B15,MATCH("Impact Area",'RAID Log'!$1:$1,0)),"")))</f>
        <v/>
      </c>
      <c r="F15" s="85" t="str">
        <f>IF($B15="","",IF(IFERROR(INDEX('RAID Log'!$1:$1048576,$B15,MATCH("Impact Area",'RAID Log'!$1:$1,0)),"")="","",IFERROR(INDEX('RAID Log'!$1:$1048576,$B15,MATCH("Impact Area",'RAID Log'!$1:$1,0)),"")))</f>
        <v/>
      </c>
      <c r="G15" s="85" t="str">
        <f>IF($B15="","",IF(IFERROR(INDEX('RAID Log'!$1:$1048576,$B15,MATCH("Impact Rating",'RAID Log'!$1:$1,0)),"")="","",IFERROR(INDEX('RAID Log'!$1:$1048576,$B15,MATCH("Impact Rating",'RAID Log'!$1:$1,0)),"")))</f>
        <v/>
      </c>
      <c r="H15" s="85" t="str">
        <f>IF($B15="","",IF(IFERROR(INDEX('RAID Log'!$1:$1048576,$B15,MATCH("Initial Probability",'RAID Log'!$1:$1,0)),"")="","",IFERROR(INDEX('RAID Log'!$1:$1048576,$B15,MATCH("Initial Probability",'RAID Log'!$1:$1,0)),"")))</f>
        <v/>
      </c>
      <c r="I15" s="86" t="str">
        <f t="shared" si="0"/>
        <v/>
      </c>
      <c r="J15" s="85" t="str">
        <f t="shared" si="1"/>
        <v/>
      </c>
      <c r="K15" s="86" t="str">
        <f t="shared" si="2"/>
        <v/>
      </c>
      <c r="L15" s="85" t="str">
        <f>IF($B15="","",IF(IFERROR(INDEX('RAID Log'!$1:$1048576,$B15,MATCH("Status",'RAID Log'!$1:$1,0)),"")="","",IFERROR(INDEX('RAID Log'!$1:$1048576,$B15,MATCH("Status",'RAID Log'!$1:$1,0)),"")))</f>
        <v/>
      </c>
      <c r="M15" s="85" t="str">
        <f>IF($B15="","",IF(IFERROR(INDEX('RAID Log'!$1:$1048576,$B15,MATCH("RAID Owner",'RAID Log'!$1:$1,0)),"")="","",IFERROR(INDEX('RAID Log'!$1:$1048576,$B15,MATCH("RAID Owner",'RAID Log'!$1:$1,0)),"")))</f>
        <v/>
      </c>
      <c r="N15" s="87" t="str">
        <f>IF($B15="","",IF(IFERROR(INDEX('RAID Log'!$1:$1048576,$B15,MATCH("Date Raised",'RAID Log'!$1:$1,0)),"")="","",IFERROR(INDEX('RAID Log'!$1:$1048576,$B15,MATCH("Date Raised",'RAID Log'!$1:$1,0)),"")))</f>
        <v/>
      </c>
      <c r="O15" s="87" t="str">
        <f>IF($B15="","",IF(IFERROR(INDEX('RAID Log'!$1:$1048576,$B15,MATCH("Closed Date",'RAID Log'!$1:$1,0)),"")="","",IFERROR(INDEX('RAID Log'!$1:$1048576,$B15,MATCH("Closed Date",'RAID Log'!$1:$1,0)),"")))</f>
        <v/>
      </c>
      <c r="P15" s="85" t="str">
        <f>IF($B15="","",IF(IFERROR(INDEX('RAID Log'!$1:$1048576,$B15,MATCH("Mitigation Strategy",'RAID Log'!$1:$1,0)),"")="","",IFERROR(INDEX('RAID Log'!$1:$1048576,$B15,MATCH("Mitigation Strategy",'RAID Log'!$1:$1,0)),"")))</f>
        <v/>
      </c>
      <c r="Q15" s="88" t="str">
        <f>IF($B15="","",IF(IFERROR(INDEX('RAID Log'!$1:$1048576,$B15,MATCH("RAID Response/Plan",'RAID Log'!$1:$1,0)),"")="","",IFERROR(INDEX('RAID Log'!$1:$1048576,$B15,MATCH("RAID Response/Plan",'RAID Log'!$1:$1,0)),"")))</f>
        <v/>
      </c>
      <c r="U15" s="19"/>
      <c r="V15" s="19"/>
      <c r="W15" s="19"/>
      <c r="X15" s="19"/>
      <c r="Y15" s="19"/>
      <c r="Z15" s="19"/>
      <c r="AA15" s="19"/>
      <c r="AB15" s="19"/>
      <c r="AC15" s="19"/>
      <c r="AG15" s="19"/>
      <c r="AH15" s="19"/>
      <c r="AI15" s="19"/>
      <c r="AJ15" s="19"/>
      <c r="AL15" s="19"/>
      <c r="AM15" s="19"/>
      <c r="AN15" s="19"/>
    </row>
    <row r="16" spans="1:40" ht="15" customHeight="1">
      <c r="A16" s="82" t="str">
        <f>IF($B16="","",IF(IFERROR(INDEX('RAID Log'!$1:$1048576,$B16,MATCH("RAID ID",'RAID Log'!$1:$1,0)),"")="","",IFERROR(INDEX('RAID Log'!$1:$1048576,$B16,MATCH("RAID ID",'RAID Log'!$1:$1,0)),"")))</f>
        <v/>
      </c>
      <c r="B16" s="83" t="str">
        <f>IFERROR(MATCH(ROW()-1,'RAID Log'!$S:$S,0),"")</f>
        <v/>
      </c>
      <c r="C16" s="85" t="str">
        <f>IF($B16="","",IF(IFERROR(INDEX('RAID Log'!$1:$1048576,$B16,MATCH("Description",'RAID Log'!$1:$1,0)),"")="","",IFERROR(INDEX('RAID Log'!$1:$1048576,$B16,MATCH("Description",'RAID Log'!$1:$1,0)),"")))</f>
        <v/>
      </c>
      <c r="D16" s="85" t="str">
        <f>IF($B16="","",IF(IFERROR(INDEX('RAID Log'!$1:$1048576,$B16,MATCH("Impact/Effect of the RAID",'RAID Log'!$1:$1,0)),"")="","",IFERROR(INDEX('RAID Log'!$1:$1048576,$B16,MATCH("Impact/Effect of the RAID",'RAID Log'!$1:$1,0)),"")))</f>
        <v/>
      </c>
      <c r="E16" s="85" t="str">
        <f>IF($B16="","",IF(IFERROR(INDEX('RAID Log'!$1:$1048576,$B16,MATCH("Impact Area",'RAID Log'!$1:$1,0)),"")="","",IFERROR(INDEX('RAID Log'!$1:$1048576,$B16,MATCH("Impact Area",'RAID Log'!$1:$1,0)),"")))</f>
        <v/>
      </c>
      <c r="F16" s="85" t="str">
        <f>IF($B16="","",IF(IFERROR(INDEX('RAID Log'!$1:$1048576,$B16,MATCH("Impact Area",'RAID Log'!$1:$1,0)),"")="","",IFERROR(INDEX('RAID Log'!$1:$1048576,$B16,MATCH("Impact Area",'RAID Log'!$1:$1,0)),"")))</f>
        <v/>
      </c>
      <c r="G16" s="85" t="str">
        <f>IF($B16="","",IF(IFERROR(INDEX('RAID Log'!$1:$1048576,$B16,MATCH("Impact Rating",'RAID Log'!$1:$1,0)),"")="","",IFERROR(INDEX('RAID Log'!$1:$1048576,$B16,MATCH("Impact Rating",'RAID Log'!$1:$1,0)),"")))</f>
        <v/>
      </c>
      <c r="H16" s="85" t="str">
        <f>IF($B16="","",IF(IFERROR(INDEX('RAID Log'!$1:$1048576,$B16,MATCH("Initial Probability",'RAID Log'!$1:$1,0)),"")="","",IFERROR(INDEX('RAID Log'!$1:$1048576,$B16,MATCH("Initial Probability",'RAID Log'!$1:$1,0)),"")))</f>
        <v/>
      </c>
      <c r="I16" s="86" t="str">
        <f t="shared" si="0"/>
        <v/>
      </c>
      <c r="J16" s="85" t="str">
        <f t="shared" si="1"/>
        <v/>
      </c>
      <c r="K16" s="86" t="str">
        <f t="shared" si="2"/>
        <v/>
      </c>
      <c r="L16" s="85" t="str">
        <f>IF($B16="","",IF(IFERROR(INDEX('RAID Log'!$1:$1048576,$B16,MATCH("Status",'RAID Log'!$1:$1,0)),"")="","",IFERROR(INDEX('RAID Log'!$1:$1048576,$B16,MATCH("Status",'RAID Log'!$1:$1,0)),"")))</f>
        <v/>
      </c>
      <c r="M16" s="85" t="str">
        <f>IF($B16="","",IF(IFERROR(INDEX('RAID Log'!$1:$1048576,$B16,MATCH("RAID Owner",'RAID Log'!$1:$1,0)),"")="","",IFERROR(INDEX('RAID Log'!$1:$1048576,$B16,MATCH("RAID Owner",'RAID Log'!$1:$1,0)),"")))</f>
        <v/>
      </c>
      <c r="N16" s="87" t="str">
        <f>IF($B16="","",IF(IFERROR(INDEX('RAID Log'!$1:$1048576,$B16,MATCH("Date Raised",'RAID Log'!$1:$1,0)),"")="","",IFERROR(INDEX('RAID Log'!$1:$1048576,$B16,MATCH("Date Raised",'RAID Log'!$1:$1,0)),"")))</f>
        <v/>
      </c>
      <c r="O16" s="87" t="str">
        <f>IF($B16="","",IF(IFERROR(INDEX('RAID Log'!$1:$1048576,$B16,MATCH("Closed Date",'RAID Log'!$1:$1,0)),"")="","",IFERROR(INDEX('RAID Log'!$1:$1048576,$B16,MATCH("Closed Date",'RAID Log'!$1:$1,0)),"")))</f>
        <v/>
      </c>
      <c r="P16" s="85" t="str">
        <f>IF($B16="","",IF(IFERROR(INDEX('RAID Log'!$1:$1048576,$B16,MATCH("Mitigation Strategy",'RAID Log'!$1:$1,0)),"")="","",IFERROR(INDEX('RAID Log'!$1:$1048576,$B16,MATCH("Mitigation Strategy",'RAID Log'!$1:$1,0)),"")))</f>
        <v/>
      </c>
      <c r="Q16" s="88" t="str">
        <f>IF($B16="","",IF(IFERROR(INDEX('RAID Log'!$1:$1048576,$B16,MATCH("RAID Response/Plan",'RAID Log'!$1:$1,0)),"")="","",IFERROR(INDEX('RAID Log'!$1:$1048576,$B16,MATCH("RAID Response/Plan",'RAID Log'!$1:$1,0)),"")))</f>
        <v/>
      </c>
      <c r="U16" s="19"/>
      <c r="V16" s="19"/>
      <c r="W16" s="19"/>
      <c r="X16" s="19"/>
      <c r="Y16" s="19"/>
      <c r="Z16" s="19"/>
      <c r="AA16" s="19"/>
      <c r="AB16" s="19"/>
      <c r="AC16" s="19"/>
      <c r="AJ16" s="19"/>
      <c r="AL16" s="19"/>
      <c r="AM16" s="19"/>
      <c r="AN16" s="19"/>
    </row>
    <row r="17" spans="1:40" ht="15" customHeight="1">
      <c r="A17" s="82" t="str">
        <f>IF($B17="","",IF(IFERROR(INDEX('RAID Log'!$1:$1048576,$B17,MATCH("RAID ID",'RAID Log'!$1:$1,0)),"")="","",IFERROR(INDEX('RAID Log'!$1:$1048576,$B17,MATCH("RAID ID",'RAID Log'!$1:$1,0)),"")))</f>
        <v/>
      </c>
      <c r="B17" s="83" t="str">
        <f>IFERROR(MATCH(ROW()-1,'RAID Log'!$S:$S,0),"")</f>
        <v/>
      </c>
      <c r="C17" s="85" t="str">
        <f>IF($B17="","",IF(IFERROR(INDEX('RAID Log'!$1:$1048576,$B17,MATCH("Description",'RAID Log'!$1:$1,0)),"")="","",IFERROR(INDEX('RAID Log'!$1:$1048576,$B17,MATCH("Description",'RAID Log'!$1:$1,0)),"")))</f>
        <v/>
      </c>
      <c r="D17" s="85" t="str">
        <f>IF($B17="","",IF(IFERROR(INDEX('RAID Log'!$1:$1048576,$B17,MATCH("Impact/Effect of the RAID",'RAID Log'!$1:$1,0)),"")="","",IFERROR(INDEX('RAID Log'!$1:$1048576,$B17,MATCH("Impact/Effect of the RAID",'RAID Log'!$1:$1,0)),"")))</f>
        <v/>
      </c>
      <c r="E17" s="85" t="str">
        <f>IF($B17="","",IF(IFERROR(INDEX('RAID Log'!$1:$1048576,$B17,MATCH("Impact Area",'RAID Log'!$1:$1,0)),"")="","",IFERROR(INDEX('RAID Log'!$1:$1048576,$B17,MATCH("Impact Area",'RAID Log'!$1:$1,0)),"")))</f>
        <v/>
      </c>
      <c r="F17" s="85" t="str">
        <f>IF($B17="","",IF(IFERROR(INDEX('RAID Log'!$1:$1048576,$B17,MATCH("Impact Area",'RAID Log'!$1:$1,0)),"")="","",IFERROR(INDEX('RAID Log'!$1:$1048576,$B17,MATCH("Impact Area",'RAID Log'!$1:$1,0)),"")))</f>
        <v/>
      </c>
      <c r="G17" s="85" t="str">
        <f>IF($B17="","",IF(IFERROR(INDEX('RAID Log'!$1:$1048576,$B17,MATCH("Impact Rating",'RAID Log'!$1:$1,0)),"")="","",IFERROR(INDEX('RAID Log'!$1:$1048576,$B17,MATCH("Impact Rating",'RAID Log'!$1:$1,0)),"")))</f>
        <v/>
      </c>
      <c r="H17" s="85" t="str">
        <f>IF($B17="","",IF(IFERROR(INDEX('RAID Log'!$1:$1048576,$B17,MATCH("Initial Probability",'RAID Log'!$1:$1,0)),"")="","",IFERROR(INDEX('RAID Log'!$1:$1048576,$B17,MATCH("Initial Probability",'RAID Log'!$1:$1,0)),"")))</f>
        <v/>
      </c>
      <c r="I17" s="86" t="str">
        <f t="shared" si="0"/>
        <v/>
      </c>
      <c r="J17" s="85" t="str">
        <f t="shared" si="1"/>
        <v/>
      </c>
      <c r="K17" s="86" t="str">
        <f t="shared" si="2"/>
        <v/>
      </c>
      <c r="L17" s="85" t="str">
        <f>IF($B17="","",IF(IFERROR(INDEX('RAID Log'!$1:$1048576,$B17,MATCH("Status",'RAID Log'!$1:$1,0)),"")="","",IFERROR(INDEX('RAID Log'!$1:$1048576,$B17,MATCH("Status",'RAID Log'!$1:$1,0)),"")))</f>
        <v/>
      </c>
      <c r="M17" s="85" t="str">
        <f>IF($B17="","",IF(IFERROR(INDEX('RAID Log'!$1:$1048576,$B17,MATCH("RAID Owner",'RAID Log'!$1:$1,0)),"")="","",IFERROR(INDEX('RAID Log'!$1:$1048576,$B17,MATCH("RAID Owner",'RAID Log'!$1:$1,0)),"")))</f>
        <v/>
      </c>
      <c r="N17" s="87" t="str">
        <f>IF($B17="","",IF(IFERROR(INDEX('RAID Log'!$1:$1048576,$B17,MATCH("Date Raised",'RAID Log'!$1:$1,0)),"")="","",IFERROR(INDEX('RAID Log'!$1:$1048576,$B17,MATCH("Date Raised",'RAID Log'!$1:$1,0)),"")))</f>
        <v/>
      </c>
      <c r="O17" s="87" t="str">
        <f>IF($B17="","",IF(IFERROR(INDEX('RAID Log'!$1:$1048576,$B17,MATCH("Closed Date",'RAID Log'!$1:$1,0)),"")="","",IFERROR(INDEX('RAID Log'!$1:$1048576,$B17,MATCH("Closed Date",'RAID Log'!$1:$1,0)),"")))</f>
        <v/>
      </c>
      <c r="P17" s="85" t="str">
        <f>IF($B17="","",IF(IFERROR(INDEX('RAID Log'!$1:$1048576,$B17,MATCH("Mitigation Strategy",'RAID Log'!$1:$1,0)),"")="","",IFERROR(INDEX('RAID Log'!$1:$1048576,$B17,MATCH("Mitigation Strategy",'RAID Log'!$1:$1,0)),"")))</f>
        <v/>
      </c>
      <c r="Q17" s="88" t="str">
        <f>IF($B17="","",IF(IFERROR(INDEX('RAID Log'!$1:$1048576,$B17,MATCH("RAID Response/Plan",'RAID Log'!$1:$1,0)),"")="","",IFERROR(INDEX('RAID Log'!$1:$1048576,$B17,MATCH("RAID Response/Plan",'RAID Log'!$1:$1,0)),"")))</f>
        <v/>
      </c>
      <c r="U17" s="19"/>
      <c r="V17" s="19"/>
      <c r="W17" s="19"/>
      <c r="X17" s="19"/>
      <c r="Y17" s="19"/>
      <c r="Z17" s="19"/>
      <c r="AA17" s="19"/>
      <c r="AB17" s="19"/>
      <c r="AC17" s="19"/>
      <c r="AJ17" s="19"/>
      <c r="AL17" s="19"/>
      <c r="AM17" s="19"/>
      <c r="AN17" s="19"/>
    </row>
    <row r="18" spans="1:40" ht="15" customHeight="1">
      <c r="A18" s="82" t="str">
        <f>IF($B18="","",IF(IFERROR(INDEX('RAID Log'!$1:$1048576,$B18,MATCH("RAID ID",'RAID Log'!$1:$1,0)),"")="","",IFERROR(INDEX('RAID Log'!$1:$1048576,$B18,MATCH("RAID ID",'RAID Log'!$1:$1,0)),"")))</f>
        <v/>
      </c>
      <c r="B18" s="83" t="str">
        <f>IFERROR(MATCH(ROW()-1,'RAID Log'!$S:$S,0),"")</f>
        <v/>
      </c>
      <c r="C18" s="85" t="str">
        <f>IF($B18="","",IF(IFERROR(INDEX('RAID Log'!$1:$1048576,$B18,MATCH("Description",'RAID Log'!$1:$1,0)),"")="","",IFERROR(INDEX('RAID Log'!$1:$1048576,$B18,MATCH("Description",'RAID Log'!$1:$1,0)),"")))</f>
        <v/>
      </c>
      <c r="D18" s="85" t="str">
        <f>IF($B18="","",IF(IFERROR(INDEX('RAID Log'!$1:$1048576,$B18,MATCH("Impact/Effect of the RAID",'RAID Log'!$1:$1,0)),"")="","",IFERROR(INDEX('RAID Log'!$1:$1048576,$B18,MATCH("Impact/Effect of the RAID",'RAID Log'!$1:$1,0)),"")))</f>
        <v/>
      </c>
      <c r="E18" s="85" t="str">
        <f>IF($B18="","",IF(IFERROR(INDEX('RAID Log'!$1:$1048576,$B18,MATCH("Impact Area",'RAID Log'!$1:$1,0)),"")="","",IFERROR(INDEX('RAID Log'!$1:$1048576,$B18,MATCH("Impact Area",'RAID Log'!$1:$1,0)),"")))</f>
        <v/>
      </c>
      <c r="F18" s="85" t="str">
        <f>IF($B18="","",IF(IFERROR(INDEX('RAID Log'!$1:$1048576,$B18,MATCH("Impact Area",'RAID Log'!$1:$1,0)),"")="","",IFERROR(INDEX('RAID Log'!$1:$1048576,$B18,MATCH("Impact Area",'RAID Log'!$1:$1,0)),"")))</f>
        <v/>
      </c>
      <c r="G18" s="85" t="str">
        <f>IF($B18="","",IF(IFERROR(INDEX('RAID Log'!$1:$1048576,$B18,MATCH("Impact Rating",'RAID Log'!$1:$1,0)),"")="","",IFERROR(INDEX('RAID Log'!$1:$1048576,$B18,MATCH("Impact Rating",'RAID Log'!$1:$1,0)),"")))</f>
        <v/>
      </c>
      <c r="H18" s="85" t="str">
        <f>IF($B18="","",IF(IFERROR(INDEX('RAID Log'!$1:$1048576,$B18,MATCH("Initial Probability",'RAID Log'!$1:$1,0)),"")="","",IFERROR(INDEX('RAID Log'!$1:$1048576,$B18,MATCH("Initial Probability",'RAID Log'!$1:$1,0)),"")))</f>
        <v/>
      </c>
      <c r="I18" s="86" t="str">
        <f t="shared" si="0"/>
        <v/>
      </c>
      <c r="J18" s="85" t="str">
        <f t="shared" si="1"/>
        <v/>
      </c>
      <c r="K18" s="86" t="str">
        <f t="shared" si="2"/>
        <v/>
      </c>
      <c r="L18" s="85" t="str">
        <f>IF($B18="","",IF(IFERROR(INDEX('RAID Log'!$1:$1048576,$B18,MATCH("Status",'RAID Log'!$1:$1,0)),"")="","",IFERROR(INDEX('RAID Log'!$1:$1048576,$B18,MATCH("Status",'RAID Log'!$1:$1,0)),"")))</f>
        <v/>
      </c>
      <c r="M18" s="85" t="str">
        <f>IF($B18="","",IF(IFERROR(INDEX('RAID Log'!$1:$1048576,$B18,MATCH("RAID Owner",'RAID Log'!$1:$1,0)),"")="","",IFERROR(INDEX('RAID Log'!$1:$1048576,$B18,MATCH("RAID Owner",'RAID Log'!$1:$1,0)),"")))</f>
        <v/>
      </c>
      <c r="N18" s="87" t="str">
        <f>IF($B18="","",IF(IFERROR(INDEX('RAID Log'!$1:$1048576,$B18,MATCH("Date Raised",'RAID Log'!$1:$1,0)),"")="","",IFERROR(INDEX('RAID Log'!$1:$1048576,$B18,MATCH("Date Raised",'RAID Log'!$1:$1,0)),"")))</f>
        <v/>
      </c>
      <c r="O18" s="87" t="str">
        <f>IF($B18="","",IF(IFERROR(INDEX('RAID Log'!$1:$1048576,$B18,MATCH("Closed Date",'RAID Log'!$1:$1,0)),"")="","",IFERROR(INDEX('RAID Log'!$1:$1048576,$B18,MATCH("Closed Date",'RAID Log'!$1:$1,0)),"")))</f>
        <v/>
      </c>
      <c r="P18" s="85" t="str">
        <f>IF($B18="","",IF(IFERROR(INDEX('RAID Log'!$1:$1048576,$B18,MATCH("Mitigation Strategy",'RAID Log'!$1:$1,0)),"")="","",IFERROR(INDEX('RAID Log'!$1:$1048576,$B18,MATCH("Mitigation Strategy",'RAID Log'!$1:$1,0)),"")))</f>
        <v/>
      </c>
      <c r="Q18" s="88" t="str">
        <f>IF($B18="","",IF(IFERROR(INDEX('RAID Log'!$1:$1048576,$B18,MATCH("RAID Response/Plan",'RAID Log'!$1:$1,0)),"")="","",IFERROR(INDEX('RAID Log'!$1:$1048576,$B18,MATCH("RAID Response/Plan",'RAID Log'!$1:$1,0)),"")))</f>
        <v/>
      </c>
      <c r="U18" s="19"/>
      <c r="V18" s="19"/>
      <c r="W18" s="19"/>
      <c r="X18" s="19"/>
      <c r="Y18" s="19"/>
      <c r="Z18" s="19"/>
      <c r="AA18" s="19"/>
      <c r="AB18" s="19"/>
      <c r="AC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</row>
    <row r="19" spans="1:40" ht="15" customHeight="1">
      <c r="A19" s="82" t="str">
        <f>IF($B19="","",IF(IFERROR(INDEX('RAID Log'!$1:$1048576,$B19,MATCH("RAID ID",'RAID Log'!$1:$1,0)),"")="","",IFERROR(INDEX('RAID Log'!$1:$1048576,$B19,MATCH("RAID ID",'RAID Log'!$1:$1,0)),"")))</f>
        <v/>
      </c>
      <c r="B19" s="83" t="str">
        <f>IFERROR(MATCH(ROW()-1,'RAID Log'!$S:$S,0),"")</f>
        <v/>
      </c>
      <c r="C19" s="85" t="str">
        <f>IF($B19="","",IF(IFERROR(INDEX('RAID Log'!$1:$1048576,$B19,MATCH("Description",'RAID Log'!$1:$1,0)),"")="","",IFERROR(INDEX('RAID Log'!$1:$1048576,$B19,MATCH("Description",'RAID Log'!$1:$1,0)),"")))</f>
        <v/>
      </c>
      <c r="D19" s="85" t="str">
        <f>IF($B19="","",IF(IFERROR(INDEX('RAID Log'!$1:$1048576,$B19,MATCH("Impact/Effect of the RAID",'RAID Log'!$1:$1,0)),"")="","",IFERROR(INDEX('RAID Log'!$1:$1048576,$B19,MATCH("Impact/Effect of the RAID",'RAID Log'!$1:$1,0)),"")))</f>
        <v/>
      </c>
      <c r="E19" s="85" t="str">
        <f>IF($B19="","",IF(IFERROR(INDEX('RAID Log'!$1:$1048576,$B19,MATCH("Impact Area",'RAID Log'!$1:$1,0)),"")="","",IFERROR(INDEX('RAID Log'!$1:$1048576,$B19,MATCH("Impact Area",'RAID Log'!$1:$1,0)),"")))</f>
        <v/>
      </c>
      <c r="F19" s="85" t="str">
        <f>IF($B19="","",IF(IFERROR(INDEX('RAID Log'!$1:$1048576,$B19,MATCH("Impact Area",'RAID Log'!$1:$1,0)),"")="","",IFERROR(INDEX('RAID Log'!$1:$1048576,$B19,MATCH("Impact Area",'RAID Log'!$1:$1,0)),"")))</f>
        <v/>
      </c>
      <c r="G19" s="85" t="str">
        <f>IF($B19="","",IF(IFERROR(INDEX('RAID Log'!$1:$1048576,$B19,MATCH("Impact Rating",'RAID Log'!$1:$1,0)),"")="","",IFERROR(INDEX('RAID Log'!$1:$1048576,$B19,MATCH("Impact Rating",'RAID Log'!$1:$1,0)),"")))</f>
        <v/>
      </c>
      <c r="H19" s="85" t="str">
        <f>IF($B19="","",IF(IFERROR(INDEX('RAID Log'!$1:$1048576,$B19,MATCH("Initial Probability",'RAID Log'!$1:$1,0)),"")="","",IFERROR(INDEX('RAID Log'!$1:$1048576,$B19,MATCH("Initial Probability",'RAID Log'!$1:$1,0)),"")))</f>
        <v/>
      </c>
      <c r="I19" s="86" t="str">
        <f t="shared" si="0"/>
        <v/>
      </c>
      <c r="J19" s="85" t="str">
        <f t="shared" si="1"/>
        <v/>
      </c>
      <c r="K19" s="86" t="str">
        <f t="shared" si="2"/>
        <v/>
      </c>
      <c r="L19" s="85" t="str">
        <f>IF($B19="","",IF(IFERROR(INDEX('RAID Log'!$1:$1048576,$B19,MATCH("Status",'RAID Log'!$1:$1,0)),"")="","",IFERROR(INDEX('RAID Log'!$1:$1048576,$B19,MATCH("Status",'RAID Log'!$1:$1,0)),"")))</f>
        <v/>
      </c>
      <c r="M19" s="85" t="str">
        <f>IF($B19="","",IF(IFERROR(INDEX('RAID Log'!$1:$1048576,$B19,MATCH("RAID Owner",'RAID Log'!$1:$1,0)),"")="","",IFERROR(INDEX('RAID Log'!$1:$1048576,$B19,MATCH("RAID Owner",'RAID Log'!$1:$1,0)),"")))</f>
        <v/>
      </c>
      <c r="N19" s="87" t="str">
        <f>IF($B19="","",IF(IFERROR(INDEX('RAID Log'!$1:$1048576,$B19,MATCH("Date Raised",'RAID Log'!$1:$1,0)),"")="","",IFERROR(INDEX('RAID Log'!$1:$1048576,$B19,MATCH("Date Raised",'RAID Log'!$1:$1,0)),"")))</f>
        <v/>
      </c>
      <c r="O19" s="87" t="str">
        <f>IF($B19="","",IF(IFERROR(INDEX('RAID Log'!$1:$1048576,$B19,MATCH("Closed Date",'RAID Log'!$1:$1,0)),"")="","",IFERROR(INDEX('RAID Log'!$1:$1048576,$B19,MATCH("Closed Date",'RAID Log'!$1:$1,0)),"")))</f>
        <v/>
      </c>
      <c r="P19" s="85" t="str">
        <f>IF($B19="","",IF(IFERROR(INDEX('RAID Log'!$1:$1048576,$B19,MATCH("Mitigation Strategy",'RAID Log'!$1:$1,0)),"")="","",IFERROR(INDEX('RAID Log'!$1:$1048576,$B19,MATCH("Mitigation Strategy",'RAID Log'!$1:$1,0)),"")))</f>
        <v/>
      </c>
      <c r="Q19" s="88" t="str">
        <f>IF($B19="","",IF(IFERROR(INDEX('RAID Log'!$1:$1048576,$B19,MATCH("RAID Response/Plan",'RAID Log'!$1:$1,0)),"")="","",IFERROR(INDEX('RAID Log'!$1:$1048576,$B19,MATCH("RAID Response/Plan",'RAID Log'!$1:$1,0)),"")))</f>
        <v/>
      </c>
      <c r="U19" s="19"/>
      <c r="V19" s="19"/>
      <c r="W19" s="19"/>
      <c r="X19" s="19"/>
      <c r="Y19" s="19"/>
      <c r="Z19" s="19"/>
      <c r="AA19" s="19"/>
      <c r="AB19" s="19"/>
      <c r="AC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 ht="15" customHeight="1">
      <c r="A20" s="82" t="str">
        <f>IF($B20="","",IF(IFERROR(INDEX('RAID Log'!$1:$1048576,$B20,MATCH("RAID ID",'RAID Log'!$1:$1,0)),"")="","",IFERROR(INDEX('RAID Log'!$1:$1048576,$B20,MATCH("RAID ID",'RAID Log'!$1:$1,0)),"")))</f>
        <v/>
      </c>
      <c r="B20" s="83" t="str">
        <f>IFERROR(MATCH(ROW()-1,'RAID Log'!$S:$S,0),"")</f>
        <v/>
      </c>
      <c r="C20" s="85" t="str">
        <f>IF($B20="","",IF(IFERROR(INDEX('RAID Log'!$1:$1048576,$B20,MATCH("Description",'RAID Log'!$1:$1,0)),"")="","",IFERROR(INDEX('RAID Log'!$1:$1048576,$B20,MATCH("Description",'RAID Log'!$1:$1,0)),"")))</f>
        <v/>
      </c>
      <c r="D20" s="85" t="str">
        <f>IF($B20="","",IF(IFERROR(INDEX('RAID Log'!$1:$1048576,$B20,MATCH("Impact/Effect of the RAID",'RAID Log'!$1:$1,0)),"")="","",IFERROR(INDEX('RAID Log'!$1:$1048576,$B20,MATCH("Impact/Effect of the RAID",'RAID Log'!$1:$1,0)),"")))</f>
        <v/>
      </c>
      <c r="E20" s="85" t="str">
        <f>IF($B20="","",IF(IFERROR(INDEX('RAID Log'!$1:$1048576,$B20,MATCH("Impact Area",'RAID Log'!$1:$1,0)),"")="","",IFERROR(INDEX('RAID Log'!$1:$1048576,$B20,MATCH("Impact Area",'RAID Log'!$1:$1,0)),"")))</f>
        <v/>
      </c>
      <c r="F20" s="85" t="str">
        <f>IF($B20="","",IF(IFERROR(INDEX('RAID Log'!$1:$1048576,$B20,MATCH("Impact Area",'RAID Log'!$1:$1,0)),"")="","",IFERROR(INDEX('RAID Log'!$1:$1048576,$B20,MATCH("Impact Area",'RAID Log'!$1:$1,0)),"")))</f>
        <v/>
      </c>
      <c r="G20" s="85" t="str">
        <f>IF($B20="","",IF(IFERROR(INDEX('RAID Log'!$1:$1048576,$B20,MATCH("Impact Rating",'RAID Log'!$1:$1,0)),"")="","",IFERROR(INDEX('RAID Log'!$1:$1048576,$B20,MATCH("Impact Rating",'RAID Log'!$1:$1,0)),"")))</f>
        <v/>
      </c>
      <c r="H20" s="85" t="str">
        <f>IF($B20="","",IF(IFERROR(INDEX('RAID Log'!$1:$1048576,$B20,MATCH("Initial Probability",'RAID Log'!$1:$1,0)),"")="","",IFERROR(INDEX('RAID Log'!$1:$1048576,$B20,MATCH("Initial Probability",'RAID Log'!$1:$1,0)),"")))</f>
        <v/>
      </c>
      <c r="I20" s="86" t="str">
        <f t="shared" si="0"/>
        <v/>
      </c>
      <c r="J20" s="85" t="str">
        <f t="shared" si="1"/>
        <v/>
      </c>
      <c r="K20" s="86" t="str">
        <f t="shared" si="2"/>
        <v/>
      </c>
      <c r="L20" s="85" t="str">
        <f>IF($B20="","",IF(IFERROR(INDEX('RAID Log'!$1:$1048576,$B20,MATCH("Status",'RAID Log'!$1:$1,0)),"")="","",IFERROR(INDEX('RAID Log'!$1:$1048576,$B20,MATCH("Status",'RAID Log'!$1:$1,0)),"")))</f>
        <v/>
      </c>
      <c r="M20" s="85" t="str">
        <f>IF($B20="","",IF(IFERROR(INDEX('RAID Log'!$1:$1048576,$B20,MATCH("RAID Owner",'RAID Log'!$1:$1,0)),"")="","",IFERROR(INDEX('RAID Log'!$1:$1048576,$B20,MATCH("RAID Owner",'RAID Log'!$1:$1,0)),"")))</f>
        <v/>
      </c>
      <c r="N20" s="87" t="str">
        <f>IF($B20="","",IF(IFERROR(INDEX('RAID Log'!$1:$1048576,$B20,MATCH("Date Raised",'RAID Log'!$1:$1,0)),"")="","",IFERROR(INDEX('RAID Log'!$1:$1048576,$B20,MATCH("Date Raised",'RAID Log'!$1:$1,0)),"")))</f>
        <v/>
      </c>
      <c r="O20" s="87" t="str">
        <f>IF($B20="","",IF(IFERROR(INDEX('RAID Log'!$1:$1048576,$B20,MATCH("Closed Date",'RAID Log'!$1:$1,0)),"")="","",IFERROR(INDEX('RAID Log'!$1:$1048576,$B20,MATCH("Closed Date",'RAID Log'!$1:$1,0)),"")))</f>
        <v/>
      </c>
      <c r="P20" s="85" t="str">
        <f>IF($B20="","",IF(IFERROR(INDEX('RAID Log'!$1:$1048576,$B20,MATCH("Mitigation Strategy",'RAID Log'!$1:$1,0)),"")="","",IFERROR(INDEX('RAID Log'!$1:$1048576,$B20,MATCH("Mitigation Strategy",'RAID Log'!$1:$1,0)),"")))</f>
        <v/>
      </c>
      <c r="Q20" s="88" t="str">
        <f>IF($B20="","",IF(IFERROR(INDEX('RAID Log'!$1:$1048576,$B20,MATCH("RAID Response/Plan",'RAID Log'!$1:$1,0)),"")="","",IFERROR(INDEX('RAID Log'!$1:$1048576,$B20,MATCH("RAID Response/Plan",'RAID Log'!$1:$1,0)),"")))</f>
        <v/>
      </c>
    </row>
    <row r="21" spans="1:40" ht="15" customHeight="1">
      <c r="A21" s="82" t="str">
        <f>IF($B21="","",IF(IFERROR(INDEX('RAID Log'!$1:$1048576,$B21,MATCH("RAID ID",'RAID Log'!$1:$1,0)),"")="","",IFERROR(INDEX('RAID Log'!$1:$1048576,$B21,MATCH("RAID ID",'RAID Log'!$1:$1,0)),"")))</f>
        <v/>
      </c>
      <c r="B21" s="83" t="str">
        <f>IFERROR(MATCH(ROW()-1,'RAID Log'!$S:$S,0),"")</f>
        <v/>
      </c>
      <c r="C21" s="85" t="str">
        <f>IF($B21="","",IF(IFERROR(INDEX('RAID Log'!$1:$1048576,$B21,MATCH("Description",'RAID Log'!$1:$1,0)),"")="","",IFERROR(INDEX('RAID Log'!$1:$1048576,$B21,MATCH("Description",'RAID Log'!$1:$1,0)),"")))</f>
        <v/>
      </c>
      <c r="D21" s="85" t="str">
        <f>IF($B21="","",IF(IFERROR(INDEX('RAID Log'!$1:$1048576,$B21,MATCH("Impact/Effect of the RAID",'RAID Log'!$1:$1,0)),"")="","",IFERROR(INDEX('RAID Log'!$1:$1048576,$B21,MATCH("Impact/Effect of the RAID",'RAID Log'!$1:$1,0)),"")))</f>
        <v/>
      </c>
      <c r="E21" s="85" t="str">
        <f>IF($B21="","",IF(IFERROR(INDEX('RAID Log'!$1:$1048576,$B21,MATCH("Impact Area",'RAID Log'!$1:$1,0)),"")="","",IFERROR(INDEX('RAID Log'!$1:$1048576,$B21,MATCH("Impact Area",'RAID Log'!$1:$1,0)),"")))</f>
        <v/>
      </c>
      <c r="F21" s="85" t="str">
        <f>IF($B21="","",IF(IFERROR(INDEX('RAID Log'!$1:$1048576,$B21,MATCH("Impact Area",'RAID Log'!$1:$1,0)),"")="","",IFERROR(INDEX('RAID Log'!$1:$1048576,$B21,MATCH("Impact Area",'RAID Log'!$1:$1,0)),"")))</f>
        <v/>
      </c>
      <c r="G21" s="85" t="str">
        <f>IF($B21="","",IF(IFERROR(INDEX('RAID Log'!$1:$1048576,$B21,MATCH("Impact Rating",'RAID Log'!$1:$1,0)),"")="","",IFERROR(INDEX('RAID Log'!$1:$1048576,$B21,MATCH("Impact Rating",'RAID Log'!$1:$1,0)),"")))</f>
        <v/>
      </c>
      <c r="H21" s="85" t="str">
        <f>IF($B21="","",IF(IFERROR(INDEX('RAID Log'!$1:$1048576,$B21,MATCH("Initial Probability",'RAID Log'!$1:$1,0)),"")="","",IFERROR(INDEX('RAID Log'!$1:$1048576,$B21,MATCH("Initial Probability",'RAID Log'!$1:$1,0)),"")))</f>
        <v/>
      </c>
      <c r="I21" s="86" t="str">
        <f t="shared" si="0"/>
        <v/>
      </c>
      <c r="J21" s="85" t="str">
        <f t="shared" si="1"/>
        <v/>
      </c>
      <c r="K21" s="86" t="str">
        <f t="shared" si="2"/>
        <v/>
      </c>
      <c r="L21" s="85" t="str">
        <f>IF($B21="","",IF(IFERROR(INDEX('RAID Log'!$1:$1048576,$B21,MATCH("Status",'RAID Log'!$1:$1,0)),"")="","",IFERROR(INDEX('RAID Log'!$1:$1048576,$B21,MATCH("Status",'RAID Log'!$1:$1,0)),"")))</f>
        <v/>
      </c>
      <c r="M21" s="85" t="str">
        <f>IF($B21="","",IF(IFERROR(INDEX('RAID Log'!$1:$1048576,$B21,MATCH("RAID Owner",'RAID Log'!$1:$1,0)),"")="","",IFERROR(INDEX('RAID Log'!$1:$1048576,$B21,MATCH("RAID Owner",'RAID Log'!$1:$1,0)),"")))</f>
        <v/>
      </c>
      <c r="N21" s="87" t="str">
        <f>IF($B21="","",IF(IFERROR(INDEX('RAID Log'!$1:$1048576,$B21,MATCH("Date Raised",'RAID Log'!$1:$1,0)),"")="","",IFERROR(INDEX('RAID Log'!$1:$1048576,$B21,MATCH("Date Raised",'RAID Log'!$1:$1,0)),"")))</f>
        <v/>
      </c>
      <c r="O21" s="87" t="str">
        <f>IF($B21="","",IF(IFERROR(INDEX('RAID Log'!$1:$1048576,$B21,MATCH("Closed Date",'RAID Log'!$1:$1,0)),"")="","",IFERROR(INDEX('RAID Log'!$1:$1048576,$B21,MATCH("Closed Date",'RAID Log'!$1:$1,0)),"")))</f>
        <v/>
      </c>
      <c r="P21" s="85" t="str">
        <f>IF($B21="","",IF(IFERROR(INDEX('RAID Log'!$1:$1048576,$B21,MATCH("Mitigation Strategy",'RAID Log'!$1:$1,0)),"")="","",IFERROR(INDEX('RAID Log'!$1:$1048576,$B21,MATCH("Mitigation Strategy",'RAID Log'!$1:$1,0)),"")))</f>
        <v/>
      </c>
      <c r="Q21" s="88" t="str">
        <f>IF($B21="","",IF(IFERROR(INDEX('RAID Log'!$1:$1048576,$B21,MATCH("RAID Response/Plan",'RAID Log'!$1:$1,0)),"")="","",IFERROR(INDEX('RAID Log'!$1:$1048576,$B21,MATCH("RAID Response/Plan",'RAID Log'!$1:$1,0)),"")))</f>
        <v/>
      </c>
    </row>
    <row r="22" spans="1:40" ht="15" customHeight="1">
      <c r="A22" s="82" t="str">
        <f>IF($B22="","",IF(IFERROR(INDEX('RAID Log'!$1:$1048576,$B22,MATCH("RAID ID",'RAID Log'!$1:$1,0)),"")="","",IFERROR(INDEX('RAID Log'!$1:$1048576,$B22,MATCH("RAID ID",'RAID Log'!$1:$1,0)),"")))</f>
        <v/>
      </c>
      <c r="B22" s="83" t="str">
        <f>IFERROR(MATCH(ROW()-1,'RAID Log'!$S:$S,0),"")</f>
        <v/>
      </c>
      <c r="C22" s="85" t="str">
        <f>IF($B22="","",IF(IFERROR(INDEX('RAID Log'!$1:$1048576,$B22,MATCH("Description",'RAID Log'!$1:$1,0)),"")="","",IFERROR(INDEX('RAID Log'!$1:$1048576,$B22,MATCH("Description",'RAID Log'!$1:$1,0)),"")))</f>
        <v/>
      </c>
      <c r="D22" s="85" t="str">
        <f>IF($B22="","",IF(IFERROR(INDEX('RAID Log'!$1:$1048576,$B22,MATCH("Impact/Effect of the RAID",'RAID Log'!$1:$1,0)),"")="","",IFERROR(INDEX('RAID Log'!$1:$1048576,$B22,MATCH("Impact/Effect of the RAID",'RAID Log'!$1:$1,0)),"")))</f>
        <v/>
      </c>
      <c r="E22" s="85" t="str">
        <f>IF($B22="","",IF(IFERROR(INDEX('RAID Log'!$1:$1048576,$B22,MATCH("Impact Area",'RAID Log'!$1:$1,0)),"")="","",IFERROR(INDEX('RAID Log'!$1:$1048576,$B22,MATCH("Impact Area",'RAID Log'!$1:$1,0)),"")))</f>
        <v/>
      </c>
      <c r="F22" s="85" t="str">
        <f>IF($B22="","",IF(IFERROR(INDEX('RAID Log'!$1:$1048576,$B22,MATCH("Impact Area",'RAID Log'!$1:$1,0)),"")="","",IFERROR(INDEX('RAID Log'!$1:$1048576,$B22,MATCH("Impact Area",'RAID Log'!$1:$1,0)),"")))</f>
        <v/>
      </c>
      <c r="G22" s="85" t="str">
        <f>IF($B22="","",IF(IFERROR(INDEX('RAID Log'!$1:$1048576,$B22,MATCH("Impact Rating",'RAID Log'!$1:$1,0)),"")="","",IFERROR(INDEX('RAID Log'!$1:$1048576,$B22,MATCH("Impact Rating",'RAID Log'!$1:$1,0)),"")))</f>
        <v/>
      </c>
      <c r="H22" s="85" t="str">
        <f>IF($B22="","",IF(IFERROR(INDEX('RAID Log'!$1:$1048576,$B22,MATCH("Initial Probability",'RAID Log'!$1:$1,0)),"")="","",IFERROR(INDEX('RAID Log'!$1:$1048576,$B22,MATCH("Initial Probability",'RAID Log'!$1:$1,0)),"")))</f>
        <v/>
      </c>
      <c r="I22" s="86" t="str">
        <f t="shared" si="0"/>
        <v/>
      </c>
      <c r="J22" s="85" t="str">
        <f t="shared" si="1"/>
        <v/>
      </c>
      <c r="K22" s="86" t="str">
        <f t="shared" si="2"/>
        <v/>
      </c>
      <c r="L22" s="85" t="str">
        <f>IF($B22="","",IF(IFERROR(INDEX('RAID Log'!$1:$1048576,$B22,MATCH("Status",'RAID Log'!$1:$1,0)),"")="","",IFERROR(INDEX('RAID Log'!$1:$1048576,$B22,MATCH("Status",'RAID Log'!$1:$1,0)),"")))</f>
        <v/>
      </c>
      <c r="M22" s="85" t="str">
        <f>IF($B22="","",IF(IFERROR(INDEX('RAID Log'!$1:$1048576,$B22,MATCH("RAID Owner",'RAID Log'!$1:$1,0)),"")="","",IFERROR(INDEX('RAID Log'!$1:$1048576,$B22,MATCH("RAID Owner",'RAID Log'!$1:$1,0)),"")))</f>
        <v/>
      </c>
      <c r="N22" s="87" t="str">
        <f>IF($B22="","",IF(IFERROR(INDEX('RAID Log'!$1:$1048576,$B22,MATCH("Date Raised",'RAID Log'!$1:$1,0)),"")="","",IFERROR(INDEX('RAID Log'!$1:$1048576,$B22,MATCH("Date Raised",'RAID Log'!$1:$1,0)),"")))</f>
        <v/>
      </c>
      <c r="O22" s="87" t="str">
        <f>IF($B22="","",IF(IFERROR(INDEX('RAID Log'!$1:$1048576,$B22,MATCH("Closed Date",'RAID Log'!$1:$1,0)),"")="","",IFERROR(INDEX('RAID Log'!$1:$1048576,$B22,MATCH("Closed Date",'RAID Log'!$1:$1,0)),"")))</f>
        <v/>
      </c>
      <c r="P22" s="85" t="str">
        <f>IF($B22="","",IF(IFERROR(INDEX('RAID Log'!$1:$1048576,$B22,MATCH("Mitigation Strategy",'RAID Log'!$1:$1,0)),"")="","",IFERROR(INDEX('RAID Log'!$1:$1048576,$B22,MATCH("Mitigation Strategy",'RAID Log'!$1:$1,0)),"")))</f>
        <v/>
      </c>
      <c r="Q22" s="88" t="str">
        <f>IF($B22="","",IF(IFERROR(INDEX('RAID Log'!$1:$1048576,$B22,MATCH("RAID Response/Plan",'RAID Log'!$1:$1,0)),"")="","",IFERROR(INDEX('RAID Log'!$1:$1048576,$B22,MATCH("RAID Response/Plan",'RAID Log'!$1:$1,0)),"")))</f>
        <v/>
      </c>
    </row>
    <row r="23" spans="1:40" ht="15" customHeight="1">
      <c r="A23" s="82" t="str">
        <f>IF($B23="","",IF(IFERROR(INDEX('RAID Log'!$1:$1048576,$B23,MATCH("RAID ID",'RAID Log'!$1:$1,0)),"")="","",IFERROR(INDEX('RAID Log'!$1:$1048576,$B23,MATCH("RAID ID",'RAID Log'!$1:$1,0)),"")))</f>
        <v/>
      </c>
      <c r="B23" s="83" t="str">
        <f>IFERROR(MATCH(ROW()-1,'RAID Log'!$S:$S,0),"")</f>
        <v/>
      </c>
      <c r="C23" s="85" t="str">
        <f>IF($B23="","",IF(IFERROR(INDEX('RAID Log'!$1:$1048576,$B23,MATCH("Description",'RAID Log'!$1:$1,0)),"")="","",IFERROR(INDEX('RAID Log'!$1:$1048576,$B23,MATCH("Description",'RAID Log'!$1:$1,0)),"")))</f>
        <v/>
      </c>
      <c r="D23" s="85" t="str">
        <f>IF($B23="","",IF(IFERROR(INDEX('RAID Log'!$1:$1048576,$B23,MATCH("Impact/Effect of the RAID",'RAID Log'!$1:$1,0)),"")="","",IFERROR(INDEX('RAID Log'!$1:$1048576,$B23,MATCH("Impact/Effect of the RAID",'RAID Log'!$1:$1,0)),"")))</f>
        <v/>
      </c>
      <c r="E23" s="85" t="str">
        <f>IF($B23="","",IF(IFERROR(INDEX('RAID Log'!$1:$1048576,$B23,MATCH("Impact Area",'RAID Log'!$1:$1,0)),"")="","",IFERROR(INDEX('RAID Log'!$1:$1048576,$B23,MATCH("Impact Area",'RAID Log'!$1:$1,0)),"")))</f>
        <v/>
      </c>
      <c r="F23" s="85" t="str">
        <f>IF($B23="","",IF(IFERROR(INDEX('RAID Log'!$1:$1048576,$B23,MATCH("Impact Area",'RAID Log'!$1:$1,0)),"")="","",IFERROR(INDEX('RAID Log'!$1:$1048576,$B23,MATCH("Impact Area",'RAID Log'!$1:$1,0)),"")))</f>
        <v/>
      </c>
      <c r="G23" s="85" t="str">
        <f>IF($B23="","",IF(IFERROR(INDEX('RAID Log'!$1:$1048576,$B23,MATCH("Impact Rating",'RAID Log'!$1:$1,0)),"")="","",IFERROR(INDEX('RAID Log'!$1:$1048576,$B23,MATCH("Impact Rating",'RAID Log'!$1:$1,0)),"")))</f>
        <v/>
      </c>
      <c r="H23" s="85" t="str">
        <f>IF($B23="","",IF(IFERROR(INDEX('RAID Log'!$1:$1048576,$B23,MATCH("Initial Probability",'RAID Log'!$1:$1,0)),"")="","",IFERROR(INDEX('RAID Log'!$1:$1048576,$B23,MATCH("Initial Probability",'RAID Log'!$1:$1,0)),"")))</f>
        <v/>
      </c>
      <c r="I23" s="86" t="str">
        <f t="shared" si="0"/>
        <v/>
      </c>
      <c r="J23" s="85" t="str">
        <f t="shared" si="1"/>
        <v/>
      </c>
      <c r="K23" s="86" t="str">
        <f t="shared" si="2"/>
        <v/>
      </c>
      <c r="L23" s="85" t="str">
        <f>IF($B23="","",IF(IFERROR(INDEX('RAID Log'!$1:$1048576,$B23,MATCH("Status",'RAID Log'!$1:$1,0)),"")="","",IFERROR(INDEX('RAID Log'!$1:$1048576,$B23,MATCH("Status",'RAID Log'!$1:$1,0)),"")))</f>
        <v/>
      </c>
      <c r="M23" s="85" t="str">
        <f>IF($B23="","",IF(IFERROR(INDEX('RAID Log'!$1:$1048576,$B23,MATCH("RAID Owner",'RAID Log'!$1:$1,0)),"")="","",IFERROR(INDEX('RAID Log'!$1:$1048576,$B23,MATCH("RAID Owner",'RAID Log'!$1:$1,0)),"")))</f>
        <v/>
      </c>
      <c r="N23" s="87" t="str">
        <f>IF($B23="","",IF(IFERROR(INDEX('RAID Log'!$1:$1048576,$B23,MATCH("Date Raised",'RAID Log'!$1:$1,0)),"")="","",IFERROR(INDEX('RAID Log'!$1:$1048576,$B23,MATCH("Date Raised",'RAID Log'!$1:$1,0)),"")))</f>
        <v/>
      </c>
      <c r="O23" s="87" t="str">
        <f>IF($B23="","",IF(IFERROR(INDEX('RAID Log'!$1:$1048576,$B23,MATCH("Closed Date",'RAID Log'!$1:$1,0)),"")="","",IFERROR(INDEX('RAID Log'!$1:$1048576,$B23,MATCH("Closed Date",'RAID Log'!$1:$1,0)),"")))</f>
        <v/>
      </c>
      <c r="P23" s="85" t="str">
        <f>IF($B23="","",IF(IFERROR(INDEX('RAID Log'!$1:$1048576,$B23,MATCH("Mitigation Strategy",'RAID Log'!$1:$1,0)),"")="","",IFERROR(INDEX('RAID Log'!$1:$1048576,$B23,MATCH("Mitigation Strategy",'RAID Log'!$1:$1,0)),"")))</f>
        <v/>
      </c>
      <c r="Q23" s="88" t="str">
        <f>IF($B23="","",IF(IFERROR(INDEX('RAID Log'!$1:$1048576,$B23,MATCH("RAID Response/Plan",'RAID Log'!$1:$1,0)),"")="","",IFERROR(INDEX('RAID Log'!$1:$1048576,$B23,MATCH("RAID Response/Plan",'RAID Log'!$1:$1,0)),"")))</f>
        <v/>
      </c>
    </row>
    <row r="24" spans="1:40" ht="15" customHeight="1">
      <c r="A24" s="82" t="str">
        <f>IF($B24="","",IF(IFERROR(INDEX('RAID Log'!$1:$1048576,$B24,MATCH("RAID ID",'RAID Log'!$1:$1,0)),"")="","",IFERROR(INDEX('RAID Log'!$1:$1048576,$B24,MATCH("RAID ID",'RAID Log'!$1:$1,0)),"")))</f>
        <v/>
      </c>
      <c r="B24" s="83" t="str">
        <f>IFERROR(MATCH(ROW()-1,'RAID Log'!$S:$S,0),"")</f>
        <v/>
      </c>
      <c r="C24" s="85" t="str">
        <f>IF($B24="","",IF(IFERROR(INDEX('RAID Log'!$1:$1048576,$B24,MATCH("Description",'RAID Log'!$1:$1,0)),"")="","",IFERROR(INDEX('RAID Log'!$1:$1048576,$B24,MATCH("Description",'RAID Log'!$1:$1,0)),"")))</f>
        <v/>
      </c>
      <c r="D24" s="85" t="str">
        <f>IF($B24="","",IF(IFERROR(INDEX('RAID Log'!$1:$1048576,$B24,MATCH("Impact/Effect of the RAID",'RAID Log'!$1:$1,0)),"")="","",IFERROR(INDEX('RAID Log'!$1:$1048576,$B24,MATCH("Impact/Effect of the RAID",'RAID Log'!$1:$1,0)),"")))</f>
        <v/>
      </c>
      <c r="E24" s="85" t="str">
        <f>IF($B24="","",IF(IFERROR(INDEX('RAID Log'!$1:$1048576,$B24,MATCH("Impact Area",'RAID Log'!$1:$1,0)),"")="","",IFERROR(INDEX('RAID Log'!$1:$1048576,$B24,MATCH("Impact Area",'RAID Log'!$1:$1,0)),"")))</f>
        <v/>
      </c>
      <c r="F24" s="85" t="str">
        <f>IF($B24="","",IF(IFERROR(INDEX('RAID Log'!$1:$1048576,$B24,MATCH("Impact Area",'RAID Log'!$1:$1,0)),"")="","",IFERROR(INDEX('RAID Log'!$1:$1048576,$B24,MATCH("Impact Area",'RAID Log'!$1:$1,0)),"")))</f>
        <v/>
      </c>
      <c r="G24" s="85" t="str">
        <f>IF($B24="","",IF(IFERROR(INDEX('RAID Log'!$1:$1048576,$B24,MATCH("Impact Rating",'RAID Log'!$1:$1,0)),"")="","",IFERROR(INDEX('RAID Log'!$1:$1048576,$B24,MATCH("Impact Rating",'RAID Log'!$1:$1,0)),"")))</f>
        <v/>
      </c>
      <c r="H24" s="85" t="str">
        <f>IF($B24="","",IF(IFERROR(INDEX('RAID Log'!$1:$1048576,$B24,MATCH("Initial Probability",'RAID Log'!$1:$1,0)),"")="","",IFERROR(INDEX('RAID Log'!$1:$1048576,$B24,MATCH("Initial Probability",'RAID Log'!$1:$1,0)),"")))</f>
        <v/>
      </c>
      <c r="I24" s="86" t="str">
        <f t="shared" si="0"/>
        <v/>
      </c>
      <c r="J24" s="85" t="str">
        <f t="shared" si="1"/>
        <v/>
      </c>
      <c r="K24" s="86" t="str">
        <f t="shared" si="2"/>
        <v/>
      </c>
      <c r="L24" s="85" t="str">
        <f>IF($B24="","",IF(IFERROR(INDEX('RAID Log'!$1:$1048576,$B24,MATCH("Status",'RAID Log'!$1:$1,0)),"")="","",IFERROR(INDEX('RAID Log'!$1:$1048576,$B24,MATCH("Status",'RAID Log'!$1:$1,0)),"")))</f>
        <v/>
      </c>
      <c r="M24" s="85" t="str">
        <f>IF($B24="","",IF(IFERROR(INDEX('RAID Log'!$1:$1048576,$B24,MATCH("RAID Owner",'RAID Log'!$1:$1,0)),"")="","",IFERROR(INDEX('RAID Log'!$1:$1048576,$B24,MATCH("RAID Owner",'RAID Log'!$1:$1,0)),"")))</f>
        <v/>
      </c>
      <c r="N24" s="87" t="str">
        <f>IF($B24="","",IF(IFERROR(INDEX('RAID Log'!$1:$1048576,$B24,MATCH("Date Raised",'RAID Log'!$1:$1,0)),"")="","",IFERROR(INDEX('RAID Log'!$1:$1048576,$B24,MATCH("Date Raised",'RAID Log'!$1:$1,0)),"")))</f>
        <v/>
      </c>
      <c r="O24" s="87" t="str">
        <f>IF($B24="","",IF(IFERROR(INDEX('RAID Log'!$1:$1048576,$B24,MATCH("Closed Date",'RAID Log'!$1:$1,0)),"")="","",IFERROR(INDEX('RAID Log'!$1:$1048576,$B24,MATCH("Closed Date",'RAID Log'!$1:$1,0)),"")))</f>
        <v/>
      </c>
      <c r="P24" s="85" t="str">
        <f>IF($B24="","",IF(IFERROR(INDEX('RAID Log'!$1:$1048576,$B24,MATCH("Mitigation Strategy",'RAID Log'!$1:$1,0)),"")="","",IFERROR(INDEX('RAID Log'!$1:$1048576,$B24,MATCH("Mitigation Strategy",'RAID Log'!$1:$1,0)),"")))</f>
        <v/>
      </c>
      <c r="Q24" s="88" t="str">
        <f>IF($B24="","",IF(IFERROR(INDEX('RAID Log'!$1:$1048576,$B24,MATCH("RAID Response/Plan",'RAID Log'!$1:$1,0)),"")="","",IFERROR(INDEX('RAID Log'!$1:$1048576,$B24,MATCH("RAID Response/Plan",'RAID Log'!$1:$1,0)),"")))</f>
        <v/>
      </c>
    </row>
    <row r="25" spans="1:40" ht="15" customHeight="1">
      <c r="A25" s="82" t="str">
        <f>IF($B25="","",IF(IFERROR(INDEX('RAID Log'!$1:$1048576,$B25,MATCH("RAID ID",'RAID Log'!$1:$1,0)),"")="","",IFERROR(INDEX('RAID Log'!$1:$1048576,$B25,MATCH("RAID ID",'RAID Log'!$1:$1,0)),"")))</f>
        <v/>
      </c>
      <c r="B25" s="83" t="str">
        <f>IFERROR(MATCH(ROW()-1,'RAID Log'!$S:$S,0),"")</f>
        <v/>
      </c>
      <c r="C25" s="85" t="str">
        <f>IF($B25="","",IF(IFERROR(INDEX('RAID Log'!$1:$1048576,$B25,MATCH("Description",'RAID Log'!$1:$1,0)),"")="","",IFERROR(INDEX('RAID Log'!$1:$1048576,$B25,MATCH("Description",'RAID Log'!$1:$1,0)),"")))</f>
        <v/>
      </c>
      <c r="D25" s="85" t="str">
        <f>IF($B25="","",IF(IFERROR(INDEX('RAID Log'!$1:$1048576,$B25,MATCH("Impact/Effect of the RAID",'RAID Log'!$1:$1,0)),"")="","",IFERROR(INDEX('RAID Log'!$1:$1048576,$B25,MATCH("Impact/Effect of the RAID",'RAID Log'!$1:$1,0)),"")))</f>
        <v/>
      </c>
      <c r="E25" s="85" t="str">
        <f>IF($B25="","",IF(IFERROR(INDEX('RAID Log'!$1:$1048576,$B25,MATCH("Impact Area",'RAID Log'!$1:$1,0)),"")="","",IFERROR(INDEX('RAID Log'!$1:$1048576,$B25,MATCH("Impact Area",'RAID Log'!$1:$1,0)),"")))</f>
        <v/>
      </c>
      <c r="F25" s="85" t="str">
        <f>IF($B25="","",IF(IFERROR(INDEX('RAID Log'!$1:$1048576,$B25,MATCH("Impact Area",'RAID Log'!$1:$1,0)),"")="","",IFERROR(INDEX('RAID Log'!$1:$1048576,$B25,MATCH("Impact Area",'RAID Log'!$1:$1,0)),"")))</f>
        <v/>
      </c>
      <c r="G25" s="85" t="str">
        <f>IF($B25="","",IF(IFERROR(INDEX('RAID Log'!$1:$1048576,$B25,MATCH("Impact Rating",'RAID Log'!$1:$1,0)),"")="","",IFERROR(INDEX('RAID Log'!$1:$1048576,$B25,MATCH("Impact Rating",'RAID Log'!$1:$1,0)),"")))</f>
        <v/>
      </c>
      <c r="H25" s="85" t="str">
        <f>IF($B25="","",IF(IFERROR(INDEX('RAID Log'!$1:$1048576,$B25,MATCH("Initial Probability",'RAID Log'!$1:$1,0)),"")="","",IFERROR(INDEX('RAID Log'!$1:$1048576,$B25,MATCH("Initial Probability",'RAID Log'!$1:$1,0)),"")))</f>
        <v/>
      </c>
      <c r="I25" s="86" t="str">
        <f t="shared" si="0"/>
        <v/>
      </c>
      <c r="J25" s="85" t="str">
        <f t="shared" si="1"/>
        <v/>
      </c>
      <c r="K25" s="86" t="str">
        <f t="shared" si="2"/>
        <v/>
      </c>
      <c r="L25" s="85" t="str">
        <f>IF($B25="","",IF(IFERROR(INDEX('RAID Log'!$1:$1048576,$B25,MATCH("Status",'RAID Log'!$1:$1,0)),"")="","",IFERROR(INDEX('RAID Log'!$1:$1048576,$B25,MATCH("Status",'RAID Log'!$1:$1,0)),"")))</f>
        <v/>
      </c>
      <c r="M25" s="85" t="str">
        <f>IF($B25="","",IF(IFERROR(INDEX('RAID Log'!$1:$1048576,$B25,MATCH("RAID Owner",'RAID Log'!$1:$1,0)),"")="","",IFERROR(INDEX('RAID Log'!$1:$1048576,$B25,MATCH("RAID Owner",'RAID Log'!$1:$1,0)),"")))</f>
        <v/>
      </c>
      <c r="N25" s="87" t="str">
        <f>IF($B25="","",IF(IFERROR(INDEX('RAID Log'!$1:$1048576,$B25,MATCH("Date Raised",'RAID Log'!$1:$1,0)),"")="","",IFERROR(INDEX('RAID Log'!$1:$1048576,$B25,MATCH("Date Raised",'RAID Log'!$1:$1,0)),"")))</f>
        <v/>
      </c>
      <c r="O25" s="87" t="str">
        <f>IF($B25="","",IF(IFERROR(INDEX('RAID Log'!$1:$1048576,$B25,MATCH("Closed Date",'RAID Log'!$1:$1,0)),"")="","",IFERROR(INDEX('RAID Log'!$1:$1048576,$B25,MATCH("Closed Date",'RAID Log'!$1:$1,0)),"")))</f>
        <v/>
      </c>
      <c r="P25" s="85" t="str">
        <f>IF($B25="","",IF(IFERROR(INDEX('RAID Log'!$1:$1048576,$B25,MATCH("Mitigation Strategy",'RAID Log'!$1:$1,0)),"")="","",IFERROR(INDEX('RAID Log'!$1:$1048576,$B25,MATCH("Mitigation Strategy",'RAID Log'!$1:$1,0)),"")))</f>
        <v/>
      </c>
      <c r="Q25" s="88" t="str">
        <f>IF($B25="","",IF(IFERROR(INDEX('RAID Log'!$1:$1048576,$B25,MATCH("RAID Response/Plan",'RAID Log'!$1:$1,0)),"")="","",IFERROR(INDEX('RAID Log'!$1:$1048576,$B25,MATCH("RAID Response/Plan",'RAID Log'!$1:$1,0)),"")))</f>
        <v/>
      </c>
    </row>
    <row r="26" spans="1:40" ht="15" customHeight="1">
      <c r="A26" s="82" t="str">
        <f>IF($B26="","",IF(IFERROR(INDEX('RAID Log'!$1:$1048576,$B26,MATCH("RAID ID",'RAID Log'!$1:$1,0)),"")="","",IFERROR(INDEX('RAID Log'!$1:$1048576,$B26,MATCH("RAID ID",'RAID Log'!$1:$1,0)),"")))</f>
        <v/>
      </c>
      <c r="B26" s="83" t="str">
        <f>IFERROR(MATCH(ROW()-1,'RAID Log'!$S:$S,0),"")</f>
        <v/>
      </c>
      <c r="C26" s="85" t="str">
        <f>IF($B26="","",IF(IFERROR(INDEX('RAID Log'!$1:$1048576,$B26,MATCH("Description",'RAID Log'!$1:$1,0)),"")="","",IFERROR(INDEX('RAID Log'!$1:$1048576,$B26,MATCH("Description",'RAID Log'!$1:$1,0)),"")))</f>
        <v/>
      </c>
      <c r="D26" s="85" t="str">
        <f>IF($B26="","",IF(IFERROR(INDEX('RAID Log'!$1:$1048576,$B26,MATCH("Impact/Effect of the RAID",'RAID Log'!$1:$1,0)),"")="","",IFERROR(INDEX('RAID Log'!$1:$1048576,$B26,MATCH("Impact/Effect of the RAID",'RAID Log'!$1:$1,0)),"")))</f>
        <v/>
      </c>
      <c r="E26" s="85" t="str">
        <f>IF($B26="","",IF(IFERROR(INDEX('RAID Log'!$1:$1048576,$B26,MATCH("Impact Area",'RAID Log'!$1:$1,0)),"")="","",IFERROR(INDEX('RAID Log'!$1:$1048576,$B26,MATCH("Impact Area",'RAID Log'!$1:$1,0)),"")))</f>
        <v/>
      </c>
      <c r="F26" s="85" t="str">
        <f>IF($B26="","",IF(IFERROR(INDEX('RAID Log'!$1:$1048576,$B26,MATCH("Impact Area",'RAID Log'!$1:$1,0)),"")="","",IFERROR(INDEX('RAID Log'!$1:$1048576,$B26,MATCH("Impact Area",'RAID Log'!$1:$1,0)),"")))</f>
        <v/>
      </c>
      <c r="G26" s="85" t="str">
        <f>IF($B26="","",IF(IFERROR(INDEX('RAID Log'!$1:$1048576,$B26,MATCH("Impact Rating",'RAID Log'!$1:$1,0)),"")="","",IFERROR(INDEX('RAID Log'!$1:$1048576,$B26,MATCH("Impact Rating",'RAID Log'!$1:$1,0)),"")))</f>
        <v/>
      </c>
      <c r="H26" s="85" t="str">
        <f>IF($B26="","",IF(IFERROR(INDEX('RAID Log'!$1:$1048576,$B26,MATCH("Initial Probability",'RAID Log'!$1:$1,0)),"")="","",IFERROR(INDEX('RAID Log'!$1:$1048576,$B26,MATCH("Initial Probability",'RAID Log'!$1:$1,0)),"")))</f>
        <v/>
      </c>
      <c r="I26" s="86" t="str">
        <f t="shared" si="0"/>
        <v/>
      </c>
      <c r="J26" s="85" t="str">
        <f t="shared" si="1"/>
        <v/>
      </c>
      <c r="K26" s="86" t="str">
        <f t="shared" si="2"/>
        <v/>
      </c>
      <c r="L26" s="85" t="str">
        <f>IF($B26="","",IF(IFERROR(INDEX('RAID Log'!$1:$1048576,$B26,MATCH("Status",'RAID Log'!$1:$1,0)),"")="","",IFERROR(INDEX('RAID Log'!$1:$1048576,$B26,MATCH("Status",'RAID Log'!$1:$1,0)),"")))</f>
        <v/>
      </c>
      <c r="M26" s="85" t="str">
        <f>IF($B26="","",IF(IFERROR(INDEX('RAID Log'!$1:$1048576,$B26,MATCH("RAID Owner",'RAID Log'!$1:$1,0)),"")="","",IFERROR(INDEX('RAID Log'!$1:$1048576,$B26,MATCH("RAID Owner",'RAID Log'!$1:$1,0)),"")))</f>
        <v/>
      </c>
      <c r="N26" s="87" t="str">
        <f>IF($B26="","",IF(IFERROR(INDEX('RAID Log'!$1:$1048576,$B26,MATCH("Date Raised",'RAID Log'!$1:$1,0)),"")="","",IFERROR(INDEX('RAID Log'!$1:$1048576,$B26,MATCH("Date Raised",'RAID Log'!$1:$1,0)),"")))</f>
        <v/>
      </c>
      <c r="O26" s="87" t="str">
        <f>IF($B26="","",IF(IFERROR(INDEX('RAID Log'!$1:$1048576,$B26,MATCH("Closed Date",'RAID Log'!$1:$1,0)),"")="","",IFERROR(INDEX('RAID Log'!$1:$1048576,$B26,MATCH("Closed Date",'RAID Log'!$1:$1,0)),"")))</f>
        <v/>
      </c>
      <c r="P26" s="85" t="str">
        <f>IF($B26="","",IF(IFERROR(INDEX('RAID Log'!$1:$1048576,$B26,MATCH("Mitigation Strategy",'RAID Log'!$1:$1,0)),"")="","",IFERROR(INDEX('RAID Log'!$1:$1048576,$B26,MATCH("Mitigation Strategy",'RAID Log'!$1:$1,0)),"")))</f>
        <v/>
      </c>
      <c r="Q26" s="88" t="str">
        <f>IF($B26="","",IF(IFERROR(INDEX('RAID Log'!$1:$1048576,$B26,MATCH("RAID Response/Plan",'RAID Log'!$1:$1,0)),"")="","",IFERROR(INDEX('RAID Log'!$1:$1048576,$B26,MATCH("RAID Response/Plan",'RAID Log'!$1:$1,0)),"")))</f>
        <v/>
      </c>
    </row>
    <row r="27" spans="1:40" ht="15" customHeight="1">
      <c r="A27" s="82" t="str">
        <f>IF($B27="","",IF(IFERROR(INDEX('RAID Log'!$1:$1048576,$B27,MATCH("RAID ID",'RAID Log'!$1:$1,0)),"")="","",IFERROR(INDEX('RAID Log'!$1:$1048576,$B27,MATCH("RAID ID",'RAID Log'!$1:$1,0)),"")))</f>
        <v/>
      </c>
      <c r="B27" s="83" t="str">
        <f>IFERROR(MATCH(ROW()-1,'RAID Log'!$S:$S,0),"")</f>
        <v/>
      </c>
      <c r="C27" s="85" t="str">
        <f>IF($B27="","",IF(IFERROR(INDEX('RAID Log'!$1:$1048576,$B27,MATCH("Description",'RAID Log'!$1:$1,0)),"")="","",IFERROR(INDEX('RAID Log'!$1:$1048576,$B27,MATCH("Description",'RAID Log'!$1:$1,0)),"")))</f>
        <v/>
      </c>
      <c r="D27" s="85" t="str">
        <f>IF($B27="","",IF(IFERROR(INDEX('RAID Log'!$1:$1048576,$B27,MATCH("Impact/Effect of the RAID",'RAID Log'!$1:$1,0)),"")="","",IFERROR(INDEX('RAID Log'!$1:$1048576,$B27,MATCH("Impact/Effect of the RAID",'RAID Log'!$1:$1,0)),"")))</f>
        <v/>
      </c>
      <c r="E27" s="85" t="str">
        <f>IF($B27="","",IF(IFERROR(INDEX('RAID Log'!$1:$1048576,$B27,MATCH("Impact Area",'RAID Log'!$1:$1,0)),"")="","",IFERROR(INDEX('RAID Log'!$1:$1048576,$B27,MATCH("Impact Area",'RAID Log'!$1:$1,0)),"")))</f>
        <v/>
      </c>
      <c r="F27" s="85" t="str">
        <f>IF($B27="","",IF(IFERROR(INDEX('RAID Log'!$1:$1048576,$B27,MATCH("Impact Area",'RAID Log'!$1:$1,0)),"")="","",IFERROR(INDEX('RAID Log'!$1:$1048576,$B27,MATCH("Impact Area",'RAID Log'!$1:$1,0)),"")))</f>
        <v/>
      </c>
      <c r="G27" s="85" t="str">
        <f>IF($B27="","",IF(IFERROR(INDEX('RAID Log'!$1:$1048576,$B27,MATCH("Impact Rating",'RAID Log'!$1:$1,0)),"")="","",IFERROR(INDEX('RAID Log'!$1:$1048576,$B27,MATCH("Impact Rating",'RAID Log'!$1:$1,0)),"")))</f>
        <v/>
      </c>
      <c r="H27" s="85" t="str">
        <f>IF($B27="","",IF(IFERROR(INDEX('RAID Log'!$1:$1048576,$B27,MATCH("Initial Probability",'RAID Log'!$1:$1,0)),"")="","",IFERROR(INDEX('RAID Log'!$1:$1048576,$B27,MATCH("Initial Probability",'RAID Log'!$1:$1,0)),"")))</f>
        <v/>
      </c>
      <c r="I27" s="86" t="str">
        <f t="shared" si="0"/>
        <v/>
      </c>
      <c r="J27" s="85" t="str">
        <f t="shared" si="1"/>
        <v/>
      </c>
      <c r="K27" s="86" t="str">
        <f t="shared" si="2"/>
        <v/>
      </c>
      <c r="L27" s="85" t="str">
        <f>IF($B27="","",IF(IFERROR(INDEX('RAID Log'!$1:$1048576,$B27,MATCH("Status",'RAID Log'!$1:$1,0)),"")="","",IFERROR(INDEX('RAID Log'!$1:$1048576,$B27,MATCH("Status",'RAID Log'!$1:$1,0)),"")))</f>
        <v/>
      </c>
      <c r="M27" s="85" t="str">
        <f>IF($B27="","",IF(IFERROR(INDEX('RAID Log'!$1:$1048576,$B27,MATCH("RAID Owner",'RAID Log'!$1:$1,0)),"")="","",IFERROR(INDEX('RAID Log'!$1:$1048576,$B27,MATCH("RAID Owner",'RAID Log'!$1:$1,0)),"")))</f>
        <v/>
      </c>
      <c r="N27" s="87" t="str">
        <f>IF($B27="","",IF(IFERROR(INDEX('RAID Log'!$1:$1048576,$B27,MATCH("Date Raised",'RAID Log'!$1:$1,0)),"")="","",IFERROR(INDEX('RAID Log'!$1:$1048576,$B27,MATCH("Date Raised",'RAID Log'!$1:$1,0)),"")))</f>
        <v/>
      </c>
      <c r="O27" s="87" t="str">
        <f>IF($B27="","",IF(IFERROR(INDEX('RAID Log'!$1:$1048576,$B27,MATCH("Closed Date",'RAID Log'!$1:$1,0)),"")="","",IFERROR(INDEX('RAID Log'!$1:$1048576,$B27,MATCH("Closed Date",'RAID Log'!$1:$1,0)),"")))</f>
        <v/>
      </c>
      <c r="P27" s="85" t="str">
        <f>IF($B27="","",IF(IFERROR(INDEX('RAID Log'!$1:$1048576,$B27,MATCH("Mitigation Strategy",'RAID Log'!$1:$1,0)),"")="","",IFERROR(INDEX('RAID Log'!$1:$1048576,$B27,MATCH("Mitigation Strategy",'RAID Log'!$1:$1,0)),"")))</f>
        <v/>
      </c>
      <c r="Q27" s="88" t="str">
        <f>IF($B27="","",IF(IFERROR(INDEX('RAID Log'!$1:$1048576,$B27,MATCH("RAID Response/Plan",'RAID Log'!$1:$1,0)),"")="","",IFERROR(INDEX('RAID Log'!$1:$1048576,$B27,MATCH("RAID Response/Plan",'RAID Log'!$1:$1,0)),"")))</f>
        <v/>
      </c>
    </row>
    <row r="28" spans="1:40" ht="15" customHeight="1">
      <c r="A28" s="82" t="str">
        <f>IF($B28="","",IF(IFERROR(INDEX('RAID Log'!$1:$1048576,$B28,MATCH("RAID ID",'RAID Log'!$1:$1,0)),"")="","",IFERROR(INDEX('RAID Log'!$1:$1048576,$B28,MATCH("RAID ID",'RAID Log'!$1:$1,0)),"")))</f>
        <v/>
      </c>
      <c r="B28" s="83" t="str">
        <f>IFERROR(MATCH(ROW()-1,'RAID Log'!$S:$S,0),"")</f>
        <v/>
      </c>
      <c r="C28" s="85" t="str">
        <f>IF($B28="","",IF(IFERROR(INDEX('RAID Log'!$1:$1048576,$B28,MATCH("Description",'RAID Log'!$1:$1,0)),"")="","",IFERROR(INDEX('RAID Log'!$1:$1048576,$B28,MATCH("Description",'RAID Log'!$1:$1,0)),"")))</f>
        <v/>
      </c>
      <c r="D28" s="85" t="str">
        <f>IF($B28="","",IF(IFERROR(INDEX('RAID Log'!$1:$1048576,$B28,MATCH("Impact/Effect of the RAID",'RAID Log'!$1:$1,0)),"")="","",IFERROR(INDEX('RAID Log'!$1:$1048576,$B28,MATCH("Impact/Effect of the RAID",'RAID Log'!$1:$1,0)),"")))</f>
        <v/>
      </c>
      <c r="E28" s="85" t="str">
        <f>IF($B28="","",IF(IFERROR(INDEX('RAID Log'!$1:$1048576,$B28,MATCH("Impact Area",'RAID Log'!$1:$1,0)),"")="","",IFERROR(INDEX('RAID Log'!$1:$1048576,$B28,MATCH("Impact Area",'RAID Log'!$1:$1,0)),"")))</f>
        <v/>
      </c>
      <c r="F28" s="85" t="str">
        <f>IF($B28="","",IF(IFERROR(INDEX('RAID Log'!$1:$1048576,$B28,MATCH("Impact Area",'RAID Log'!$1:$1,0)),"")="","",IFERROR(INDEX('RAID Log'!$1:$1048576,$B28,MATCH("Impact Area",'RAID Log'!$1:$1,0)),"")))</f>
        <v/>
      </c>
      <c r="G28" s="85" t="str">
        <f>IF($B28="","",IF(IFERROR(INDEX('RAID Log'!$1:$1048576,$B28,MATCH("Impact Rating",'RAID Log'!$1:$1,0)),"")="","",IFERROR(INDEX('RAID Log'!$1:$1048576,$B28,MATCH("Impact Rating",'RAID Log'!$1:$1,0)),"")))</f>
        <v/>
      </c>
      <c r="H28" s="85" t="str">
        <f>IF($B28="","",IF(IFERROR(INDEX('RAID Log'!$1:$1048576,$B28,MATCH("Initial Probability",'RAID Log'!$1:$1,0)),"")="","",IFERROR(INDEX('RAID Log'!$1:$1048576,$B28,MATCH("Initial Probability",'RAID Log'!$1:$1,0)),"")))</f>
        <v/>
      </c>
      <c r="I28" s="86" t="str">
        <f t="shared" si="0"/>
        <v/>
      </c>
      <c r="J28" s="85" t="str">
        <f t="shared" si="1"/>
        <v/>
      </c>
      <c r="K28" s="86" t="str">
        <f t="shared" si="2"/>
        <v/>
      </c>
      <c r="L28" s="85" t="str">
        <f>IF($B28="","",IF(IFERROR(INDEX('RAID Log'!$1:$1048576,$B28,MATCH("Status",'RAID Log'!$1:$1,0)),"")="","",IFERROR(INDEX('RAID Log'!$1:$1048576,$B28,MATCH("Status",'RAID Log'!$1:$1,0)),"")))</f>
        <v/>
      </c>
      <c r="M28" s="85" t="str">
        <f>IF($B28="","",IF(IFERROR(INDEX('RAID Log'!$1:$1048576,$B28,MATCH("RAID Owner",'RAID Log'!$1:$1,0)),"")="","",IFERROR(INDEX('RAID Log'!$1:$1048576,$B28,MATCH("RAID Owner",'RAID Log'!$1:$1,0)),"")))</f>
        <v/>
      </c>
      <c r="N28" s="87" t="str">
        <f>IF($B28="","",IF(IFERROR(INDEX('RAID Log'!$1:$1048576,$B28,MATCH("Date Raised",'RAID Log'!$1:$1,0)),"")="","",IFERROR(INDEX('RAID Log'!$1:$1048576,$B28,MATCH("Date Raised",'RAID Log'!$1:$1,0)),"")))</f>
        <v/>
      </c>
      <c r="O28" s="87" t="str">
        <f>IF($B28="","",IF(IFERROR(INDEX('RAID Log'!$1:$1048576,$B28,MATCH("Closed Date",'RAID Log'!$1:$1,0)),"")="","",IFERROR(INDEX('RAID Log'!$1:$1048576,$B28,MATCH("Closed Date",'RAID Log'!$1:$1,0)),"")))</f>
        <v/>
      </c>
      <c r="P28" s="85" t="str">
        <f>IF($B28="","",IF(IFERROR(INDEX('RAID Log'!$1:$1048576,$B28,MATCH("Mitigation Strategy",'RAID Log'!$1:$1,0)),"")="","",IFERROR(INDEX('RAID Log'!$1:$1048576,$B28,MATCH("Mitigation Strategy",'RAID Log'!$1:$1,0)),"")))</f>
        <v/>
      </c>
      <c r="Q28" s="88" t="str">
        <f>IF($B28="","",IF(IFERROR(INDEX('RAID Log'!$1:$1048576,$B28,MATCH("RAID Response/Plan",'RAID Log'!$1:$1,0)),"")="","",IFERROR(INDEX('RAID Log'!$1:$1048576,$B28,MATCH("RAID Response/Plan",'RAID Log'!$1:$1,0)),"")))</f>
        <v/>
      </c>
    </row>
    <row r="29" spans="1:40" ht="15" customHeight="1">
      <c r="A29" s="82" t="str">
        <f>IF($B29="","",IF(IFERROR(INDEX('RAID Log'!$1:$1048576,$B29,MATCH("RAID ID",'RAID Log'!$1:$1,0)),"")="","",IFERROR(INDEX('RAID Log'!$1:$1048576,$B29,MATCH("RAID ID",'RAID Log'!$1:$1,0)),"")))</f>
        <v/>
      </c>
      <c r="B29" s="83" t="str">
        <f>IFERROR(MATCH(ROW()-1,'RAID Log'!$S:$S,0),"")</f>
        <v/>
      </c>
      <c r="C29" s="85" t="str">
        <f>IF($B29="","",IF(IFERROR(INDEX('RAID Log'!$1:$1048576,$B29,MATCH("Description",'RAID Log'!$1:$1,0)),"")="","",IFERROR(INDEX('RAID Log'!$1:$1048576,$B29,MATCH("Description",'RAID Log'!$1:$1,0)),"")))</f>
        <v/>
      </c>
      <c r="D29" s="85" t="str">
        <f>IF($B29="","",IF(IFERROR(INDEX('RAID Log'!$1:$1048576,$B29,MATCH("Impact/Effect of the RAID",'RAID Log'!$1:$1,0)),"")="","",IFERROR(INDEX('RAID Log'!$1:$1048576,$B29,MATCH("Impact/Effect of the RAID",'RAID Log'!$1:$1,0)),"")))</f>
        <v/>
      </c>
      <c r="E29" s="85" t="str">
        <f>IF($B29="","",IF(IFERROR(INDEX('RAID Log'!$1:$1048576,$B29,MATCH("Impact Area",'RAID Log'!$1:$1,0)),"")="","",IFERROR(INDEX('RAID Log'!$1:$1048576,$B29,MATCH("Impact Area",'RAID Log'!$1:$1,0)),"")))</f>
        <v/>
      </c>
      <c r="F29" s="85" t="str">
        <f>IF($B29="","",IF(IFERROR(INDEX('RAID Log'!$1:$1048576,$B29,MATCH("Impact Area",'RAID Log'!$1:$1,0)),"")="","",IFERROR(INDEX('RAID Log'!$1:$1048576,$B29,MATCH("Impact Area",'RAID Log'!$1:$1,0)),"")))</f>
        <v/>
      </c>
      <c r="G29" s="85" t="str">
        <f>IF($B29="","",IF(IFERROR(INDEX('RAID Log'!$1:$1048576,$B29,MATCH("Impact Rating",'RAID Log'!$1:$1,0)),"")="","",IFERROR(INDEX('RAID Log'!$1:$1048576,$B29,MATCH("Impact Rating",'RAID Log'!$1:$1,0)),"")))</f>
        <v/>
      </c>
      <c r="H29" s="85" t="str">
        <f>IF($B29="","",IF(IFERROR(INDEX('RAID Log'!$1:$1048576,$B29,MATCH("Initial Probability",'RAID Log'!$1:$1,0)),"")="","",IFERROR(INDEX('RAID Log'!$1:$1048576,$B29,MATCH("Initial Probability",'RAID Log'!$1:$1,0)),"")))</f>
        <v/>
      </c>
      <c r="I29" s="86" t="str">
        <f t="shared" si="0"/>
        <v/>
      </c>
      <c r="J29" s="85" t="str">
        <f t="shared" si="1"/>
        <v/>
      </c>
      <c r="K29" s="86" t="str">
        <f t="shared" si="2"/>
        <v/>
      </c>
      <c r="L29" s="85" t="str">
        <f>IF($B29="","",IF(IFERROR(INDEX('RAID Log'!$1:$1048576,$B29,MATCH("Status",'RAID Log'!$1:$1,0)),"")="","",IFERROR(INDEX('RAID Log'!$1:$1048576,$B29,MATCH("Status",'RAID Log'!$1:$1,0)),"")))</f>
        <v/>
      </c>
      <c r="M29" s="85" t="str">
        <f>IF($B29="","",IF(IFERROR(INDEX('RAID Log'!$1:$1048576,$B29,MATCH("RAID Owner",'RAID Log'!$1:$1,0)),"")="","",IFERROR(INDEX('RAID Log'!$1:$1048576,$B29,MATCH("RAID Owner",'RAID Log'!$1:$1,0)),"")))</f>
        <v/>
      </c>
      <c r="N29" s="87" t="str">
        <f>IF($B29="","",IF(IFERROR(INDEX('RAID Log'!$1:$1048576,$B29,MATCH("Date Raised",'RAID Log'!$1:$1,0)),"")="","",IFERROR(INDEX('RAID Log'!$1:$1048576,$B29,MATCH("Date Raised",'RAID Log'!$1:$1,0)),"")))</f>
        <v/>
      </c>
      <c r="O29" s="87" t="str">
        <f>IF($B29="","",IF(IFERROR(INDEX('RAID Log'!$1:$1048576,$B29,MATCH("Closed Date",'RAID Log'!$1:$1,0)),"")="","",IFERROR(INDEX('RAID Log'!$1:$1048576,$B29,MATCH("Closed Date",'RAID Log'!$1:$1,0)),"")))</f>
        <v/>
      </c>
      <c r="P29" s="85" t="str">
        <f>IF($B29="","",IF(IFERROR(INDEX('RAID Log'!$1:$1048576,$B29,MATCH("Mitigation Strategy",'RAID Log'!$1:$1,0)),"")="","",IFERROR(INDEX('RAID Log'!$1:$1048576,$B29,MATCH("Mitigation Strategy",'RAID Log'!$1:$1,0)),"")))</f>
        <v/>
      </c>
      <c r="Q29" s="88" t="str">
        <f>IF($B29="","",IF(IFERROR(INDEX('RAID Log'!$1:$1048576,$B29,MATCH("RAID Response/Plan",'RAID Log'!$1:$1,0)),"")="","",IFERROR(INDEX('RAID Log'!$1:$1048576,$B29,MATCH("RAID Response/Plan",'RAID Log'!$1:$1,0)),"")))</f>
        <v/>
      </c>
    </row>
    <row r="30" spans="1:40" ht="15" customHeight="1">
      <c r="A30" s="82" t="str">
        <f>IF($B30="","",IF(IFERROR(INDEX('RAID Log'!$1:$1048576,$B30,MATCH("RAID ID",'RAID Log'!$1:$1,0)),"")="","",IFERROR(INDEX('RAID Log'!$1:$1048576,$B30,MATCH("RAID ID",'RAID Log'!$1:$1,0)),"")))</f>
        <v/>
      </c>
      <c r="B30" s="83" t="str">
        <f>IFERROR(MATCH(ROW()-1,'RAID Log'!$S:$S,0),"")</f>
        <v/>
      </c>
      <c r="C30" s="85" t="str">
        <f>IF($B30="","",IF(IFERROR(INDEX('RAID Log'!$1:$1048576,$B30,MATCH("Description",'RAID Log'!$1:$1,0)),"")="","",IFERROR(INDEX('RAID Log'!$1:$1048576,$B30,MATCH("Description",'RAID Log'!$1:$1,0)),"")))</f>
        <v/>
      </c>
      <c r="D30" s="85" t="str">
        <f>IF($B30="","",IF(IFERROR(INDEX('RAID Log'!$1:$1048576,$B30,MATCH("Impact/Effect of the RAID",'RAID Log'!$1:$1,0)),"")="","",IFERROR(INDEX('RAID Log'!$1:$1048576,$B30,MATCH("Impact/Effect of the RAID",'RAID Log'!$1:$1,0)),"")))</f>
        <v/>
      </c>
      <c r="E30" s="85" t="str">
        <f>IF($B30="","",IF(IFERROR(INDEX('RAID Log'!$1:$1048576,$B30,MATCH("Impact Area",'RAID Log'!$1:$1,0)),"")="","",IFERROR(INDEX('RAID Log'!$1:$1048576,$B30,MATCH("Impact Area",'RAID Log'!$1:$1,0)),"")))</f>
        <v/>
      </c>
      <c r="F30" s="85" t="str">
        <f>IF($B30="","",IF(IFERROR(INDEX('RAID Log'!$1:$1048576,$B30,MATCH("Impact Area",'RAID Log'!$1:$1,0)),"")="","",IFERROR(INDEX('RAID Log'!$1:$1048576,$B30,MATCH("Impact Area",'RAID Log'!$1:$1,0)),"")))</f>
        <v/>
      </c>
      <c r="G30" s="85" t="str">
        <f>IF($B30="","",IF(IFERROR(INDEX('RAID Log'!$1:$1048576,$B30,MATCH("Impact Rating",'RAID Log'!$1:$1,0)),"")="","",IFERROR(INDEX('RAID Log'!$1:$1048576,$B30,MATCH("Impact Rating",'RAID Log'!$1:$1,0)),"")))</f>
        <v/>
      </c>
      <c r="H30" s="85" t="str">
        <f>IF($B30="","",IF(IFERROR(INDEX('RAID Log'!$1:$1048576,$B30,MATCH("Initial Probability",'RAID Log'!$1:$1,0)),"")="","",IFERROR(INDEX('RAID Log'!$1:$1048576,$B30,MATCH("Initial Probability",'RAID Log'!$1:$1,0)),"")))</f>
        <v/>
      </c>
      <c r="I30" s="86" t="str">
        <f t="shared" si="0"/>
        <v/>
      </c>
      <c r="J30" s="85" t="str">
        <f t="shared" si="1"/>
        <v/>
      </c>
      <c r="K30" s="86" t="str">
        <f t="shared" si="2"/>
        <v/>
      </c>
      <c r="L30" s="85" t="str">
        <f>IF($B30="","",IF(IFERROR(INDEX('RAID Log'!$1:$1048576,$B30,MATCH("Status",'RAID Log'!$1:$1,0)),"")="","",IFERROR(INDEX('RAID Log'!$1:$1048576,$B30,MATCH("Status",'RAID Log'!$1:$1,0)),"")))</f>
        <v/>
      </c>
      <c r="M30" s="85" t="str">
        <f>IF($B30="","",IF(IFERROR(INDEX('RAID Log'!$1:$1048576,$B30,MATCH("RAID Owner",'RAID Log'!$1:$1,0)),"")="","",IFERROR(INDEX('RAID Log'!$1:$1048576,$B30,MATCH("RAID Owner",'RAID Log'!$1:$1,0)),"")))</f>
        <v/>
      </c>
      <c r="N30" s="87" t="str">
        <f>IF($B30="","",IF(IFERROR(INDEX('RAID Log'!$1:$1048576,$B30,MATCH("Date Raised",'RAID Log'!$1:$1,0)),"")="","",IFERROR(INDEX('RAID Log'!$1:$1048576,$B30,MATCH("Date Raised",'RAID Log'!$1:$1,0)),"")))</f>
        <v/>
      </c>
      <c r="O30" s="87" t="str">
        <f>IF($B30="","",IF(IFERROR(INDEX('RAID Log'!$1:$1048576,$B30,MATCH("Closed Date",'RAID Log'!$1:$1,0)),"")="","",IFERROR(INDEX('RAID Log'!$1:$1048576,$B30,MATCH("Closed Date",'RAID Log'!$1:$1,0)),"")))</f>
        <v/>
      </c>
      <c r="P30" s="85" t="str">
        <f>IF($B30="","",IF(IFERROR(INDEX('RAID Log'!$1:$1048576,$B30,MATCH("Mitigation Strategy",'RAID Log'!$1:$1,0)),"")="","",IFERROR(INDEX('RAID Log'!$1:$1048576,$B30,MATCH("Mitigation Strategy",'RAID Log'!$1:$1,0)),"")))</f>
        <v/>
      </c>
      <c r="Q30" s="88" t="str">
        <f>IF($B30="","",IF(IFERROR(INDEX('RAID Log'!$1:$1048576,$B30,MATCH("RAID Response/Plan",'RAID Log'!$1:$1,0)),"")="","",IFERROR(INDEX('RAID Log'!$1:$1048576,$B30,MATCH("RAID Response/Plan",'RAID Log'!$1:$1,0)),"")))</f>
        <v/>
      </c>
    </row>
    <row r="31" spans="1:40" ht="15" customHeight="1">
      <c r="A31" s="82" t="str">
        <f>IF($B31="","",IF(IFERROR(INDEX('RAID Log'!$1:$1048576,$B31,MATCH("RAID ID",'RAID Log'!$1:$1,0)),"")="","",IFERROR(INDEX('RAID Log'!$1:$1048576,$B31,MATCH("RAID ID",'RAID Log'!$1:$1,0)),"")))</f>
        <v/>
      </c>
      <c r="B31" s="83" t="str">
        <f>IFERROR(MATCH(ROW()-1,'RAID Log'!$S:$S,0),"")</f>
        <v/>
      </c>
      <c r="C31" s="85" t="str">
        <f>IF($B31="","",IF(IFERROR(INDEX('RAID Log'!$1:$1048576,$B31,MATCH("Description",'RAID Log'!$1:$1,0)),"")="","",IFERROR(INDEX('RAID Log'!$1:$1048576,$B31,MATCH("Description",'RAID Log'!$1:$1,0)),"")))</f>
        <v/>
      </c>
      <c r="D31" s="85" t="str">
        <f>IF($B31="","",IF(IFERROR(INDEX('RAID Log'!$1:$1048576,$B31,MATCH("Impact/Effect of the RAID",'RAID Log'!$1:$1,0)),"")="","",IFERROR(INDEX('RAID Log'!$1:$1048576,$B31,MATCH("Impact/Effect of the RAID",'RAID Log'!$1:$1,0)),"")))</f>
        <v/>
      </c>
      <c r="E31" s="85" t="str">
        <f>IF($B31="","",IF(IFERROR(INDEX('RAID Log'!$1:$1048576,$B31,MATCH("Impact Area",'RAID Log'!$1:$1,0)),"")="","",IFERROR(INDEX('RAID Log'!$1:$1048576,$B31,MATCH("Impact Area",'RAID Log'!$1:$1,0)),"")))</f>
        <v/>
      </c>
      <c r="F31" s="85" t="str">
        <f>IF($B31="","",IF(IFERROR(INDEX('RAID Log'!$1:$1048576,$B31,MATCH("Impact Area",'RAID Log'!$1:$1,0)),"")="","",IFERROR(INDEX('RAID Log'!$1:$1048576,$B31,MATCH("Impact Area",'RAID Log'!$1:$1,0)),"")))</f>
        <v/>
      </c>
      <c r="G31" s="85" t="str">
        <f>IF($B31="","",IF(IFERROR(INDEX('RAID Log'!$1:$1048576,$B31,MATCH("Impact Rating",'RAID Log'!$1:$1,0)),"")="","",IFERROR(INDEX('RAID Log'!$1:$1048576,$B31,MATCH("Impact Rating",'RAID Log'!$1:$1,0)),"")))</f>
        <v/>
      </c>
      <c r="H31" s="85" t="str">
        <f>IF($B31="","",IF(IFERROR(INDEX('RAID Log'!$1:$1048576,$B31,MATCH("Initial Probability",'RAID Log'!$1:$1,0)),"")="","",IFERROR(INDEX('RAID Log'!$1:$1048576,$B31,MATCH("Initial Probability",'RAID Log'!$1:$1,0)),"")))</f>
        <v/>
      </c>
      <c r="I31" s="86" t="str">
        <f t="shared" si="0"/>
        <v/>
      </c>
      <c r="J31" s="85" t="str">
        <f t="shared" si="1"/>
        <v/>
      </c>
      <c r="K31" s="86" t="str">
        <f t="shared" si="2"/>
        <v/>
      </c>
      <c r="L31" s="85" t="str">
        <f>IF($B31="","",IF(IFERROR(INDEX('RAID Log'!$1:$1048576,$B31,MATCH("Status",'RAID Log'!$1:$1,0)),"")="","",IFERROR(INDEX('RAID Log'!$1:$1048576,$B31,MATCH("Status",'RAID Log'!$1:$1,0)),"")))</f>
        <v/>
      </c>
      <c r="M31" s="85" t="str">
        <f>IF($B31="","",IF(IFERROR(INDEX('RAID Log'!$1:$1048576,$B31,MATCH("RAID Owner",'RAID Log'!$1:$1,0)),"")="","",IFERROR(INDEX('RAID Log'!$1:$1048576,$B31,MATCH("RAID Owner",'RAID Log'!$1:$1,0)),"")))</f>
        <v/>
      </c>
      <c r="N31" s="87" t="str">
        <f>IF($B31="","",IF(IFERROR(INDEX('RAID Log'!$1:$1048576,$B31,MATCH("Date Raised",'RAID Log'!$1:$1,0)),"")="","",IFERROR(INDEX('RAID Log'!$1:$1048576,$B31,MATCH("Date Raised",'RAID Log'!$1:$1,0)),"")))</f>
        <v/>
      </c>
      <c r="O31" s="87" t="str">
        <f>IF($B31="","",IF(IFERROR(INDEX('RAID Log'!$1:$1048576,$B31,MATCH("Closed Date",'RAID Log'!$1:$1,0)),"")="","",IFERROR(INDEX('RAID Log'!$1:$1048576,$B31,MATCH("Closed Date",'RAID Log'!$1:$1,0)),"")))</f>
        <v/>
      </c>
      <c r="P31" s="85" t="str">
        <f>IF($B31="","",IF(IFERROR(INDEX('RAID Log'!$1:$1048576,$B31,MATCH("Mitigation Strategy",'RAID Log'!$1:$1,0)),"")="","",IFERROR(INDEX('RAID Log'!$1:$1048576,$B31,MATCH("Mitigation Strategy",'RAID Log'!$1:$1,0)),"")))</f>
        <v/>
      </c>
      <c r="Q31" s="88" t="str">
        <f>IF($B31="","",IF(IFERROR(INDEX('RAID Log'!$1:$1048576,$B31,MATCH("RAID Response/Plan",'RAID Log'!$1:$1,0)),"")="","",IFERROR(INDEX('RAID Log'!$1:$1048576,$B31,MATCH("RAID Response/Plan",'RAID Log'!$1:$1,0)),"")))</f>
        <v/>
      </c>
    </row>
    <row r="32" spans="1:40" ht="15" customHeight="1">
      <c r="A32" s="82" t="str">
        <f>IF($B32="","",IF(IFERROR(INDEX('RAID Log'!$1:$1048576,$B32,MATCH("RAID ID",'RAID Log'!$1:$1,0)),"")="","",IFERROR(INDEX('RAID Log'!$1:$1048576,$B32,MATCH("RAID ID",'RAID Log'!$1:$1,0)),"")))</f>
        <v/>
      </c>
      <c r="B32" s="83" t="str">
        <f>IFERROR(MATCH(ROW()-1,'RAID Log'!$S:$S,0),"")</f>
        <v/>
      </c>
      <c r="C32" s="85" t="str">
        <f>IF($B32="","",IF(IFERROR(INDEX('RAID Log'!$1:$1048576,$B32,MATCH("Description",'RAID Log'!$1:$1,0)),"")="","",IFERROR(INDEX('RAID Log'!$1:$1048576,$B32,MATCH("Description",'RAID Log'!$1:$1,0)),"")))</f>
        <v/>
      </c>
      <c r="D32" s="85" t="str">
        <f>IF($B32="","",IF(IFERROR(INDEX('RAID Log'!$1:$1048576,$B32,MATCH("Impact/Effect of the RAID",'RAID Log'!$1:$1,0)),"")="","",IFERROR(INDEX('RAID Log'!$1:$1048576,$B32,MATCH("Impact/Effect of the RAID",'RAID Log'!$1:$1,0)),"")))</f>
        <v/>
      </c>
      <c r="E32" s="85" t="str">
        <f>IF($B32="","",IF(IFERROR(INDEX('RAID Log'!$1:$1048576,$B32,MATCH("Impact Area",'RAID Log'!$1:$1,0)),"")="","",IFERROR(INDEX('RAID Log'!$1:$1048576,$B32,MATCH("Impact Area",'RAID Log'!$1:$1,0)),"")))</f>
        <v/>
      </c>
      <c r="F32" s="85" t="str">
        <f>IF($B32="","",IF(IFERROR(INDEX('RAID Log'!$1:$1048576,$B32,MATCH("Impact Area",'RAID Log'!$1:$1,0)),"")="","",IFERROR(INDEX('RAID Log'!$1:$1048576,$B32,MATCH("Impact Area",'RAID Log'!$1:$1,0)),"")))</f>
        <v/>
      </c>
      <c r="G32" s="85" t="str">
        <f>IF($B32="","",IF(IFERROR(INDEX('RAID Log'!$1:$1048576,$B32,MATCH("Impact Rating",'RAID Log'!$1:$1,0)),"")="","",IFERROR(INDEX('RAID Log'!$1:$1048576,$B32,MATCH("Impact Rating",'RAID Log'!$1:$1,0)),"")))</f>
        <v/>
      </c>
      <c r="H32" s="85" t="str">
        <f>IF($B32="","",IF(IFERROR(INDEX('RAID Log'!$1:$1048576,$B32,MATCH("Initial Probability",'RAID Log'!$1:$1,0)),"")="","",IFERROR(INDEX('RAID Log'!$1:$1048576,$B32,MATCH("Initial Probability",'RAID Log'!$1:$1,0)),"")))</f>
        <v/>
      </c>
      <c r="I32" s="86" t="str">
        <f t="shared" si="0"/>
        <v/>
      </c>
      <c r="J32" s="85" t="str">
        <f t="shared" si="1"/>
        <v/>
      </c>
      <c r="K32" s="86" t="str">
        <f t="shared" si="2"/>
        <v/>
      </c>
      <c r="L32" s="85" t="str">
        <f>IF($B32="","",IF(IFERROR(INDEX('RAID Log'!$1:$1048576,$B32,MATCH("Status",'RAID Log'!$1:$1,0)),"")="","",IFERROR(INDEX('RAID Log'!$1:$1048576,$B32,MATCH("Status",'RAID Log'!$1:$1,0)),"")))</f>
        <v/>
      </c>
      <c r="M32" s="85" t="str">
        <f>IF($B32="","",IF(IFERROR(INDEX('RAID Log'!$1:$1048576,$B32,MATCH("RAID Owner",'RAID Log'!$1:$1,0)),"")="","",IFERROR(INDEX('RAID Log'!$1:$1048576,$B32,MATCH("RAID Owner",'RAID Log'!$1:$1,0)),"")))</f>
        <v/>
      </c>
      <c r="N32" s="87" t="str">
        <f>IF($B32="","",IF(IFERROR(INDEX('RAID Log'!$1:$1048576,$B32,MATCH("Date Raised",'RAID Log'!$1:$1,0)),"")="","",IFERROR(INDEX('RAID Log'!$1:$1048576,$B32,MATCH("Date Raised",'RAID Log'!$1:$1,0)),"")))</f>
        <v/>
      </c>
      <c r="O32" s="87" t="str">
        <f>IF($B32="","",IF(IFERROR(INDEX('RAID Log'!$1:$1048576,$B32,MATCH("Closed Date",'RAID Log'!$1:$1,0)),"")="","",IFERROR(INDEX('RAID Log'!$1:$1048576,$B32,MATCH("Closed Date",'RAID Log'!$1:$1,0)),"")))</f>
        <v/>
      </c>
      <c r="P32" s="85" t="str">
        <f>IF($B32="","",IF(IFERROR(INDEX('RAID Log'!$1:$1048576,$B32,MATCH("Mitigation Strategy",'RAID Log'!$1:$1,0)),"")="","",IFERROR(INDEX('RAID Log'!$1:$1048576,$B32,MATCH("Mitigation Strategy",'RAID Log'!$1:$1,0)),"")))</f>
        <v/>
      </c>
      <c r="Q32" s="88" t="str">
        <f>IF($B32="","",IF(IFERROR(INDEX('RAID Log'!$1:$1048576,$B32,MATCH("RAID Response/Plan",'RAID Log'!$1:$1,0)),"")="","",IFERROR(INDEX('RAID Log'!$1:$1048576,$B32,MATCH("RAID Response/Plan",'RAID Log'!$1:$1,0)),"")))</f>
        <v/>
      </c>
    </row>
    <row r="33" spans="1:17" ht="15" customHeight="1">
      <c r="A33" s="82" t="str">
        <f>IF($B33="","",IF(IFERROR(INDEX('RAID Log'!$1:$1048576,$B33,MATCH("RAID ID",'RAID Log'!$1:$1,0)),"")="","",IFERROR(INDEX('RAID Log'!$1:$1048576,$B33,MATCH("RAID ID",'RAID Log'!$1:$1,0)),"")))</f>
        <v/>
      </c>
      <c r="B33" s="83" t="str">
        <f>IFERROR(MATCH(ROW()-1,'RAID Log'!$S:$S,0),"")</f>
        <v/>
      </c>
      <c r="C33" s="85" t="str">
        <f>IF($B33="","",IF(IFERROR(INDEX('RAID Log'!$1:$1048576,$B33,MATCH("Description",'RAID Log'!$1:$1,0)),"")="","",IFERROR(INDEX('RAID Log'!$1:$1048576,$B33,MATCH("Description",'RAID Log'!$1:$1,0)),"")))</f>
        <v/>
      </c>
      <c r="D33" s="85" t="str">
        <f>IF($B33="","",IF(IFERROR(INDEX('RAID Log'!$1:$1048576,$B33,MATCH("Impact/Effect of the RAID",'RAID Log'!$1:$1,0)),"")="","",IFERROR(INDEX('RAID Log'!$1:$1048576,$B33,MATCH("Impact/Effect of the RAID",'RAID Log'!$1:$1,0)),"")))</f>
        <v/>
      </c>
      <c r="E33" s="85" t="str">
        <f>IF($B33="","",IF(IFERROR(INDEX('RAID Log'!$1:$1048576,$B33,MATCH("Impact Area",'RAID Log'!$1:$1,0)),"")="","",IFERROR(INDEX('RAID Log'!$1:$1048576,$B33,MATCH("Impact Area",'RAID Log'!$1:$1,0)),"")))</f>
        <v/>
      </c>
      <c r="F33" s="85" t="str">
        <f>IF($B33="","",IF(IFERROR(INDEX('RAID Log'!$1:$1048576,$B33,MATCH("Impact Area",'RAID Log'!$1:$1,0)),"")="","",IFERROR(INDEX('RAID Log'!$1:$1048576,$B33,MATCH("Impact Area",'RAID Log'!$1:$1,0)),"")))</f>
        <v/>
      </c>
      <c r="G33" s="85" t="str">
        <f>IF($B33="","",IF(IFERROR(INDEX('RAID Log'!$1:$1048576,$B33,MATCH("Impact Rating",'RAID Log'!$1:$1,0)),"")="","",IFERROR(INDEX('RAID Log'!$1:$1048576,$B33,MATCH("Impact Rating",'RAID Log'!$1:$1,0)),"")))</f>
        <v/>
      </c>
      <c r="H33" s="85" t="str">
        <f>IF($B33="","",IF(IFERROR(INDEX('RAID Log'!$1:$1048576,$B33,MATCH("Initial Probability",'RAID Log'!$1:$1,0)),"")="","",IFERROR(INDEX('RAID Log'!$1:$1048576,$B33,MATCH("Initial Probability",'RAID Log'!$1:$1,0)),"")))</f>
        <v/>
      </c>
      <c r="I33" s="86" t="str">
        <f t="shared" si="0"/>
        <v/>
      </c>
      <c r="J33" s="85" t="str">
        <f t="shared" si="1"/>
        <v/>
      </c>
      <c r="K33" s="86" t="str">
        <f t="shared" si="2"/>
        <v/>
      </c>
      <c r="L33" s="85" t="str">
        <f>IF($B33="","",IF(IFERROR(INDEX('RAID Log'!$1:$1048576,$B33,MATCH("Status",'RAID Log'!$1:$1,0)),"")="","",IFERROR(INDEX('RAID Log'!$1:$1048576,$B33,MATCH("Status",'RAID Log'!$1:$1,0)),"")))</f>
        <v/>
      </c>
      <c r="M33" s="85" t="str">
        <f>IF($B33="","",IF(IFERROR(INDEX('RAID Log'!$1:$1048576,$B33,MATCH("RAID Owner",'RAID Log'!$1:$1,0)),"")="","",IFERROR(INDEX('RAID Log'!$1:$1048576,$B33,MATCH("RAID Owner",'RAID Log'!$1:$1,0)),"")))</f>
        <v/>
      </c>
      <c r="N33" s="87" t="str">
        <f>IF($B33="","",IF(IFERROR(INDEX('RAID Log'!$1:$1048576,$B33,MATCH("Date Raised",'RAID Log'!$1:$1,0)),"")="","",IFERROR(INDEX('RAID Log'!$1:$1048576,$B33,MATCH("Date Raised",'RAID Log'!$1:$1,0)),"")))</f>
        <v/>
      </c>
      <c r="O33" s="87" t="str">
        <f>IF($B33="","",IF(IFERROR(INDEX('RAID Log'!$1:$1048576,$B33,MATCH("Closed Date",'RAID Log'!$1:$1,0)),"")="","",IFERROR(INDEX('RAID Log'!$1:$1048576,$B33,MATCH("Closed Date",'RAID Log'!$1:$1,0)),"")))</f>
        <v/>
      </c>
      <c r="P33" s="85" t="str">
        <f>IF($B33="","",IF(IFERROR(INDEX('RAID Log'!$1:$1048576,$B33,MATCH("Mitigation Strategy",'RAID Log'!$1:$1,0)),"")="","",IFERROR(INDEX('RAID Log'!$1:$1048576,$B33,MATCH("Mitigation Strategy",'RAID Log'!$1:$1,0)),"")))</f>
        <v/>
      </c>
      <c r="Q33" s="88" t="str">
        <f>IF($B33="","",IF(IFERROR(INDEX('RAID Log'!$1:$1048576,$B33,MATCH("RAID Response/Plan",'RAID Log'!$1:$1,0)),"")="","",IFERROR(INDEX('RAID Log'!$1:$1048576,$B33,MATCH("RAID Response/Plan",'RAID Log'!$1:$1,0)),"")))</f>
        <v/>
      </c>
    </row>
    <row r="34" spans="1:17" ht="15" customHeight="1">
      <c r="A34" s="82" t="str">
        <f>IF($B34="","",IF(IFERROR(INDEX('RAID Log'!$1:$1048576,$B34,MATCH("RAID ID",'RAID Log'!$1:$1,0)),"")="","",IFERROR(INDEX('RAID Log'!$1:$1048576,$B34,MATCH("RAID ID",'RAID Log'!$1:$1,0)),"")))</f>
        <v/>
      </c>
      <c r="B34" s="83" t="str">
        <f>IFERROR(MATCH(ROW()-1,'RAID Log'!$S:$S,0),"")</f>
        <v/>
      </c>
      <c r="C34" s="85" t="str">
        <f>IF($B34="","",IF(IFERROR(INDEX('RAID Log'!$1:$1048576,$B34,MATCH("Description",'RAID Log'!$1:$1,0)),"")="","",IFERROR(INDEX('RAID Log'!$1:$1048576,$B34,MATCH("Description",'RAID Log'!$1:$1,0)),"")))</f>
        <v/>
      </c>
      <c r="D34" s="85" t="str">
        <f>IF($B34="","",IF(IFERROR(INDEX('RAID Log'!$1:$1048576,$B34,MATCH("Impact/Effect of the RAID",'RAID Log'!$1:$1,0)),"")="","",IFERROR(INDEX('RAID Log'!$1:$1048576,$B34,MATCH("Impact/Effect of the RAID",'RAID Log'!$1:$1,0)),"")))</f>
        <v/>
      </c>
      <c r="E34" s="85" t="str">
        <f>IF($B34="","",IF(IFERROR(INDEX('RAID Log'!$1:$1048576,$B34,MATCH("Impact Area",'RAID Log'!$1:$1,0)),"")="","",IFERROR(INDEX('RAID Log'!$1:$1048576,$B34,MATCH("Impact Area",'RAID Log'!$1:$1,0)),"")))</f>
        <v/>
      </c>
      <c r="F34" s="85" t="str">
        <f>IF($B34="","",IF(IFERROR(INDEX('RAID Log'!$1:$1048576,$B34,MATCH("Impact Area",'RAID Log'!$1:$1,0)),"")="","",IFERROR(INDEX('RAID Log'!$1:$1048576,$B34,MATCH("Impact Area",'RAID Log'!$1:$1,0)),"")))</f>
        <v/>
      </c>
      <c r="G34" s="85" t="str">
        <f>IF($B34="","",IF(IFERROR(INDEX('RAID Log'!$1:$1048576,$B34,MATCH("Impact Rating",'RAID Log'!$1:$1,0)),"")="","",IFERROR(INDEX('RAID Log'!$1:$1048576,$B34,MATCH("Impact Rating",'RAID Log'!$1:$1,0)),"")))</f>
        <v/>
      </c>
      <c r="H34" s="85" t="str">
        <f>IF($B34="","",IF(IFERROR(INDEX('RAID Log'!$1:$1048576,$B34,MATCH("Initial Probability",'RAID Log'!$1:$1,0)),"")="","",IFERROR(INDEX('RAID Log'!$1:$1048576,$B34,MATCH("Initial Probability",'RAID Log'!$1:$1,0)),"")))</f>
        <v/>
      </c>
      <c r="I34" s="86" t="str">
        <f t="shared" si="0"/>
        <v/>
      </c>
      <c r="J34" s="85" t="str">
        <f t="shared" si="1"/>
        <v/>
      </c>
      <c r="K34" s="86" t="str">
        <f t="shared" si="2"/>
        <v/>
      </c>
      <c r="L34" s="85" t="str">
        <f>IF($B34="","",IF(IFERROR(INDEX('RAID Log'!$1:$1048576,$B34,MATCH("Status",'RAID Log'!$1:$1,0)),"")="","",IFERROR(INDEX('RAID Log'!$1:$1048576,$B34,MATCH("Status",'RAID Log'!$1:$1,0)),"")))</f>
        <v/>
      </c>
      <c r="M34" s="85" t="str">
        <f>IF($B34="","",IF(IFERROR(INDEX('RAID Log'!$1:$1048576,$B34,MATCH("RAID Owner",'RAID Log'!$1:$1,0)),"")="","",IFERROR(INDEX('RAID Log'!$1:$1048576,$B34,MATCH("RAID Owner",'RAID Log'!$1:$1,0)),"")))</f>
        <v/>
      </c>
      <c r="N34" s="87" t="str">
        <f>IF($B34="","",IF(IFERROR(INDEX('RAID Log'!$1:$1048576,$B34,MATCH("Date Raised",'RAID Log'!$1:$1,0)),"")="","",IFERROR(INDEX('RAID Log'!$1:$1048576,$B34,MATCH("Date Raised",'RAID Log'!$1:$1,0)),"")))</f>
        <v/>
      </c>
      <c r="O34" s="87" t="str">
        <f>IF($B34="","",IF(IFERROR(INDEX('RAID Log'!$1:$1048576,$B34,MATCH("Closed Date",'RAID Log'!$1:$1,0)),"")="","",IFERROR(INDEX('RAID Log'!$1:$1048576,$B34,MATCH("Closed Date",'RAID Log'!$1:$1,0)),"")))</f>
        <v/>
      </c>
      <c r="P34" s="85" t="str">
        <f>IF($B34="","",IF(IFERROR(INDEX('RAID Log'!$1:$1048576,$B34,MATCH("Mitigation Strategy",'RAID Log'!$1:$1,0)),"")="","",IFERROR(INDEX('RAID Log'!$1:$1048576,$B34,MATCH("Mitigation Strategy",'RAID Log'!$1:$1,0)),"")))</f>
        <v/>
      </c>
      <c r="Q34" s="88" t="str">
        <f>IF($B34="","",IF(IFERROR(INDEX('RAID Log'!$1:$1048576,$B34,MATCH("RAID Response/Plan",'RAID Log'!$1:$1,0)),"")="","",IFERROR(INDEX('RAID Log'!$1:$1048576,$B34,MATCH("RAID Response/Plan",'RAID Log'!$1:$1,0)),"")))</f>
        <v/>
      </c>
    </row>
    <row r="35" spans="1:17" ht="15" customHeight="1">
      <c r="A35" s="82" t="str">
        <f>IF($B35="","",IF(IFERROR(INDEX('RAID Log'!$1:$1048576,$B35,MATCH("RAID ID",'RAID Log'!$1:$1,0)),"")="","",IFERROR(INDEX('RAID Log'!$1:$1048576,$B35,MATCH("RAID ID",'RAID Log'!$1:$1,0)),"")))</f>
        <v/>
      </c>
      <c r="B35" s="83" t="str">
        <f>IFERROR(MATCH(ROW()-1,'RAID Log'!$S:$S,0),"")</f>
        <v/>
      </c>
      <c r="C35" s="85" t="str">
        <f>IF($B35="","",IF(IFERROR(INDEX('RAID Log'!$1:$1048576,$B35,MATCH("Description",'RAID Log'!$1:$1,0)),"")="","",IFERROR(INDEX('RAID Log'!$1:$1048576,$B35,MATCH("Description",'RAID Log'!$1:$1,0)),"")))</f>
        <v/>
      </c>
      <c r="D35" s="85" t="str">
        <f>IF($B35="","",IF(IFERROR(INDEX('RAID Log'!$1:$1048576,$B35,MATCH("Impact/Effect of the RAID",'RAID Log'!$1:$1,0)),"")="","",IFERROR(INDEX('RAID Log'!$1:$1048576,$B35,MATCH("Impact/Effect of the RAID",'RAID Log'!$1:$1,0)),"")))</f>
        <v/>
      </c>
      <c r="E35" s="85" t="str">
        <f>IF($B35="","",IF(IFERROR(INDEX('RAID Log'!$1:$1048576,$B35,MATCH("Impact Area",'RAID Log'!$1:$1,0)),"")="","",IFERROR(INDEX('RAID Log'!$1:$1048576,$B35,MATCH("Impact Area",'RAID Log'!$1:$1,0)),"")))</f>
        <v/>
      </c>
      <c r="F35" s="85" t="str">
        <f>IF($B35="","",IF(IFERROR(INDEX('RAID Log'!$1:$1048576,$B35,MATCH("Impact Area",'RAID Log'!$1:$1,0)),"")="","",IFERROR(INDEX('RAID Log'!$1:$1048576,$B35,MATCH("Impact Area",'RAID Log'!$1:$1,0)),"")))</f>
        <v/>
      </c>
      <c r="G35" s="85" t="str">
        <f>IF($B35="","",IF(IFERROR(INDEX('RAID Log'!$1:$1048576,$B35,MATCH("Impact Rating",'RAID Log'!$1:$1,0)),"")="","",IFERROR(INDEX('RAID Log'!$1:$1048576,$B35,MATCH("Impact Rating",'RAID Log'!$1:$1,0)),"")))</f>
        <v/>
      </c>
      <c r="H35" s="85" t="str">
        <f>IF($B35="","",IF(IFERROR(INDEX('RAID Log'!$1:$1048576,$B35,MATCH("Initial Probability",'RAID Log'!$1:$1,0)),"")="","",IFERROR(INDEX('RAID Log'!$1:$1048576,$B35,MATCH("Initial Probability",'RAID Log'!$1:$1,0)),"")))</f>
        <v/>
      </c>
      <c r="I35" s="86" t="str">
        <f t="shared" si="0"/>
        <v/>
      </c>
      <c r="J35" s="85" t="str">
        <f t="shared" si="1"/>
        <v/>
      </c>
      <c r="K35" s="86" t="str">
        <f t="shared" si="2"/>
        <v/>
      </c>
      <c r="L35" s="85" t="str">
        <f>IF($B35="","",IF(IFERROR(INDEX('RAID Log'!$1:$1048576,$B35,MATCH("Status",'RAID Log'!$1:$1,0)),"")="","",IFERROR(INDEX('RAID Log'!$1:$1048576,$B35,MATCH("Status",'RAID Log'!$1:$1,0)),"")))</f>
        <v/>
      </c>
      <c r="M35" s="85" t="str">
        <f>IF($B35="","",IF(IFERROR(INDEX('RAID Log'!$1:$1048576,$B35,MATCH("RAID Owner",'RAID Log'!$1:$1,0)),"")="","",IFERROR(INDEX('RAID Log'!$1:$1048576,$B35,MATCH("RAID Owner",'RAID Log'!$1:$1,0)),"")))</f>
        <v/>
      </c>
      <c r="N35" s="87" t="str">
        <f>IF($B35="","",IF(IFERROR(INDEX('RAID Log'!$1:$1048576,$B35,MATCH("Date Raised",'RAID Log'!$1:$1,0)),"")="","",IFERROR(INDEX('RAID Log'!$1:$1048576,$B35,MATCH("Date Raised",'RAID Log'!$1:$1,0)),"")))</f>
        <v/>
      </c>
      <c r="O35" s="87" t="str">
        <f>IF($B35="","",IF(IFERROR(INDEX('RAID Log'!$1:$1048576,$B35,MATCH("Closed Date",'RAID Log'!$1:$1,0)),"")="","",IFERROR(INDEX('RAID Log'!$1:$1048576,$B35,MATCH("Closed Date",'RAID Log'!$1:$1,0)),"")))</f>
        <v/>
      </c>
      <c r="P35" s="85" t="str">
        <f>IF($B35="","",IF(IFERROR(INDEX('RAID Log'!$1:$1048576,$B35,MATCH("Mitigation Strategy",'RAID Log'!$1:$1,0)),"")="","",IFERROR(INDEX('RAID Log'!$1:$1048576,$B35,MATCH("Mitigation Strategy",'RAID Log'!$1:$1,0)),"")))</f>
        <v/>
      </c>
      <c r="Q35" s="88" t="str">
        <f>IF($B35="","",IF(IFERROR(INDEX('RAID Log'!$1:$1048576,$B35,MATCH("RAID Response/Plan",'RAID Log'!$1:$1,0)),"")="","",IFERROR(INDEX('RAID Log'!$1:$1048576,$B35,MATCH("RAID Response/Plan",'RAID Log'!$1:$1,0)),"")))</f>
        <v/>
      </c>
    </row>
    <row r="36" spans="1:17" ht="15" customHeight="1">
      <c r="A36" s="82" t="str">
        <f>IF($B36="","",IF(IFERROR(INDEX('RAID Log'!$1:$1048576,$B36,MATCH("RAID ID",'RAID Log'!$1:$1,0)),"")="","",IFERROR(INDEX('RAID Log'!$1:$1048576,$B36,MATCH("RAID ID",'RAID Log'!$1:$1,0)),"")))</f>
        <v/>
      </c>
      <c r="B36" s="83" t="str">
        <f>IFERROR(MATCH(ROW()-1,'RAID Log'!$S:$S,0),"")</f>
        <v/>
      </c>
      <c r="C36" s="85" t="str">
        <f>IF($B36="","",IF(IFERROR(INDEX('RAID Log'!$1:$1048576,$B36,MATCH("Description",'RAID Log'!$1:$1,0)),"")="","",IFERROR(INDEX('RAID Log'!$1:$1048576,$B36,MATCH("Description",'RAID Log'!$1:$1,0)),"")))</f>
        <v/>
      </c>
      <c r="D36" s="85" t="str">
        <f>IF($B36="","",IF(IFERROR(INDEX('RAID Log'!$1:$1048576,$B36,MATCH("Impact/Effect of the RAID",'RAID Log'!$1:$1,0)),"")="","",IFERROR(INDEX('RAID Log'!$1:$1048576,$B36,MATCH("Impact/Effect of the RAID",'RAID Log'!$1:$1,0)),"")))</f>
        <v/>
      </c>
      <c r="E36" s="85" t="str">
        <f>IF($B36="","",IF(IFERROR(INDEX('RAID Log'!$1:$1048576,$B36,MATCH("Impact Area",'RAID Log'!$1:$1,0)),"")="","",IFERROR(INDEX('RAID Log'!$1:$1048576,$B36,MATCH("Impact Area",'RAID Log'!$1:$1,0)),"")))</f>
        <v/>
      </c>
      <c r="F36" s="85" t="str">
        <f>IF($B36="","",IF(IFERROR(INDEX('RAID Log'!$1:$1048576,$B36,MATCH("Impact Area",'RAID Log'!$1:$1,0)),"")="","",IFERROR(INDEX('RAID Log'!$1:$1048576,$B36,MATCH("Impact Area",'RAID Log'!$1:$1,0)),"")))</f>
        <v/>
      </c>
      <c r="G36" s="85" t="str">
        <f>IF($B36="","",IF(IFERROR(INDEX('RAID Log'!$1:$1048576,$B36,MATCH("Impact Rating",'RAID Log'!$1:$1,0)),"")="","",IFERROR(INDEX('RAID Log'!$1:$1048576,$B36,MATCH("Impact Rating",'RAID Log'!$1:$1,0)),"")))</f>
        <v/>
      </c>
      <c r="H36" s="85" t="str">
        <f>IF($B36="","",IF(IFERROR(INDEX('RAID Log'!$1:$1048576,$B36,MATCH("Initial Probability",'RAID Log'!$1:$1,0)),"")="","",IFERROR(INDEX('RAID Log'!$1:$1048576,$B36,MATCH("Initial Probability",'RAID Log'!$1:$1,0)),"")))</f>
        <v/>
      </c>
      <c r="I36" s="86" t="str">
        <f t="shared" si="0"/>
        <v/>
      </c>
      <c r="J36" s="85" t="str">
        <f t="shared" si="1"/>
        <v/>
      </c>
      <c r="K36" s="86" t="str">
        <f t="shared" si="2"/>
        <v/>
      </c>
      <c r="L36" s="85" t="str">
        <f>IF($B36="","",IF(IFERROR(INDEX('RAID Log'!$1:$1048576,$B36,MATCH("Status",'RAID Log'!$1:$1,0)),"")="","",IFERROR(INDEX('RAID Log'!$1:$1048576,$B36,MATCH("Status",'RAID Log'!$1:$1,0)),"")))</f>
        <v/>
      </c>
      <c r="M36" s="85" t="str">
        <f>IF($B36="","",IF(IFERROR(INDEX('RAID Log'!$1:$1048576,$B36,MATCH("RAID Owner",'RAID Log'!$1:$1,0)),"")="","",IFERROR(INDEX('RAID Log'!$1:$1048576,$B36,MATCH("RAID Owner",'RAID Log'!$1:$1,0)),"")))</f>
        <v/>
      </c>
      <c r="N36" s="87" t="str">
        <f>IF($B36="","",IF(IFERROR(INDEX('RAID Log'!$1:$1048576,$B36,MATCH("Date Raised",'RAID Log'!$1:$1,0)),"")="","",IFERROR(INDEX('RAID Log'!$1:$1048576,$B36,MATCH("Date Raised",'RAID Log'!$1:$1,0)),"")))</f>
        <v/>
      </c>
      <c r="O36" s="87" t="str">
        <f>IF($B36="","",IF(IFERROR(INDEX('RAID Log'!$1:$1048576,$B36,MATCH("Closed Date",'RAID Log'!$1:$1,0)),"")="","",IFERROR(INDEX('RAID Log'!$1:$1048576,$B36,MATCH("Closed Date",'RAID Log'!$1:$1,0)),"")))</f>
        <v/>
      </c>
      <c r="P36" s="85" t="str">
        <f>IF($B36="","",IF(IFERROR(INDEX('RAID Log'!$1:$1048576,$B36,MATCH("Mitigation Strategy",'RAID Log'!$1:$1,0)),"")="","",IFERROR(INDEX('RAID Log'!$1:$1048576,$B36,MATCH("Mitigation Strategy",'RAID Log'!$1:$1,0)),"")))</f>
        <v/>
      </c>
      <c r="Q36" s="88" t="str">
        <f>IF($B36="","",IF(IFERROR(INDEX('RAID Log'!$1:$1048576,$B36,MATCH("RAID Response/Plan",'RAID Log'!$1:$1,0)),"")="","",IFERROR(INDEX('RAID Log'!$1:$1048576,$B36,MATCH("RAID Response/Plan",'RAID Log'!$1:$1,0)),"")))</f>
        <v/>
      </c>
    </row>
    <row r="37" spans="1:17" ht="15" customHeight="1">
      <c r="A37" s="82" t="str">
        <f>IF($B37="","",IF(IFERROR(INDEX('RAID Log'!$1:$1048576,$B37,MATCH("RAID ID",'RAID Log'!$1:$1,0)),"")="","",IFERROR(INDEX('RAID Log'!$1:$1048576,$B37,MATCH("RAID ID",'RAID Log'!$1:$1,0)),"")))</f>
        <v/>
      </c>
      <c r="B37" s="83" t="str">
        <f>IFERROR(MATCH(ROW()-1,'RAID Log'!$S:$S,0),"")</f>
        <v/>
      </c>
      <c r="C37" s="85" t="str">
        <f>IF($B37="","",IF(IFERROR(INDEX('RAID Log'!$1:$1048576,$B37,MATCH("Description",'RAID Log'!$1:$1,0)),"")="","",IFERROR(INDEX('RAID Log'!$1:$1048576,$B37,MATCH("Description",'RAID Log'!$1:$1,0)),"")))</f>
        <v/>
      </c>
      <c r="D37" s="85" t="str">
        <f>IF($B37="","",IF(IFERROR(INDEX('RAID Log'!$1:$1048576,$B37,MATCH("Impact/Effect of the RAID",'RAID Log'!$1:$1,0)),"")="","",IFERROR(INDEX('RAID Log'!$1:$1048576,$B37,MATCH("Impact/Effect of the RAID",'RAID Log'!$1:$1,0)),"")))</f>
        <v/>
      </c>
      <c r="E37" s="85" t="str">
        <f>IF($B37="","",IF(IFERROR(INDEX('RAID Log'!$1:$1048576,$B37,MATCH("Impact Area",'RAID Log'!$1:$1,0)),"")="","",IFERROR(INDEX('RAID Log'!$1:$1048576,$B37,MATCH("Impact Area",'RAID Log'!$1:$1,0)),"")))</f>
        <v/>
      </c>
      <c r="F37" s="85" t="str">
        <f>IF($B37="","",IF(IFERROR(INDEX('RAID Log'!$1:$1048576,$B37,MATCH("Impact Area",'RAID Log'!$1:$1,0)),"")="","",IFERROR(INDEX('RAID Log'!$1:$1048576,$B37,MATCH("Impact Area",'RAID Log'!$1:$1,0)),"")))</f>
        <v/>
      </c>
      <c r="G37" s="85" t="str">
        <f>IF($B37="","",IF(IFERROR(INDEX('RAID Log'!$1:$1048576,$B37,MATCH("Impact Rating",'RAID Log'!$1:$1,0)),"")="","",IFERROR(INDEX('RAID Log'!$1:$1048576,$B37,MATCH("Impact Rating",'RAID Log'!$1:$1,0)),"")))</f>
        <v/>
      </c>
      <c r="H37" s="85" t="str">
        <f>IF($B37="","",IF(IFERROR(INDEX('RAID Log'!$1:$1048576,$B37,MATCH("Initial Probability",'RAID Log'!$1:$1,0)),"")="","",IFERROR(INDEX('RAID Log'!$1:$1048576,$B37,MATCH("Initial Probability",'RAID Log'!$1:$1,0)),"")))</f>
        <v/>
      </c>
      <c r="I37" s="86" t="str">
        <f t="shared" si="0"/>
        <v/>
      </c>
      <c r="J37" s="85" t="str">
        <f t="shared" si="1"/>
        <v/>
      </c>
      <c r="K37" s="86" t="str">
        <f t="shared" si="2"/>
        <v/>
      </c>
      <c r="L37" s="85" t="str">
        <f>IF($B37="","",IF(IFERROR(INDEX('RAID Log'!$1:$1048576,$B37,MATCH("Status",'RAID Log'!$1:$1,0)),"")="","",IFERROR(INDEX('RAID Log'!$1:$1048576,$B37,MATCH("Status",'RAID Log'!$1:$1,0)),"")))</f>
        <v/>
      </c>
      <c r="M37" s="85" t="str">
        <f>IF($B37="","",IF(IFERROR(INDEX('RAID Log'!$1:$1048576,$B37,MATCH("RAID Owner",'RAID Log'!$1:$1,0)),"")="","",IFERROR(INDEX('RAID Log'!$1:$1048576,$B37,MATCH("RAID Owner",'RAID Log'!$1:$1,0)),"")))</f>
        <v/>
      </c>
      <c r="N37" s="87" t="str">
        <f>IF($B37="","",IF(IFERROR(INDEX('RAID Log'!$1:$1048576,$B37,MATCH("Date Raised",'RAID Log'!$1:$1,0)),"")="","",IFERROR(INDEX('RAID Log'!$1:$1048576,$B37,MATCH("Date Raised",'RAID Log'!$1:$1,0)),"")))</f>
        <v/>
      </c>
      <c r="O37" s="87" t="str">
        <f>IF($B37="","",IF(IFERROR(INDEX('RAID Log'!$1:$1048576,$B37,MATCH("Closed Date",'RAID Log'!$1:$1,0)),"")="","",IFERROR(INDEX('RAID Log'!$1:$1048576,$B37,MATCH("Closed Date",'RAID Log'!$1:$1,0)),"")))</f>
        <v/>
      </c>
      <c r="P37" s="85" t="str">
        <f>IF($B37="","",IF(IFERROR(INDEX('RAID Log'!$1:$1048576,$B37,MATCH("Mitigation Strategy",'RAID Log'!$1:$1,0)),"")="","",IFERROR(INDEX('RAID Log'!$1:$1048576,$B37,MATCH("Mitigation Strategy",'RAID Log'!$1:$1,0)),"")))</f>
        <v/>
      </c>
      <c r="Q37" s="88" t="str">
        <f>IF($B37="","",IF(IFERROR(INDEX('RAID Log'!$1:$1048576,$B37,MATCH("RAID Response/Plan",'RAID Log'!$1:$1,0)),"")="","",IFERROR(INDEX('RAID Log'!$1:$1048576,$B37,MATCH("RAID Response/Plan",'RAID Log'!$1:$1,0)),"")))</f>
        <v/>
      </c>
    </row>
    <row r="38" spans="1:17" ht="15" customHeight="1">
      <c r="A38" s="82" t="str">
        <f>IF($B38="","",IF(IFERROR(INDEX('RAID Log'!$1:$1048576,$B38,MATCH("RAID ID",'RAID Log'!$1:$1,0)),"")="","",IFERROR(INDEX('RAID Log'!$1:$1048576,$B38,MATCH("RAID ID",'RAID Log'!$1:$1,0)),"")))</f>
        <v/>
      </c>
      <c r="B38" s="83" t="str">
        <f>IFERROR(MATCH(ROW()-1,'RAID Log'!$S:$S,0),"")</f>
        <v/>
      </c>
      <c r="C38" s="85" t="str">
        <f>IF($B38="","",IF(IFERROR(INDEX('RAID Log'!$1:$1048576,$B38,MATCH("Description",'RAID Log'!$1:$1,0)),"")="","",IFERROR(INDEX('RAID Log'!$1:$1048576,$B38,MATCH("Description",'RAID Log'!$1:$1,0)),"")))</f>
        <v/>
      </c>
      <c r="D38" s="85" t="str">
        <f>IF($B38="","",IF(IFERROR(INDEX('RAID Log'!$1:$1048576,$B38,MATCH("Impact/Effect of the RAID",'RAID Log'!$1:$1,0)),"")="","",IFERROR(INDEX('RAID Log'!$1:$1048576,$B38,MATCH("Impact/Effect of the RAID",'RAID Log'!$1:$1,0)),"")))</f>
        <v/>
      </c>
      <c r="E38" s="85" t="str">
        <f>IF($B38="","",IF(IFERROR(INDEX('RAID Log'!$1:$1048576,$B38,MATCH("Impact Area",'RAID Log'!$1:$1,0)),"")="","",IFERROR(INDEX('RAID Log'!$1:$1048576,$B38,MATCH("Impact Area",'RAID Log'!$1:$1,0)),"")))</f>
        <v/>
      </c>
      <c r="F38" s="85" t="str">
        <f>IF($B38="","",IF(IFERROR(INDEX('RAID Log'!$1:$1048576,$B38,MATCH("Impact Area",'RAID Log'!$1:$1,0)),"")="","",IFERROR(INDEX('RAID Log'!$1:$1048576,$B38,MATCH("Impact Area",'RAID Log'!$1:$1,0)),"")))</f>
        <v/>
      </c>
      <c r="G38" s="85" t="str">
        <f>IF($B38="","",IF(IFERROR(INDEX('RAID Log'!$1:$1048576,$B38,MATCH("Impact Rating",'RAID Log'!$1:$1,0)),"")="","",IFERROR(INDEX('RAID Log'!$1:$1048576,$B38,MATCH("Impact Rating",'RAID Log'!$1:$1,0)),"")))</f>
        <v/>
      </c>
      <c r="H38" s="85" t="str">
        <f>IF($B38="","",IF(IFERROR(INDEX('RAID Log'!$1:$1048576,$B38,MATCH("Initial Probability",'RAID Log'!$1:$1,0)),"")="","",IFERROR(INDEX('RAID Log'!$1:$1048576,$B38,MATCH("Initial Probability",'RAID Log'!$1:$1,0)),"")))</f>
        <v/>
      </c>
      <c r="I38" s="86" t="str">
        <f t="shared" si="0"/>
        <v/>
      </c>
      <c r="J38" s="85" t="str">
        <f t="shared" si="1"/>
        <v/>
      </c>
      <c r="K38" s="86" t="str">
        <f t="shared" si="2"/>
        <v/>
      </c>
      <c r="L38" s="85" t="str">
        <f>IF($B38="","",IF(IFERROR(INDEX('RAID Log'!$1:$1048576,$B38,MATCH("Status",'RAID Log'!$1:$1,0)),"")="","",IFERROR(INDEX('RAID Log'!$1:$1048576,$B38,MATCH("Status",'RAID Log'!$1:$1,0)),"")))</f>
        <v/>
      </c>
      <c r="M38" s="85" t="str">
        <f>IF($B38="","",IF(IFERROR(INDEX('RAID Log'!$1:$1048576,$B38,MATCH("RAID Owner",'RAID Log'!$1:$1,0)),"")="","",IFERROR(INDEX('RAID Log'!$1:$1048576,$B38,MATCH("RAID Owner",'RAID Log'!$1:$1,0)),"")))</f>
        <v/>
      </c>
      <c r="N38" s="87" t="str">
        <f>IF($B38="","",IF(IFERROR(INDEX('RAID Log'!$1:$1048576,$B38,MATCH("Date Raised",'RAID Log'!$1:$1,0)),"")="","",IFERROR(INDEX('RAID Log'!$1:$1048576,$B38,MATCH("Date Raised",'RAID Log'!$1:$1,0)),"")))</f>
        <v/>
      </c>
      <c r="O38" s="87" t="str">
        <f>IF($B38="","",IF(IFERROR(INDEX('RAID Log'!$1:$1048576,$B38,MATCH("Closed Date",'RAID Log'!$1:$1,0)),"")="","",IFERROR(INDEX('RAID Log'!$1:$1048576,$B38,MATCH("Closed Date",'RAID Log'!$1:$1,0)),"")))</f>
        <v/>
      </c>
      <c r="P38" s="85" t="str">
        <f>IF($B38="","",IF(IFERROR(INDEX('RAID Log'!$1:$1048576,$B38,MATCH("Mitigation Strategy",'RAID Log'!$1:$1,0)),"")="","",IFERROR(INDEX('RAID Log'!$1:$1048576,$B38,MATCH("Mitigation Strategy",'RAID Log'!$1:$1,0)),"")))</f>
        <v/>
      </c>
      <c r="Q38" s="88" t="str">
        <f>IF($B38="","",IF(IFERROR(INDEX('RAID Log'!$1:$1048576,$B38,MATCH("RAID Response/Plan",'RAID Log'!$1:$1,0)),"")="","",IFERROR(INDEX('RAID Log'!$1:$1048576,$B38,MATCH("RAID Response/Plan",'RAID Log'!$1:$1,0)),"")))</f>
        <v/>
      </c>
    </row>
    <row r="39" spans="1:17" ht="15" customHeight="1">
      <c r="A39" s="82" t="str">
        <f>IF($B39="","",IF(IFERROR(INDEX('RAID Log'!$1:$1048576,$B39,MATCH("RAID ID",'RAID Log'!$1:$1,0)),"")="","",IFERROR(INDEX('RAID Log'!$1:$1048576,$B39,MATCH("RAID ID",'RAID Log'!$1:$1,0)),"")))</f>
        <v/>
      </c>
      <c r="B39" s="83" t="str">
        <f>IFERROR(MATCH(ROW()-1,'RAID Log'!$S:$S,0),"")</f>
        <v/>
      </c>
      <c r="C39" s="85" t="str">
        <f>IF($B39="","",IF(IFERROR(INDEX('RAID Log'!$1:$1048576,$B39,MATCH("Description",'RAID Log'!$1:$1,0)),"")="","",IFERROR(INDEX('RAID Log'!$1:$1048576,$B39,MATCH("Description",'RAID Log'!$1:$1,0)),"")))</f>
        <v/>
      </c>
      <c r="D39" s="85" t="str">
        <f>IF($B39="","",IF(IFERROR(INDEX('RAID Log'!$1:$1048576,$B39,MATCH("Impact/Effect of the RAID",'RAID Log'!$1:$1,0)),"")="","",IFERROR(INDEX('RAID Log'!$1:$1048576,$B39,MATCH("Impact/Effect of the RAID",'RAID Log'!$1:$1,0)),"")))</f>
        <v/>
      </c>
      <c r="E39" s="85" t="str">
        <f>IF($B39="","",IF(IFERROR(INDEX('RAID Log'!$1:$1048576,$B39,MATCH("Impact Area",'RAID Log'!$1:$1,0)),"")="","",IFERROR(INDEX('RAID Log'!$1:$1048576,$B39,MATCH("Impact Area",'RAID Log'!$1:$1,0)),"")))</f>
        <v/>
      </c>
      <c r="F39" s="85" t="str">
        <f>IF($B39="","",IF(IFERROR(INDEX('RAID Log'!$1:$1048576,$B39,MATCH("Impact Area",'RAID Log'!$1:$1,0)),"")="","",IFERROR(INDEX('RAID Log'!$1:$1048576,$B39,MATCH("Impact Area",'RAID Log'!$1:$1,0)),"")))</f>
        <v/>
      </c>
      <c r="G39" s="85" t="str">
        <f>IF($B39="","",IF(IFERROR(INDEX('RAID Log'!$1:$1048576,$B39,MATCH("Impact Rating",'RAID Log'!$1:$1,0)),"")="","",IFERROR(INDEX('RAID Log'!$1:$1048576,$B39,MATCH("Impact Rating",'RAID Log'!$1:$1,0)),"")))</f>
        <v/>
      </c>
      <c r="H39" s="85" t="str">
        <f>IF($B39="","",IF(IFERROR(INDEX('RAID Log'!$1:$1048576,$B39,MATCH("Initial Probability",'RAID Log'!$1:$1,0)),"")="","",IFERROR(INDEX('RAID Log'!$1:$1048576,$B39,MATCH("Initial Probability",'RAID Log'!$1:$1,0)),"")))</f>
        <v/>
      </c>
      <c r="I39" s="86" t="str">
        <f t="shared" si="0"/>
        <v/>
      </c>
      <c r="J39" s="85" t="str">
        <f t="shared" si="1"/>
        <v/>
      </c>
      <c r="K39" s="86" t="str">
        <f t="shared" si="2"/>
        <v/>
      </c>
      <c r="L39" s="85" t="str">
        <f>IF($B39="","",IF(IFERROR(INDEX('RAID Log'!$1:$1048576,$B39,MATCH("Status",'RAID Log'!$1:$1,0)),"")="","",IFERROR(INDEX('RAID Log'!$1:$1048576,$B39,MATCH("Status",'RAID Log'!$1:$1,0)),"")))</f>
        <v/>
      </c>
      <c r="M39" s="85" t="str">
        <f>IF($B39="","",IF(IFERROR(INDEX('RAID Log'!$1:$1048576,$B39,MATCH("RAID Owner",'RAID Log'!$1:$1,0)),"")="","",IFERROR(INDEX('RAID Log'!$1:$1048576,$B39,MATCH("RAID Owner",'RAID Log'!$1:$1,0)),"")))</f>
        <v/>
      </c>
      <c r="N39" s="87" t="str">
        <f>IF($B39="","",IF(IFERROR(INDEX('RAID Log'!$1:$1048576,$B39,MATCH("Date Raised",'RAID Log'!$1:$1,0)),"")="","",IFERROR(INDEX('RAID Log'!$1:$1048576,$B39,MATCH("Date Raised",'RAID Log'!$1:$1,0)),"")))</f>
        <v/>
      </c>
      <c r="O39" s="87" t="str">
        <f>IF($B39="","",IF(IFERROR(INDEX('RAID Log'!$1:$1048576,$B39,MATCH("Closed Date",'RAID Log'!$1:$1,0)),"")="","",IFERROR(INDEX('RAID Log'!$1:$1048576,$B39,MATCH("Closed Date",'RAID Log'!$1:$1,0)),"")))</f>
        <v/>
      </c>
      <c r="P39" s="85" t="str">
        <f>IF($B39="","",IF(IFERROR(INDEX('RAID Log'!$1:$1048576,$B39,MATCH("Mitigation Strategy",'RAID Log'!$1:$1,0)),"")="","",IFERROR(INDEX('RAID Log'!$1:$1048576,$B39,MATCH("Mitigation Strategy",'RAID Log'!$1:$1,0)),"")))</f>
        <v/>
      </c>
      <c r="Q39" s="88" t="str">
        <f>IF($B39="","",IF(IFERROR(INDEX('RAID Log'!$1:$1048576,$B39,MATCH("RAID Response/Plan",'RAID Log'!$1:$1,0)),"")="","",IFERROR(INDEX('RAID Log'!$1:$1048576,$B39,MATCH("RAID Response/Plan",'RAID Log'!$1:$1,0)),"")))</f>
        <v/>
      </c>
    </row>
    <row r="40" spans="1:17" ht="15" customHeight="1">
      <c r="A40" s="82" t="str">
        <f>IF($B40="","",IF(IFERROR(INDEX('RAID Log'!$1:$1048576,$B40,MATCH("RAID ID",'RAID Log'!$1:$1,0)),"")="","",IFERROR(INDEX('RAID Log'!$1:$1048576,$B40,MATCH("RAID ID",'RAID Log'!$1:$1,0)),"")))</f>
        <v/>
      </c>
      <c r="B40" s="83" t="str">
        <f>IFERROR(MATCH(ROW()-1,'RAID Log'!$S:$S,0),"")</f>
        <v/>
      </c>
      <c r="C40" s="85" t="str">
        <f>IF($B40="","",IF(IFERROR(INDEX('RAID Log'!$1:$1048576,$B40,MATCH("Description",'RAID Log'!$1:$1,0)),"")="","",IFERROR(INDEX('RAID Log'!$1:$1048576,$B40,MATCH("Description",'RAID Log'!$1:$1,0)),"")))</f>
        <v/>
      </c>
      <c r="D40" s="85" t="str">
        <f>IF($B40="","",IF(IFERROR(INDEX('RAID Log'!$1:$1048576,$B40,MATCH("Impact/Effect of the RAID",'RAID Log'!$1:$1,0)),"")="","",IFERROR(INDEX('RAID Log'!$1:$1048576,$B40,MATCH("Impact/Effect of the RAID",'RAID Log'!$1:$1,0)),"")))</f>
        <v/>
      </c>
      <c r="E40" s="85" t="str">
        <f>IF($B40="","",IF(IFERROR(INDEX('RAID Log'!$1:$1048576,$B40,MATCH("Impact Area",'RAID Log'!$1:$1,0)),"")="","",IFERROR(INDEX('RAID Log'!$1:$1048576,$B40,MATCH("Impact Area",'RAID Log'!$1:$1,0)),"")))</f>
        <v/>
      </c>
      <c r="F40" s="85" t="str">
        <f>IF($B40="","",IF(IFERROR(INDEX('RAID Log'!$1:$1048576,$B40,MATCH("Impact Area",'RAID Log'!$1:$1,0)),"")="","",IFERROR(INDEX('RAID Log'!$1:$1048576,$B40,MATCH("Impact Area",'RAID Log'!$1:$1,0)),"")))</f>
        <v/>
      </c>
      <c r="G40" s="85" t="str">
        <f>IF($B40="","",IF(IFERROR(INDEX('RAID Log'!$1:$1048576,$B40,MATCH("Impact Rating",'RAID Log'!$1:$1,0)),"")="","",IFERROR(INDEX('RAID Log'!$1:$1048576,$B40,MATCH("Impact Rating",'RAID Log'!$1:$1,0)),"")))</f>
        <v/>
      </c>
      <c r="H40" s="85" t="str">
        <f>IF($B40="","",IF(IFERROR(INDEX('RAID Log'!$1:$1048576,$B40,MATCH("Initial Probability",'RAID Log'!$1:$1,0)),"")="","",IFERROR(INDEX('RAID Log'!$1:$1048576,$B40,MATCH("Initial Probability",'RAID Log'!$1:$1,0)),"")))</f>
        <v/>
      </c>
      <c r="I40" s="86" t="str">
        <f t="shared" si="0"/>
        <v/>
      </c>
      <c r="J40" s="85" t="str">
        <f t="shared" si="1"/>
        <v/>
      </c>
      <c r="K40" s="86" t="str">
        <f t="shared" si="2"/>
        <v/>
      </c>
      <c r="L40" s="85" t="str">
        <f>IF($B40="","",IF(IFERROR(INDEX('RAID Log'!$1:$1048576,$B40,MATCH("Status",'RAID Log'!$1:$1,0)),"")="","",IFERROR(INDEX('RAID Log'!$1:$1048576,$B40,MATCH("Status",'RAID Log'!$1:$1,0)),"")))</f>
        <v/>
      </c>
      <c r="M40" s="85" t="str">
        <f>IF($B40="","",IF(IFERROR(INDEX('RAID Log'!$1:$1048576,$B40,MATCH("RAID Owner",'RAID Log'!$1:$1,0)),"")="","",IFERROR(INDEX('RAID Log'!$1:$1048576,$B40,MATCH("RAID Owner",'RAID Log'!$1:$1,0)),"")))</f>
        <v/>
      </c>
      <c r="N40" s="87" t="str">
        <f>IF($B40="","",IF(IFERROR(INDEX('RAID Log'!$1:$1048576,$B40,MATCH("Date Raised",'RAID Log'!$1:$1,0)),"")="","",IFERROR(INDEX('RAID Log'!$1:$1048576,$B40,MATCH("Date Raised",'RAID Log'!$1:$1,0)),"")))</f>
        <v/>
      </c>
      <c r="O40" s="87" t="str">
        <f>IF($B40="","",IF(IFERROR(INDEX('RAID Log'!$1:$1048576,$B40,MATCH("Closed Date",'RAID Log'!$1:$1,0)),"")="","",IFERROR(INDEX('RAID Log'!$1:$1048576,$B40,MATCH("Closed Date",'RAID Log'!$1:$1,0)),"")))</f>
        <v/>
      </c>
      <c r="P40" s="85" t="str">
        <f>IF($B40="","",IF(IFERROR(INDEX('RAID Log'!$1:$1048576,$B40,MATCH("Mitigation Strategy",'RAID Log'!$1:$1,0)),"")="","",IFERROR(INDEX('RAID Log'!$1:$1048576,$B40,MATCH("Mitigation Strategy",'RAID Log'!$1:$1,0)),"")))</f>
        <v/>
      </c>
      <c r="Q40" s="88" t="str">
        <f>IF($B40="","",IF(IFERROR(INDEX('RAID Log'!$1:$1048576,$B40,MATCH("RAID Response/Plan",'RAID Log'!$1:$1,0)),"")="","",IFERROR(INDEX('RAID Log'!$1:$1048576,$B40,MATCH("RAID Response/Plan",'RAID Log'!$1:$1,0)),"")))</f>
        <v/>
      </c>
    </row>
    <row r="41" spans="1:17" ht="15" customHeight="1">
      <c r="A41" s="82" t="str">
        <f>IF($B41="","",IF(IFERROR(INDEX('RAID Log'!$1:$1048576,$B41,MATCH("RAID ID",'RAID Log'!$1:$1,0)),"")="","",IFERROR(INDEX('RAID Log'!$1:$1048576,$B41,MATCH("RAID ID",'RAID Log'!$1:$1,0)),"")))</f>
        <v/>
      </c>
      <c r="B41" s="83" t="str">
        <f>IFERROR(MATCH(ROW()-1,'RAID Log'!$S:$S,0),"")</f>
        <v/>
      </c>
      <c r="C41" s="85" t="str">
        <f>IF($B41="","",IF(IFERROR(INDEX('RAID Log'!$1:$1048576,$B41,MATCH("Description",'RAID Log'!$1:$1,0)),"")="","",IFERROR(INDEX('RAID Log'!$1:$1048576,$B41,MATCH("Description",'RAID Log'!$1:$1,0)),"")))</f>
        <v/>
      </c>
      <c r="D41" s="85" t="str">
        <f>IF($B41="","",IF(IFERROR(INDEX('RAID Log'!$1:$1048576,$B41,MATCH("Impact/Effect of the RAID",'RAID Log'!$1:$1,0)),"")="","",IFERROR(INDEX('RAID Log'!$1:$1048576,$B41,MATCH("Impact/Effect of the RAID",'RAID Log'!$1:$1,0)),"")))</f>
        <v/>
      </c>
      <c r="E41" s="85" t="str">
        <f>IF($B41="","",IF(IFERROR(INDEX('RAID Log'!$1:$1048576,$B41,MATCH("Impact Area",'RAID Log'!$1:$1,0)),"")="","",IFERROR(INDEX('RAID Log'!$1:$1048576,$B41,MATCH("Impact Area",'RAID Log'!$1:$1,0)),"")))</f>
        <v/>
      </c>
      <c r="F41" s="85" t="str">
        <f>IF($B41="","",IF(IFERROR(INDEX('RAID Log'!$1:$1048576,$B41,MATCH("Impact Area",'RAID Log'!$1:$1,0)),"")="","",IFERROR(INDEX('RAID Log'!$1:$1048576,$B41,MATCH("Impact Area",'RAID Log'!$1:$1,0)),"")))</f>
        <v/>
      </c>
      <c r="G41" s="85" t="str">
        <f>IF($B41="","",IF(IFERROR(INDEX('RAID Log'!$1:$1048576,$B41,MATCH("Impact Rating",'RAID Log'!$1:$1,0)),"")="","",IFERROR(INDEX('RAID Log'!$1:$1048576,$B41,MATCH("Impact Rating",'RAID Log'!$1:$1,0)),"")))</f>
        <v/>
      </c>
      <c r="H41" s="85" t="str">
        <f>IF($B41="","",IF(IFERROR(INDEX('RAID Log'!$1:$1048576,$B41,MATCH("Initial Probability",'RAID Log'!$1:$1,0)),"")="","",IFERROR(INDEX('RAID Log'!$1:$1048576,$B41,MATCH("Initial Probability",'RAID Log'!$1:$1,0)),"")))</f>
        <v/>
      </c>
      <c r="I41" s="86" t="str">
        <f t="shared" si="0"/>
        <v/>
      </c>
      <c r="J41" s="85" t="str">
        <f t="shared" si="1"/>
        <v/>
      </c>
      <c r="K41" s="86" t="str">
        <f t="shared" si="2"/>
        <v/>
      </c>
      <c r="L41" s="85" t="str">
        <f>IF($B41="","",IF(IFERROR(INDEX('RAID Log'!$1:$1048576,$B41,MATCH("Status",'RAID Log'!$1:$1,0)),"")="","",IFERROR(INDEX('RAID Log'!$1:$1048576,$B41,MATCH("Status",'RAID Log'!$1:$1,0)),"")))</f>
        <v/>
      </c>
      <c r="M41" s="85" t="str">
        <f>IF($B41="","",IF(IFERROR(INDEX('RAID Log'!$1:$1048576,$B41,MATCH("RAID Owner",'RAID Log'!$1:$1,0)),"")="","",IFERROR(INDEX('RAID Log'!$1:$1048576,$B41,MATCH("RAID Owner",'RAID Log'!$1:$1,0)),"")))</f>
        <v/>
      </c>
      <c r="N41" s="87" t="str">
        <f>IF($B41="","",IF(IFERROR(INDEX('RAID Log'!$1:$1048576,$B41,MATCH("Date Raised",'RAID Log'!$1:$1,0)),"")="","",IFERROR(INDEX('RAID Log'!$1:$1048576,$B41,MATCH("Date Raised",'RAID Log'!$1:$1,0)),"")))</f>
        <v/>
      </c>
      <c r="O41" s="87" t="str">
        <f>IF($B41="","",IF(IFERROR(INDEX('RAID Log'!$1:$1048576,$B41,MATCH("Closed Date",'RAID Log'!$1:$1,0)),"")="","",IFERROR(INDEX('RAID Log'!$1:$1048576,$B41,MATCH("Closed Date",'RAID Log'!$1:$1,0)),"")))</f>
        <v/>
      </c>
      <c r="P41" s="85" t="str">
        <f>IF($B41="","",IF(IFERROR(INDEX('RAID Log'!$1:$1048576,$B41,MATCH("Mitigation Strategy",'RAID Log'!$1:$1,0)),"")="","",IFERROR(INDEX('RAID Log'!$1:$1048576,$B41,MATCH("Mitigation Strategy",'RAID Log'!$1:$1,0)),"")))</f>
        <v/>
      </c>
      <c r="Q41" s="88" t="str">
        <f>IF($B41="","",IF(IFERROR(INDEX('RAID Log'!$1:$1048576,$B41,MATCH("RAID Response/Plan",'RAID Log'!$1:$1,0)),"")="","",IFERROR(INDEX('RAID Log'!$1:$1048576,$B41,MATCH("RAID Response/Plan",'RAID Log'!$1:$1,0)),"")))</f>
        <v/>
      </c>
    </row>
    <row r="42" spans="1:17" ht="15" customHeight="1">
      <c r="A42" s="82" t="str">
        <f>IF($B42="","",IF(IFERROR(INDEX('RAID Log'!$1:$1048576,$B42,MATCH("RAID ID",'RAID Log'!$1:$1,0)),"")="","",IFERROR(INDEX('RAID Log'!$1:$1048576,$B42,MATCH("RAID ID",'RAID Log'!$1:$1,0)),"")))</f>
        <v/>
      </c>
      <c r="B42" s="83" t="str">
        <f>IFERROR(MATCH(ROW()-1,'RAID Log'!$S:$S,0),"")</f>
        <v/>
      </c>
      <c r="C42" s="85" t="str">
        <f>IF($B42="","",IF(IFERROR(INDEX('RAID Log'!$1:$1048576,$B42,MATCH("Description",'RAID Log'!$1:$1,0)),"")="","",IFERROR(INDEX('RAID Log'!$1:$1048576,$B42,MATCH("Description",'RAID Log'!$1:$1,0)),"")))</f>
        <v/>
      </c>
      <c r="D42" s="85" t="str">
        <f>IF($B42="","",IF(IFERROR(INDEX('RAID Log'!$1:$1048576,$B42,MATCH("Impact/Effect of the RAID",'RAID Log'!$1:$1,0)),"")="","",IFERROR(INDEX('RAID Log'!$1:$1048576,$B42,MATCH("Impact/Effect of the RAID",'RAID Log'!$1:$1,0)),"")))</f>
        <v/>
      </c>
      <c r="E42" s="85" t="str">
        <f>IF($B42="","",IF(IFERROR(INDEX('RAID Log'!$1:$1048576,$B42,MATCH("Impact Area",'RAID Log'!$1:$1,0)),"")="","",IFERROR(INDEX('RAID Log'!$1:$1048576,$B42,MATCH("Impact Area",'RAID Log'!$1:$1,0)),"")))</f>
        <v/>
      </c>
      <c r="F42" s="85" t="str">
        <f>IF($B42="","",IF(IFERROR(INDEX('RAID Log'!$1:$1048576,$B42,MATCH("Impact Area",'RAID Log'!$1:$1,0)),"")="","",IFERROR(INDEX('RAID Log'!$1:$1048576,$B42,MATCH("Impact Area",'RAID Log'!$1:$1,0)),"")))</f>
        <v/>
      </c>
      <c r="G42" s="85" t="str">
        <f>IF($B42="","",IF(IFERROR(INDEX('RAID Log'!$1:$1048576,$B42,MATCH("Impact Rating",'RAID Log'!$1:$1,0)),"")="","",IFERROR(INDEX('RAID Log'!$1:$1048576,$B42,MATCH("Impact Rating",'RAID Log'!$1:$1,0)),"")))</f>
        <v/>
      </c>
      <c r="H42" s="85" t="str">
        <f>IF($B42="","",IF(IFERROR(INDEX('RAID Log'!$1:$1048576,$B42,MATCH("Initial Probability",'RAID Log'!$1:$1,0)),"")="","",IFERROR(INDEX('RAID Log'!$1:$1048576,$B42,MATCH("Initial Probability",'RAID Log'!$1:$1,0)),"")))</f>
        <v/>
      </c>
      <c r="I42" s="86" t="str">
        <f t="shared" si="0"/>
        <v/>
      </c>
      <c r="J42" s="85" t="str">
        <f t="shared" si="1"/>
        <v/>
      </c>
      <c r="K42" s="86" t="str">
        <f t="shared" si="2"/>
        <v/>
      </c>
      <c r="L42" s="85" t="str">
        <f>IF($B42="","",IF(IFERROR(INDEX('RAID Log'!$1:$1048576,$B42,MATCH("Status",'RAID Log'!$1:$1,0)),"")="","",IFERROR(INDEX('RAID Log'!$1:$1048576,$B42,MATCH("Status",'RAID Log'!$1:$1,0)),"")))</f>
        <v/>
      </c>
      <c r="M42" s="85" t="str">
        <f>IF($B42="","",IF(IFERROR(INDEX('RAID Log'!$1:$1048576,$B42,MATCH("RAID Owner",'RAID Log'!$1:$1,0)),"")="","",IFERROR(INDEX('RAID Log'!$1:$1048576,$B42,MATCH("RAID Owner",'RAID Log'!$1:$1,0)),"")))</f>
        <v/>
      </c>
      <c r="N42" s="87" t="str">
        <f>IF($B42="","",IF(IFERROR(INDEX('RAID Log'!$1:$1048576,$B42,MATCH("Date Raised",'RAID Log'!$1:$1,0)),"")="","",IFERROR(INDEX('RAID Log'!$1:$1048576,$B42,MATCH("Date Raised",'RAID Log'!$1:$1,0)),"")))</f>
        <v/>
      </c>
      <c r="O42" s="87" t="str">
        <f>IF($B42="","",IF(IFERROR(INDEX('RAID Log'!$1:$1048576,$B42,MATCH("Closed Date",'RAID Log'!$1:$1,0)),"")="","",IFERROR(INDEX('RAID Log'!$1:$1048576,$B42,MATCH("Closed Date",'RAID Log'!$1:$1,0)),"")))</f>
        <v/>
      </c>
      <c r="P42" s="85" t="str">
        <f>IF($B42="","",IF(IFERROR(INDEX('RAID Log'!$1:$1048576,$B42,MATCH("Mitigation Strategy",'RAID Log'!$1:$1,0)),"")="","",IFERROR(INDEX('RAID Log'!$1:$1048576,$B42,MATCH("Mitigation Strategy",'RAID Log'!$1:$1,0)),"")))</f>
        <v/>
      </c>
      <c r="Q42" s="88" t="str">
        <f>IF($B42="","",IF(IFERROR(INDEX('RAID Log'!$1:$1048576,$B42,MATCH("RAID Response/Plan",'RAID Log'!$1:$1,0)),"")="","",IFERROR(INDEX('RAID Log'!$1:$1048576,$B42,MATCH("RAID Response/Plan",'RAID Log'!$1:$1,0)),"")))</f>
        <v/>
      </c>
    </row>
    <row r="43" spans="1:17" ht="15" customHeight="1">
      <c r="A43" s="82" t="str">
        <f>IF($B43="","",IF(IFERROR(INDEX('RAID Log'!$1:$1048576,$B43,MATCH("RAID ID",'RAID Log'!$1:$1,0)),"")="","",IFERROR(INDEX('RAID Log'!$1:$1048576,$B43,MATCH("RAID ID",'RAID Log'!$1:$1,0)),"")))</f>
        <v/>
      </c>
      <c r="B43" s="83" t="str">
        <f>IFERROR(MATCH(ROW()-1,'RAID Log'!$S:$S,0),"")</f>
        <v/>
      </c>
      <c r="C43" s="85" t="str">
        <f>IF($B43="","",IF(IFERROR(INDEX('RAID Log'!$1:$1048576,$B43,MATCH("Description",'RAID Log'!$1:$1,0)),"")="","",IFERROR(INDEX('RAID Log'!$1:$1048576,$B43,MATCH("Description",'RAID Log'!$1:$1,0)),"")))</f>
        <v/>
      </c>
      <c r="D43" s="85" t="str">
        <f>IF($B43="","",IF(IFERROR(INDEX('RAID Log'!$1:$1048576,$B43,MATCH("Impact/Effect of the RAID",'RAID Log'!$1:$1,0)),"")="","",IFERROR(INDEX('RAID Log'!$1:$1048576,$B43,MATCH("Impact/Effect of the RAID",'RAID Log'!$1:$1,0)),"")))</f>
        <v/>
      </c>
      <c r="E43" s="85" t="str">
        <f>IF($B43="","",IF(IFERROR(INDEX('RAID Log'!$1:$1048576,$B43,MATCH("Impact Area",'RAID Log'!$1:$1,0)),"")="","",IFERROR(INDEX('RAID Log'!$1:$1048576,$B43,MATCH("Impact Area",'RAID Log'!$1:$1,0)),"")))</f>
        <v/>
      </c>
      <c r="F43" s="85" t="str">
        <f>IF($B43="","",IF(IFERROR(INDEX('RAID Log'!$1:$1048576,$B43,MATCH("Impact Area",'RAID Log'!$1:$1,0)),"")="","",IFERROR(INDEX('RAID Log'!$1:$1048576,$B43,MATCH("Impact Area",'RAID Log'!$1:$1,0)),"")))</f>
        <v/>
      </c>
      <c r="G43" s="85" t="str">
        <f>IF($B43="","",IF(IFERROR(INDEX('RAID Log'!$1:$1048576,$B43,MATCH("Impact Rating",'RAID Log'!$1:$1,0)),"")="","",IFERROR(INDEX('RAID Log'!$1:$1048576,$B43,MATCH("Impact Rating",'RAID Log'!$1:$1,0)),"")))</f>
        <v/>
      </c>
      <c r="H43" s="85" t="str">
        <f>IF($B43="","",IF(IFERROR(INDEX('RAID Log'!$1:$1048576,$B43,MATCH("Initial Probability",'RAID Log'!$1:$1,0)),"")="","",IFERROR(INDEX('RAID Log'!$1:$1048576,$B43,MATCH("Initial Probability",'RAID Log'!$1:$1,0)),"")))</f>
        <v/>
      </c>
      <c r="I43" s="86" t="str">
        <f t="shared" si="0"/>
        <v/>
      </c>
      <c r="J43" s="85" t="str">
        <f t="shared" si="1"/>
        <v/>
      </c>
      <c r="K43" s="86" t="str">
        <f t="shared" si="2"/>
        <v/>
      </c>
      <c r="L43" s="85" t="str">
        <f>IF($B43="","",IF(IFERROR(INDEX('RAID Log'!$1:$1048576,$B43,MATCH("Status",'RAID Log'!$1:$1,0)),"")="","",IFERROR(INDEX('RAID Log'!$1:$1048576,$B43,MATCH("Status",'RAID Log'!$1:$1,0)),"")))</f>
        <v/>
      </c>
      <c r="M43" s="85" t="str">
        <f>IF($B43="","",IF(IFERROR(INDEX('RAID Log'!$1:$1048576,$B43,MATCH("RAID Owner",'RAID Log'!$1:$1,0)),"")="","",IFERROR(INDEX('RAID Log'!$1:$1048576,$B43,MATCH("RAID Owner",'RAID Log'!$1:$1,0)),"")))</f>
        <v/>
      </c>
      <c r="N43" s="87" t="str">
        <f>IF($B43="","",IF(IFERROR(INDEX('RAID Log'!$1:$1048576,$B43,MATCH("Date Raised",'RAID Log'!$1:$1,0)),"")="","",IFERROR(INDEX('RAID Log'!$1:$1048576,$B43,MATCH("Date Raised",'RAID Log'!$1:$1,0)),"")))</f>
        <v/>
      </c>
      <c r="O43" s="87" t="str">
        <f>IF($B43="","",IF(IFERROR(INDEX('RAID Log'!$1:$1048576,$B43,MATCH("Closed Date",'RAID Log'!$1:$1,0)),"")="","",IFERROR(INDEX('RAID Log'!$1:$1048576,$B43,MATCH("Closed Date",'RAID Log'!$1:$1,0)),"")))</f>
        <v/>
      </c>
      <c r="P43" s="85" t="str">
        <f>IF($B43="","",IF(IFERROR(INDEX('RAID Log'!$1:$1048576,$B43,MATCH("Mitigation Strategy",'RAID Log'!$1:$1,0)),"")="","",IFERROR(INDEX('RAID Log'!$1:$1048576,$B43,MATCH("Mitigation Strategy",'RAID Log'!$1:$1,0)),"")))</f>
        <v/>
      </c>
      <c r="Q43" s="88" t="str">
        <f>IF($B43="","",IF(IFERROR(INDEX('RAID Log'!$1:$1048576,$B43,MATCH("RAID Response/Plan",'RAID Log'!$1:$1,0)),"")="","",IFERROR(INDEX('RAID Log'!$1:$1048576,$B43,MATCH("RAID Response/Plan",'RAID Log'!$1:$1,0)),"")))</f>
        <v/>
      </c>
    </row>
    <row r="44" spans="1:17" ht="15" customHeight="1">
      <c r="A44" s="82" t="str">
        <f>IF($B44="","",IF(IFERROR(INDEX('RAID Log'!$1:$1048576,$B44,MATCH("RAID ID",'RAID Log'!$1:$1,0)),"")="","",IFERROR(INDEX('RAID Log'!$1:$1048576,$B44,MATCH("RAID ID",'RAID Log'!$1:$1,0)),"")))</f>
        <v/>
      </c>
      <c r="B44" s="83" t="str">
        <f>IFERROR(MATCH(ROW()-1,'RAID Log'!$S:$S,0),"")</f>
        <v/>
      </c>
      <c r="C44" s="85" t="str">
        <f>IF($B44="","",IF(IFERROR(INDEX('RAID Log'!$1:$1048576,$B44,MATCH("Description",'RAID Log'!$1:$1,0)),"")="","",IFERROR(INDEX('RAID Log'!$1:$1048576,$B44,MATCH("Description",'RAID Log'!$1:$1,0)),"")))</f>
        <v/>
      </c>
      <c r="D44" s="85" t="str">
        <f>IF($B44="","",IF(IFERROR(INDEX('RAID Log'!$1:$1048576,$B44,MATCH("Impact/Effect of the RAID",'RAID Log'!$1:$1,0)),"")="","",IFERROR(INDEX('RAID Log'!$1:$1048576,$B44,MATCH("Impact/Effect of the RAID",'RAID Log'!$1:$1,0)),"")))</f>
        <v/>
      </c>
      <c r="E44" s="85" t="str">
        <f>IF($B44="","",IF(IFERROR(INDEX('RAID Log'!$1:$1048576,$B44,MATCH("Impact Area",'RAID Log'!$1:$1,0)),"")="","",IFERROR(INDEX('RAID Log'!$1:$1048576,$B44,MATCH("Impact Area",'RAID Log'!$1:$1,0)),"")))</f>
        <v/>
      </c>
      <c r="F44" s="85" t="str">
        <f>IF($B44="","",IF(IFERROR(INDEX('RAID Log'!$1:$1048576,$B44,MATCH("Impact Area",'RAID Log'!$1:$1,0)),"")="","",IFERROR(INDEX('RAID Log'!$1:$1048576,$B44,MATCH("Impact Area",'RAID Log'!$1:$1,0)),"")))</f>
        <v/>
      </c>
      <c r="G44" s="85" t="str">
        <f>IF($B44="","",IF(IFERROR(INDEX('RAID Log'!$1:$1048576,$B44,MATCH("Impact Rating",'RAID Log'!$1:$1,0)),"")="","",IFERROR(INDEX('RAID Log'!$1:$1048576,$B44,MATCH("Impact Rating",'RAID Log'!$1:$1,0)),"")))</f>
        <v/>
      </c>
      <c r="H44" s="85" t="str">
        <f>IF($B44="","",IF(IFERROR(INDEX('RAID Log'!$1:$1048576,$B44,MATCH("Initial Probability",'RAID Log'!$1:$1,0)),"")="","",IFERROR(INDEX('RAID Log'!$1:$1048576,$B44,MATCH("Initial Probability",'RAID Log'!$1:$1,0)),"")))</f>
        <v/>
      </c>
      <c r="I44" s="86" t="str">
        <f t="shared" si="0"/>
        <v/>
      </c>
      <c r="J44" s="85" t="str">
        <f t="shared" si="1"/>
        <v/>
      </c>
      <c r="K44" s="86" t="str">
        <f t="shared" si="2"/>
        <v/>
      </c>
      <c r="L44" s="85" t="str">
        <f>IF($B44="","",IF(IFERROR(INDEX('RAID Log'!$1:$1048576,$B44,MATCH("Status",'RAID Log'!$1:$1,0)),"")="","",IFERROR(INDEX('RAID Log'!$1:$1048576,$B44,MATCH("Status",'RAID Log'!$1:$1,0)),"")))</f>
        <v/>
      </c>
      <c r="M44" s="85" t="str">
        <f>IF($B44="","",IF(IFERROR(INDEX('RAID Log'!$1:$1048576,$B44,MATCH("RAID Owner",'RAID Log'!$1:$1,0)),"")="","",IFERROR(INDEX('RAID Log'!$1:$1048576,$B44,MATCH("RAID Owner",'RAID Log'!$1:$1,0)),"")))</f>
        <v/>
      </c>
      <c r="N44" s="87" t="str">
        <f>IF($B44="","",IF(IFERROR(INDEX('RAID Log'!$1:$1048576,$B44,MATCH("Date Raised",'RAID Log'!$1:$1,0)),"")="","",IFERROR(INDEX('RAID Log'!$1:$1048576,$B44,MATCH("Date Raised",'RAID Log'!$1:$1,0)),"")))</f>
        <v/>
      </c>
      <c r="O44" s="87" t="str">
        <f>IF($B44="","",IF(IFERROR(INDEX('RAID Log'!$1:$1048576,$B44,MATCH("Closed Date",'RAID Log'!$1:$1,0)),"")="","",IFERROR(INDEX('RAID Log'!$1:$1048576,$B44,MATCH("Closed Date",'RAID Log'!$1:$1,0)),"")))</f>
        <v/>
      </c>
      <c r="P44" s="85" t="str">
        <f>IF($B44="","",IF(IFERROR(INDEX('RAID Log'!$1:$1048576,$B44,MATCH("Mitigation Strategy",'RAID Log'!$1:$1,0)),"")="","",IFERROR(INDEX('RAID Log'!$1:$1048576,$B44,MATCH("Mitigation Strategy",'RAID Log'!$1:$1,0)),"")))</f>
        <v/>
      </c>
      <c r="Q44" s="88" t="str">
        <f>IF($B44="","",IF(IFERROR(INDEX('RAID Log'!$1:$1048576,$B44,MATCH("RAID Response/Plan",'RAID Log'!$1:$1,0)),"")="","",IFERROR(INDEX('RAID Log'!$1:$1048576,$B44,MATCH("RAID Response/Plan",'RAID Log'!$1:$1,0)),"")))</f>
        <v/>
      </c>
    </row>
    <row r="45" spans="1:17" ht="15" customHeight="1">
      <c r="A45" s="82" t="str">
        <f>IF($B45="","",IF(IFERROR(INDEX('RAID Log'!$1:$1048576,$B45,MATCH("RAID ID",'RAID Log'!$1:$1,0)),"")="","",IFERROR(INDEX('RAID Log'!$1:$1048576,$B45,MATCH("RAID ID",'RAID Log'!$1:$1,0)),"")))</f>
        <v/>
      </c>
      <c r="B45" s="83" t="str">
        <f>IFERROR(MATCH(ROW()-1,'RAID Log'!$S:$S,0),"")</f>
        <v/>
      </c>
      <c r="C45" s="85" t="str">
        <f>IF($B45="","",IF(IFERROR(INDEX('RAID Log'!$1:$1048576,$B45,MATCH("Description",'RAID Log'!$1:$1,0)),"")="","",IFERROR(INDEX('RAID Log'!$1:$1048576,$B45,MATCH("Description",'RAID Log'!$1:$1,0)),"")))</f>
        <v/>
      </c>
      <c r="D45" s="85" t="str">
        <f>IF($B45="","",IF(IFERROR(INDEX('RAID Log'!$1:$1048576,$B45,MATCH("Impact/Effect of the RAID",'RAID Log'!$1:$1,0)),"")="","",IFERROR(INDEX('RAID Log'!$1:$1048576,$B45,MATCH("Impact/Effect of the RAID",'RAID Log'!$1:$1,0)),"")))</f>
        <v/>
      </c>
      <c r="E45" s="85" t="str">
        <f>IF($B45="","",IF(IFERROR(INDEX('RAID Log'!$1:$1048576,$B45,MATCH("Impact Area",'RAID Log'!$1:$1,0)),"")="","",IFERROR(INDEX('RAID Log'!$1:$1048576,$B45,MATCH("Impact Area",'RAID Log'!$1:$1,0)),"")))</f>
        <v/>
      </c>
      <c r="F45" s="85" t="str">
        <f>IF($B45="","",IF(IFERROR(INDEX('RAID Log'!$1:$1048576,$B45,MATCH("Impact Area",'RAID Log'!$1:$1,0)),"")="","",IFERROR(INDEX('RAID Log'!$1:$1048576,$B45,MATCH("Impact Area",'RAID Log'!$1:$1,0)),"")))</f>
        <v/>
      </c>
      <c r="G45" s="85" t="str">
        <f>IF($B45="","",IF(IFERROR(INDEX('RAID Log'!$1:$1048576,$B45,MATCH("Impact Rating",'RAID Log'!$1:$1,0)),"")="","",IFERROR(INDEX('RAID Log'!$1:$1048576,$B45,MATCH("Impact Rating",'RAID Log'!$1:$1,0)),"")))</f>
        <v/>
      </c>
      <c r="H45" s="85" t="str">
        <f>IF($B45="","",IF(IFERROR(INDEX('RAID Log'!$1:$1048576,$B45,MATCH("Initial Probability",'RAID Log'!$1:$1,0)),"")="","",IFERROR(INDEX('RAID Log'!$1:$1048576,$B45,MATCH("Initial Probability",'RAID Log'!$1:$1,0)),"")))</f>
        <v/>
      </c>
      <c r="I45" s="86" t="str">
        <f t="shared" si="0"/>
        <v/>
      </c>
      <c r="J45" s="85" t="str">
        <f t="shared" si="1"/>
        <v/>
      </c>
      <c r="K45" s="86" t="str">
        <f t="shared" si="2"/>
        <v/>
      </c>
      <c r="L45" s="85" t="str">
        <f>IF($B45="","",IF(IFERROR(INDEX('RAID Log'!$1:$1048576,$B45,MATCH("Status",'RAID Log'!$1:$1,0)),"")="","",IFERROR(INDEX('RAID Log'!$1:$1048576,$B45,MATCH("Status",'RAID Log'!$1:$1,0)),"")))</f>
        <v/>
      </c>
      <c r="M45" s="85" t="str">
        <f>IF($B45="","",IF(IFERROR(INDEX('RAID Log'!$1:$1048576,$B45,MATCH("RAID Owner",'RAID Log'!$1:$1,0)),"")="","",IFERROR(INDEX('RAID Log'!$1:$1048576,$B45,MATCH("RAID Owner",'RAID Log'!$1:$1,0)),"")))</f>
        <v/>
      </c>
      <c r="N45" s="87" t="str">
        <f>IF($B45="","",IF(IFERROR(INDEX('RAID Log'!$1:$1048576,$B45,MATCH("Date Raised",'RAID Log'!$1:$1,0)),"")="","",IFERROR(INDEX('RAID Log'!$1:$1048576,$B45,MATCH("Date Raised",'RAID Log'!$1:$1,0)),"")))</f>
        <v/>
      </c>
      <c r="O45" s="87" t="str">
        <f>IF($B45="","",IF(IFERROR(INDEX('RAID Log'!$1:$1048576,$B45,MATCH("Closed Date",'RAID Log'!$1:$1,0)),"")="","",IFERROR(INDEX('RAID Log'!$1:$1048576,$B45,MATCH("Closed Date",'RAID Log'!$1:$1,0)),"")))</f>
        <v/>
      </c>
      <c r="P45" s="85" t="str">
        <f>IF($B45="","",IF(IFERROR(INDEX('RAID Log'!$1:$1048576,$B45,MATCH("Mitigation Strategy",'RAID Log'!$1:$1,0)),"")="","",IFERROR(INDEX('RAID Log'!$1:$1048576,$B45,MATCH("Mitigation Strategy",'RAID Log'!$1:$1,0)),"")))</f>
        <v/>
      </c>
      <c r="Q45" s="88" t="str">
        <f>IF($B45="","",IF(IFERROR(INDEX('RAID Log'!$1:$1048576,$B45,MATCH("RAID Response/Plan",'RAID Log'!$1:$1,0)),"")="","",IFERROR(INDEX('RAID Log'!$1:$1048576,$B45,MATCH("RAID Response/Plan",'RAID Log'!$1:$1,0)),"")))</f>
        <v/>
      </c>
    </row>
    <row r="46" spans="1:17" ht="15" customHeight="1">
      <c r="A46" s="82" t="str">
        <f>IF($B46="","",IF(IFERROR(INDEX('RAID Log'!$1:$1048576,$B46,MATCH("RAID ID",'RAID Log'!$1:$1,0)),"")="","",IFERROR(INDEX('RAID Log'!$1:$1048576,$B46,MATCH("RAID ID",'RAID Log'!$1:$1,0)),"")))</f>
        <v/>
      </c>
      <c r="B46" s="83" t="str">
        <f>IFERROR(MATCH(ROW()-1,'RAID Log'!$S:$S,0),"")</f>
        <v/>
      </c>
      <c r="C46" s="85" t="str">
        <f>IF($B46="","",IF(IFERROR(INDEX('RAID Log'!$1:$1048576,$B46,MATCH("Description",'RAID Log'!$1:$1,0)),"")="","",IFERROR(INDEX('RAID Log'!$1:$1048576,$B46,MATCH("Description",'RAID Log'!$1:$1,0)),"")))</f>
        <v/>
      </c>
      <c r="D46" s="85" t="str">
        <f>IF($B46="","",IF(IFERROR(INDEX('RAID Log'!$1:$1048576,$B46,MATCH("Impact/Effect of the RAID",'RAID Log'!$1:$1,0)),"")="","",IFERROR(INDEX('RAID Log'!$1:$1048576,$B46,MATCH("Impact/Effect of the RAID",'RAID Log'!$1:$1,0)),"")))</f>
        <v/>
      </c>
      <c r="E46" s="85" t="str">
        <f>IF($B46="","",IF(IFERROR(INDEX('RAID Log'!$1:$1048576,$B46,MATCH("Impact Area",'RAID Log'!$1:$1,0)),"")="","",IFERROR(INDEX('RAID Log'!$1:$1048576,$B46,MATCH("Impact Area",'RAID Log'!$1:$1,0)),"")))</f>
        <v/>
      </c>
      <c r="F46" s="85" t="str">
        <f>IF($B46="","",IF(IFERROR(INDEX('RAID Log'!$1:$1048576,$B46,MATCH("Impact Area",'RAID Log'!$1:$1,0)),"")="","",IFERROR(INDEX('RAID Log'!$1:$1048576,$B46,MATCH("Impact Area",'RAID Log'!$1:$1,0)),"")))</f>
        <v/>
      </c>
      <c r="G46" s="85" t="str">
        <f>IF($B46="","",IF(IFERROR(INDEX('RAID Log'!$1:$1048576,$B46,MATCH("Impact Rating",'RAID Log'!$1:$1,0)),"")="","",IFERROR(INDEX('RAID Log'!$1:$1048576,$B46,MATCH("Impact Rating",'RAID Log'!$1:$1,0)),"")))</f>
        <v/>
      </c>
      <c r="H46" s="85" t="str">
        <f>IF($B46="","",IF(IFERROR(INDEX('RAID Log'!$1:$1048576,$B46,MATCH("Initial Probability",'RAID Log'!$1:$1,0)),"")="","",IFERROR(INDEX('RAID Log'!$1:$1048576,$B46,MATCH("Initial Probability",'RAID Log'!$1:$1,0)),"")))</f>
        <v/>
      </c>
      <c r="I46" s="86" t="str">
        <f t="shared" si="0"/>
        <v/>
      </c>
      <c r="J46" s="85" t="str">
        <f t="shared" si="1"/>
        <v/>
      </c>
      <c r="K46" s="86" t="str">
        <f t="shared" si="2"/>
        <v/>
      </c>
      <c r="L46" s="85" t="str">
        <f>IF($B46="","",IF(IFERROR(INDEX('RAID Log'!$1:$1048576,$B46,MATCH("Status",'RAID Log'!$1:$1,0)),"")="","",IFERROR(INDEX('RAID Log'!$1:$1048576,$B46,MATCH("Status",'RAID Log'!$1:$1,0)),"")))</f>
        <v/>
      </c>
      <c r="M46" s="85" t="str">
        <f>IF($B46="","",IF(IFERROR(INDEX('RAID Log'!$1:$1048576,$B46,MATCH("RAID Owner",'RAID Log'!$1:$1,0)),"")="","",IFERROR(INDEX('RAID Log'!$1:$1048576,$B46,MATCH("RAID Owner",'RAID Log'!$1:$1,0)),"")))</f>
        <v/>
      </c>
      <c r="N46" s="87" t="str">
        <f>IF($B46="","",IF(IFERROR(INDEX('RAID Log'!$1:$1048576,$B46,MATCH("Date Raised",'RAID Log'!$1:$1,0)),"")="","",IFERROR(INDEX('RAID Log'!$1:$1048576,$B46,MATCH("Date Raised",'RAID Log'!$1:$1,0)),"")))</f>
        <v/>
      </c>
      <c r="O46" s="87" t="str">
        <f>IF($B46="","",IF(IFERROR(INDEX('RAID Log'!$1:$1048576,$B46,MATCH("Closed Date",'RAID Log'!$1:$1,0)),"")="","",IFERROR(INDEX('RAID Log'!$1:$1048576,$B46,MATCH("Closed Date",'RAID Log'!$1:$1,0)),"")))</f>
        <v/>
      </c>
      <c r="P46" s="85" t="str">
        <f>IF($B46="","",IF(IFERROR(INDEX('RAID Log'!$1:$1048576,$B46,MATCH("Mitigation Strategy",'RAID Log'!$1:$1,0)),"")="","",IFERROR(INDEX('RAID Log'!$1:$1048576,$B46,MATCH("Mitigation Strategy",'RAID Log'!$1:$1,0)),"")))</f>
        <v/>
      </c>
      <c r="Q46" s="88" t="str">
        <f>IF($B46="","",IF(IFERROR(INDEX('RAID Log'!$1:$1048576,$B46,MATCH("RAID Response/Plan",'RAID Log'!$1:$1,0)),"")="","",IFERROR(INDEX('RAID Log'!$1:$1048576,$B46,MATCH("RAID Response/Plan",'RAID Log'!$1:$1,0)),"")))</f>
        <v/>
      </c>
    </row>
    <row r="47" spans="1:17" ht="15" customHeight="1">
      <c r="A47" s="82" t="str">
        <f>IF($B47="","",IF(IFERROR(INDEX('RAID Log'!$1:$1048576,$B47,MATCH("RAID ID",'RAID Log'!$1:$1,0)),"")="","",IFERROR(INDEX('RAID Log'!$1:$1048576,$B47,MATCH("RAID ID",'RAID Log'!$1:$1,0)),"")))</f>
        <v/>
      </c>
      <c r="B47" s="83" t="str">
        <f>IFERROR(MATCH(ROW()-1,'RAID Log'!$S:$S,0),"")</f>
        <v/>
      </c>
      <c r="C47" s="85" t="str">
        <f>IF($B47="","",IF(IFERROR(INDEX('RAID Log'!$1:$1048576,$B47,MATCH("Description",'RAID Log'!$1:$1,0)),"")="","",IFERROR(INDEX('RAID Log'!$1:$1048576,$B47,MATCH("Description",'RAID Log'!$1:$1,0)),"")))</f>
        <v/>
      </c>
      <c r="D47" s="85" t="str">
        <f>IF($B47="","",IF(IFERROR(INDEX('RAID Log'!$1:$1048576,$B47,MATCH("Impact/Effect of the RAID",'RAID Log'!$1:$1,0)),"")="","",IFERROR(INDEX('RAID Log'!$1:$1048576,$B47,MATCH("Impact/Effect of the RAID",'RAID Log'!$1:$1,0)),"")))</f>
        <v/>
      </c>
      <c r="E47" s="85" t="str">
        <f>IF($B47="","",IF(IFERROR(INDEX('RAID Log'!$1:$1048576,$B47,MATCH("Impact Area",'RAID Log'!$1:$1,0)),"")="","",IFERROR(INDEX('RAID Log'!$1:$1048576,$B47,MATCH("Impact Area",'RAID Log'!$1:$1,0)),"")))</f>
        <v/>
      </c>
      <c r="F47" s="85" t="str">
        <f>IF($B47="","",IF(IFERROR(INDEX('RAID Log'!$1:$1048576,$B47,MATCH("Impact Area",'RAID Log'!$1:$1,0)),"")="","",IFERROR(INDEX('RAID Log'!$1:$1048576,$B47,MATCH("Impact Area",'RAID Log'!$1:$1,0)),"")))</f>
        <v/>
      </c>
      <c r="G47" s="85" t="str">
        <f>IF($B47="","",IF(IFERROR(INDEX('RAID Log'!$1:$1048576,$B47,MATCH("Impact Rating",'RAID Log'!$1:$1,0)),"")="","",IFERROR(INDEX('RAID Log'!$1:$1048576,$B47,MATCH("Impact Rating",'RAID Log'!$1:$1,0)),"")))</f>
        <v/>
      </c>
      <c r="H47" s="85" t="str">
        <f>IF($B47="","",IF(IFERROR(INDEX('RAID Log'!$1:$1048576,$B47,MATCH("Initial Probability",'RAID Log'!$1:$1,0)),"")="","",IFERROR(INDEX('RAID Log'!$1:$1048576,$B47,MATCH("Initial Probability",'RAID Log'!$1:$1,0)),"")))</f>
        <v/>
      </c>
      <c r="I47" s="86" t="str">
        <f t="shared" si="0"/>
        <v/>
      </c>
      <c r="J47" s="85" t="str">
        <f t="shared" si="1"/>
        <v/>
      </c>
      <c r="K47" s="86" t="str">
        <f t="shared" si="2"/>
        <v/>
      </c>
      <c r="L47" s="85" t="str">
        <f>IF($B47="","",IF(IFERROR(INDEX('RAID Log'!$1:$1048576,$B47,MATCH("Status",'RAID Log'!$1:$1,0)),"")="","",IFERROR(INDEX('RAID Log'!$1:$1048576,$B47,MATCH("Status",'RAID Log'!$1:$1,0)),"")))</f>
        <v/>
      </c>
      <c r="M47" s="85" t="str">
        <f>IF($B47="","",IF(IFERROR(INDEX('RAID Log'!$1:$1048576,$B47,MATCH("RAID Owner",'RAID Log'!$1:$1,0)),"")="","",IFERROR(INDEX('RAID Log'!$1:$1048576,$B47,MATCH("RAID Owner",'RAID Log'!$1:$1,0)),"")))</f>
        <v/>
      </c>
      <c r="N47" s="87" t="str">
        <f>IF($B47="","",IF(IFERROR(INDEX('RAID Log'!$1:$1048576,$B47,MATCH("Date Raised",'RAID Log'!$1:$1,0)),"")="","",IFERROR(INDEX('RAID Log'!$1:$1048576,$B47,MATCH("Date Raised",'RAID Log'!$1:$1,0)),"")))</f>
        <v/>
      </c>
      <c r="O47" s="87" t="str">
        <f>IF($B47="","",IF(IFERROR(INDEX('RAID Log'!$1:$1048576,$B47,MATCH("Closed Date",'RAID Log'!$1:$1,0)),"")="","",IFERROR(INDEX('RAID Log'!$1:$1048576,$B47,MATCH("Closed Date",'RAID Log'!$1:$1,0)),"")))</f>
        <v/>
      </c>
      <c r="P47" s="85" t="str">
        <f>IF($B47="","",IF(IFERROR(INDEX('RAID Log'!$1:$1048576,$B47,MATCH("Mitigation Strategy",'RAID Log'!$1:$1,0)),"")="","",IFERROR(INDEX('RAID Log'!$1:$1048576,$B47,MATCH("Mitigation Strategy",'RAID Log'!$1:$1,0)),"")))</f>
        <v/>
      </c>
      <c r="Q47" s="88" t="str">
        <f>IF($B47="","",IF(IFERROR(INDEX('RAID Log'!$1:$1048576,$B47,MATCH("RAID Response/Plan",'RAID Log'!$1:$1,0)),"")="","",IFERROR(INDEX('RAID Log'!$1:$1048576,$B47,MATCH("RAID Response/Plan",'RAID Log'!$1:$1,0)),"")))</f>
        <v/>
      </c>
    </row>
    <row r="48" spans="1:17" ht="15" customHeight="1">
      <c r="A48" s="82" t="str">
        <f>IF($B48="","",IF(IFERROR(INDEX('RAID Log'!$1:$1048576,$B48,MATCH("RAID ID",'RAID Log'!$1:$1,0)),"")="","",IFERROR(INDEX('RAID Log'!$1:$1048576,$B48,MATCH("RAID ID",'RAID Log'!$1:$1,0)),"")))</f>
        <v/>
      </c>
      <c r="B48" s="83" t="str">
        <f>IFERROR(MATCH(ROW()-1,'RAID Log'!$S:$S,0),"")</f>
        <v/>
      </c>
      <c r="C48" s="85" t="str">
        <f>IF($B48="","",IF(IFERROR(INDEX('RAID Log'!$1:$1048576,$B48,MATCH("Description",'RAID Log'!$1:$1,0)),"")="","",IFERROR(INDEX('RAID Log'!$1:$1048576,$B48,MATCH("Description",'RAID Log'!$1:$1,0)),"")))</f>
        <v/>
      </c>
      <c r="D48" s="85" t="str">
        <f>IF($B48="","",IF(IFERROR(INDEX('RAID Log'!$1:$1048576,$B48,MATCH("Impact/Effect of the RAID",'RAID Log'!$1:$1,0)),"")="","",IFERROR(INDEX('RAID Log'!$1:$1048576,$B48,MATCH("Impact/Effect of the RAID",'RAID Log'!$1:$1,0)),"")))</f>
        <v/>
      </c>
      <c r="E48" s="85" t="str">
        <f>IF($B48="","",IF(IFERROR(INDEX('RAID Log'!$1:$1048576,$B48,MATCH("Impact Area",'RAID Log'!$1:$1,0)),"")="","",IFERROR(INDEX('RAID Log'!$1:$1048576,$B48,MATCH("Impact Area",'RAID Log'!$1:$1,0)),"")))</f>
        <v/>
      </c>
      <c r="F48" s="85" t="str">
        <f>IF($B48="","",IF(IFERROR(INDEX('RAID Log'!$1:$1048576,$B48,MATCH("Impact Area",'RAID Log'!$1:$1,0)),"")="","",IFERROR(INDEX('RAID Log'!$1:$1048576,$B48,MATCH("Impact Area",'RAID Log'!$1:$1,0)),"")))</f>
        <v/>
      </c>
      <c r="G48" s="85" t="str">
        <f>IF($B48="","",IF(IFERROR(INDEX('RAID Log'!$1:$1048576,$B48,MATCH("Impact Rating",'RAID Log'!$1:$1,0)),"")="","",IFERROR(INDEX('RAID Log'!$1:$1048576,$B48,MATCH("Impact Rating",'RAID Log'!$1:$1,0)),"")))</f>
        <v/>
      </c>
      <c r="H48" s="85" t="str">
        <f>IF($B48="","",IF(IFERROR(INDEX('RAID Log'!$1:$1048576,$B48,MATCH("Initial Probability",'RAID Log'!$1:$1,0)),"")="","",IFERROR(INDEX('RAID Log'!$1:$1048576,$B48,MATCH("Initial Probability",'RAID Log'!$1:$1,0)),"")))</f>
        <v/>
      </c>
      <c r="I48" s="86" t="str">
        <f t="shared" si="0"/>
        <v/>
      </c>
      <c r="J48" s="85" t="str">
        <f t="shared" si="1"/>
        <v/>
      </c>
      <c r="K48" s="86" t="str">
        <f t="shared" si="2"/>
        <v/>
      </c>
      <c r="L48" s="85" t="str">
        <f>IF($B48="","",IF(IFERROR(INDEX('RAID Log'!$1:$1048576,$B48,MATCH("Status",'RAID Log'!$1:$1,0)),"")="","",IFERROR(INDEX('RAID Log'!$1:$1048576,$B48,MATCH("Status",'RAID Log'!$1:$1,0)),"")))</f>
        <v/>
      </c>
      <c r="M48" s="85" t="str">
        <f>IF($B48="","",IF(IFERROR(INDEX('RAID Log'!$1:$1048576,$B48,MATCH("RAID Owner",'RAID Log'!$1:$1,0)),"")="","",IFERROR(INDEX('RAID Log'!$1:$1048576,$B48,MATCH("RAID Owner",'RAID Log'!$1:$1,0)),"")))</f>
        <v/>
      </c>
      <c r="N48" s="87" t="str">
        <f>IF($B48="","",IF(IFERROR(INDEX('RAID Log'!$1:$1048576,$B48,MATCH("Date Raised",'RAID Log'!$1:$1,0)),"")="","",IFERROR(INDEX('RAID Log'!$1:$1048576,$B48,MATCH("Date Raised",'RAID Log'!$1:$1,0)),"")))</f>
        <v/>
      </c>
      <c r="O48" s="87" t="str">
        <f>IF($B48="","",IF(IFERROR(INDEX('RAID Log'!$1:$1048576,$B48,MATCH("Closed Date",'RAID Log'!$1:$1,0)),"")="","",IFERROR(INDEX('RAID Log'!$1:$1048576,$B48,MATCH("Closed Date",'RAID Log'!$1:$1,0)),"")))</f>
        <v/>
      </c>
      <c r="P48" s="85" t="str">
        <f>IF($B48="","",IF(IFERROR(INDEX('RAID Log'!$1:$1048576,$B48,MATCH("Mitigation Strategy",'RAID Log'!$1:$1,0)),"")="","",IFERROR(INDEX('RAID Log'!$1:$1048576,$B48,MATCH("Mitigation Strategy",'RAID Log'!$1:$1,0)),"")))</f>
        <v/>
      </c>
      <c r="Q48" s="88" t="str">
        <f>IF($B48="","",IF(IFERROR(INDEX('RAID Log'!$1:$1048576,$B48,MATCH("RAID Response/Plan",'RAID Log'!$1:$1,0)),"")="","",IFERROR(INDEX('RAID Log'!$1:$1048576,$B48,MATCH("RAID Response/Plan",'RAID Log'!$1:$1,0)),"")))</f>
        <v/>
      </c>
    </row>
    <row r="49" spans="1:17" ht="15" customHeight="1">
      <c r="A49" s="82" t="str">
        <f>IF($B49="","",IF(IFERROR(INDEX('RAID Log'!$1:$1048576,$B49,MATCH("RAID ID",'RAID Log'!$1:$1,0)),"")="","",IFERROR(INDEX('RAID Log'!$1:$1048576,$B49,MATCH("RAID ID",'RAID Log'!$1:$1,0)),"")))</f>
        <v/>
      </c>
      <c r="B49" s="83" t="str">
        <f>IFERROR(MATCH(ROW()-1,'RAID Log'!$S:$S,0),"")</f>
        <v/>
      </c>
      <c r="C49" s="85" t="str">
        <f>IF($B49="","",IF(IFERROR(INDEX('RAID Log'!$1:$1048576,$B49,MATCH("Description",'RAID Log'!$1:$1,0)),"")="","",IFERROR(INDEX('RAID Log'!$1:$1048576,$B49,MATCH("Description",'RAID Log'!$1:$1,0)),"")))</f>
        <v/>
      </c>
      <c r="D49" s="85" t="str">
        <f>IF($B49="","",IF(IFERROR(INDEX('RAID Log'!$1:$1048576,$B49,MATCH("Impact/Effect of the RAID",'RAID Log'!$1:$1,0)),"")="","",IFERROR(INDEX('RAID Log'!$1:$1048576,$B49,MATCH("Impact/Effect of the RAID",'RAID Log'!$1:$1,0)),"")))</f>
        <v/>
      </c>
      <c r="E49" s="85" t="str">
        <f>IF($B49="","",IF(IFERROR(INDEX('RAID Log'!$1:$1048576,$B49,MATCH("Impact Area",'RAID Log'!$1:$1,0)),"")="","",IFERROR(INDEX('RAID Log'!$1:$1048576,$B49,MATCH("Impact Area",'RAID Log'!$1:$1,0)),"")))</f>
        <v/>
      </c>
      <c r="F49" s="85" t="str">
        <f>IF($B49="","",IF(IFERROR(INDEX('RAID Log'!$1:$1048576,$B49,MATCH("Impact Area",'RAID Log'!$1:$1,0)),"")="","",IFERROR(INDEX('RAID Log'!$1:$1048576,$B49,MATCH("Impact Area",'RAID Log'!$1:$1,0)),"")))</f>
        <v/>
      </c>
      <c r="G49" s="85" t="str">
        <f>IF($B49="","",IF(IFERROR(INDEX('RAID Log'!$1:$1048576,$B49,MATCH("Impact Rating",'RAID Log'!$1:$1,0)),"")="","",IFERROR(INDEX('RAID Log'!$1:$1048576,$B49,MATCH("Impact Rating",'RAID Log'!$1:$1,0)),"")))</f>
        <v/>
      </c>
      <c r="H49" s="85" t="str">
        <f>IF($B49="","",IF(IFERROR(INDEX('RAID Log'!$1:$1048576,$B49,MATCH("Initial Probability",'RAID Log'!$1:$1,0)),"")="","",IFERROR(INDEX('RAID Log'!$1:$1048576,$B49,MATCH("Initial Probability",'RAID Log'!$1:$1,0)),"")))</f>
        <v/>
      </c>
      <c r="I49" s="86" t="str">
        <f t="shared" si="0"/>
        <v/>
      </c>
      <c r="J49" s="85" t="str">
        <f t="shared" si="1"/>
        <v/>
      </c>
      <c r="K49" s="86" t="str">
        <f t="shared" si="2"/>
        <v/>
      </c>
      <c r="L49" s="85" t="str">
        <f>IF($B49="","",IF(IFERROR(INDEX('RAID Log'!$1:$1048576,$B49,MATCH("Status",'RAID Log'!$1:$1,0)),"")="","",IFERROR(INDEX('RAID Log'!$1:$1048576,$B49,MATCH("Status",'RAID Log'!$1:$1,0)),"")))</f>
        <v/>
      </c>
      <c r="M49" s="85" t="str">
        <f>IF($B49="","",IF(IFERROR(INDEX('RAID Log'!$1:$1048576,$B49,MATCH("RAID Owner",'RAID Log'!$1:$1,0)),"")="","",IFERROR(INDEX('RAID Log'!$1:$1048576,$B49,MATCH("RAID Owner",'RAID Log'!$1:$1,0)),"")))</f>
        <v/>
      </c>
      <c r="N49" s="87" t="str">
        <f>IF($B49="","",IF(IFERROR(INDEX('RAID Log'!$1:$1048576,$B49,MATCH("Date Raised",'RAID Log'!$1:$1,0)),"")="","",IFERROR(INDEX('RAID Log'!$1:$1048576,$B49,MATCH("Date Raised",'RAID Log'!$1:$1,0)),"")))</f>
        <v/>
      </c>
      <c r="O49" s="87" t="str">
        <f>IF($B49="","",IF(IFERROR(INDEX('RAID Log'!$1:$1048576,$B49,MATCH("Closed Date",'RAID Log'!$1:$1,0)),"")="","",IFERROR(INDEX('RAID Log'!$1:$1048576,$B49,MATCH("Closed Date",'RAID Log'!$1:$1,0)),"")))</f>
        <v/>
      </c>
      <c r="P49" s="85" t="str">
        <f>IF($B49="","",IF(IFERROR(INDEX('RAID Log'!$1:$1048576,$B49,MATCH("Mitigation Strategy",'RAID Log'!$1:$1,0)),"")="","",IFERROR(INDEX('RAID Log'!$1:$1048576,$B49,MATCH("Mitigation Strategy",'RAID Log'!$1:$1,0)),"")))</f>
        <v/>
      </c>
      <c r="Q49" s="88" t="str">
        <f>IF($B49="","",IF(IFERROR(INDEX('RAID Log'!$1:$1048576,$B49,MATCH("RAID Response/Plan",'RAID Log'!$1:$1,0)),"")="","",IFERROR(INDEX('RAID Log'!$1:$1048576,$B49,MATCH("RAID Response/Plan",'RAID Log'!$1:$1,0)),"")))</f>
        <v/>
      </c>
    </row>
    <row r="50" spans="1:17" ht="15" customHeight="1">
      <c r="A50" s="82" t="str">
        <f>IF($B50="","",IF(IFERROR(INDEX('RAID Log'!$1:$1048576,$B50,MATCH("RAID ID",'RAID Log'!$1:$1,0)),"")="","",IFERROR(INDEX('RAID Log'!$1:$1048576,$B50,MATCH("RAID ID",'RAID Log'!$1:$1,0)),"")))</f>
        <v/>
      </c>
      <c r="B50" s="83" t="str">
        <f>IFERROR(MATCH(ROW()-1,'RAID Log'!$S:$S,0),"")</f>
        <v/>
      </c>
      <c r="C50" s="85" t="str">
        <f>IF($B50="","",IF(IFERROR(INDEX('RAID Log'!$1:$1048576,$B50,MATCH("Description",'RAID Log'!$1:$1,0)),"")="","",IFERROR(INDEX('RAID Log'!$1:$1048576,$B50,MATCH("Description",'RAID Log'!$1:$1,0)),"")))</f>
        <v/>
      </c>
      <c r="D50" s="85" t="str">
        <f>IF($B50="","",IF(IFERROR(INDEX('RAID Log'!$1:$1048576,$B50,MATCH("Impact/Effect of the RAID",'RAID Log'!$1:$1,0)),"")="","",IFERROR(INDEX('RAID Log'!$1:$1048576,$B50,MATCH("Impact/Effect of the RAID",'RAID Log'!$1:$1,0)),"")))</f>
        <v/>
      </c>
      <c r="E50" s="85" t="str">
        <f>IF($B50="","",IF(IFERROR(INDEX('RAID Log'!$1:$1048576,$B50,MATCH("Impact Area",'RAID Log'!$1:$1,0)),"")="","",IFERROR(INDEX('RAID Log'!$1:$1048576,$B50,MATCH("Impact Area",'RAID Log'!$1:$1,0)),"")))</f>
        <v/>
      </c>
      <c r="F50" s="85" t="str">
        <f>IF($B50="","",IF(IFERROR(INDEX('RAID Log'!$1:$1048576,$B50,MATCH("Impact Area",'RAID Log'!$1:$1,0)),"")="","",IFERROR(INDEX('RAID Log'!$1:$1048576,$B50,MATCH("Impact Area",'RAID Log'!$1:$1,0)),"")))</f>
        <v/>
      </c>
      <c r="G50" s="85" t="str">
        <f>IF($B50="","",IF(IFERROR(INDEX('RAID Log'!$1:$1048576,$B50,MATCH("Impact Rating",'RAID Log'!$1:$1,0)),"")="","",IFERROR(INDEX('RAID Log'!$1:$1048576,$B50,MATCH("Impact Rating",'RAID Log'!$1:$1,0)),"")))</f>
        <v/>
      </c>
      <c r="H50" s="85" t="str">
        <f>IF($B50="","",IF(IFERROR(INDEX('RAID Log'!$1:$1048576,$B50,MATCH("Initial Probability",'RAID Log'!$1:$1,0)),"")="","",IFERROR(INDEX('RAID Log'!$1:$1048576,$B50,MATCH("Initial Probability",'RAID Log'!$1:$1,0)),"")))</f>
        <v/>
      </c>
      <c r="I50" s="86" t="str">
        <f t="shared" si="0"/>
        <v/>
      </c>
      <c r="J50" s="85" t="str">
        <f t="shared" si="1"/>
        <v/>
      </c>
      <c r="K50" s="86" t="str">
        <f t="shared" si="2"/>
        <v/>
      </c>
      <c r="L50" s="85" t="str">
        <f>IF($B50="","",IF(IFERROR(INDEX('RAID Log'!$1:$1048576,$B50,MATCH("Status",'RAID Log'!$1:$1,0)),"")="","",IFERROR(INDEX('RAID Log'!$1:$1048576,$B50,MATCH("Status",'RAID Log'!$1:$1,0)),"")))</f>
        <v/>
      </c>
      <c r="M50" s="85" t="str">
        <f>IF($B50="","",IF(IFERROR(INDEX('RAID Log'!$1:$1048576,$B50,MATCH("RAID Owner",'RAID Log'!$1:$1,0)),"")="","",IFERROR(INDEX('RAID Log'!$1:$1048576,$B50,MATCH("RAID Owner",'RAID Log'!$1:$1,0)),"")))</f>
        <v/>
      </c>
      <c r="N50" s="87" t="str">
        <f>IF($B50="","",IF(IFERROR(INDEX('RAID Log'!$1:$1048576,$B50,MATCH("Date Raised",'RAID Log'!$1:$1,0)),"")="","",IFERROR(INDEX('RAID Log'!$1:$1048576,$B50,MATCH("Date Raised",'RAID Log'!$1:$1,0)),"")))</f>
        <v/>
      </c>
      <c r="O50" s="87" t="str">
        <f>IF($B50="","",IF(IFERROR(INDEX('RAID Log'!$1:$1048576,$B50,MATCH("Closed Date",'RAID Log'!$1:$1,0)),"")="","",IFERROR(INDEX('RAID Log'!$1:$1048576,$B50,MATCH("Closed Date",'RAID Log'!$1:$1,0)),"")))</f>
        <v/>
      </c>
      <c r="P50" s="85" t="str">
        <f>IF($B50="","",IF(IFERROR(INDEX('RAID Log'!$1:$1048576,$B50,MATCH("Mitigation Strategy",'RAID Log'!$1:$1,0)),"")="","",IFERROR(INDEX('RAID Log'!$1:$1048576,$B50,MATCH("Mitigation Strategy",'RAID Log'!$1:$1,0)),"")))</f>
        <v/>
      </c>
      <c r="Q50" s="88" t="str">
        <f>IF($B50="","",IF(IFERROR(INDEX('RAID Log'!$1:$1048576,$B50,MATCH("RAID Response/Plan",'RAID Log'!$1:$1,0)),"")="","",IFERROR(INDEX('RAID Log'!$1:$1048576,$B50,MATCH("RAID Response/Plan",'RAID Log'!$1:$1,0)),"")))</f>
        <v/>
      </c>
    </row>
    <row r="51" spans="1:17" ht="15" customHeight="1">
      <c r="A51" s="82" t="str">
        <f>IF($B51="","",IF(IFERROR(INDEX('RAID Log'!$1:$1048576,$B51,MATCH("RAID ID",'RAID Log'!$1:$1,0)),"")="","",IFERROR(INDEX('RAID Log'!$1:$1048576,$B51,MATCH("RAID ID",'RAID Log'!$1:$1,0)),"")))</f>
        <v/>
      </c>
      <c r="B51" s="83" t="str">
        <f>IFERROR(MATCH(ROW()-1,'RAID Log'!$S:$S,0),"")</f>
        <v/>
      </c>
      <c r="C51" s="85" t="str">
        <f>IF($B51="","",IF(IFERROR(INDEX('RAID Log'!$1:$1048576,$B51,MATCH("Description",'RAID Log'!$1:$1,0)),"")="","",IFERROR(INDEX('RAID Log'!$1:$1048576,$B51,MATCH("Description",'RAID Log'!$1:$1,0)),"")))</f>
        <v/>
      </c>
      <c r="D51" s="85" t="str">
        <f>IF($B51="","",IF(IFERROR(INDEX('RAID Log'!$1:$1048576,$B51,MATCH("Impact/Effect of the RAID",'RAID Log'!$1:$1,0)),"")="","",IFERROR(INDEX('RAID Log'!$1:$1048576,$B51,MATCH("Impact/Effect of the RAID",'RAID Log'!$1:$1,0)),"")))</f>
        <v/>
      </c>
      <c r="E51" s="85" t="str">
        <f>IF($B51="","",IF(IFERROR(INDEX('RAID Log'!$1:$1048576,$B51,MATCH("Impact Area",'RAID Log'!$1:$1,0)),"")="","",IFERROR(INDEX('RAID Log'!$1:$1048576,$B51,MATCH("Impact Area",'RAID Log'!$1:$1,0)),"")))</f>
        <v/>
      </c>
      <c r="F51" s="85" t="str">
        <f>IF($B51="","",IF(IFERROR(INDEX('RAID Log'!$1:$1048576,$B51,MATCH("Impact Area",'RAID Log'!$1:$1,0)),"")="","",IFERROR(INDEX('RAID Log'!$1:$1048576,$B51,MATCH("Impact Area",'RAID Log'!$1:$1,0)),"")))</f>
        <v/>
      </c>
      <c r="G51" s="85" t="str">
        <f>IF($B51="","",IF(IFERROR(INDEX('RAID Log'!$1:$1048576,$B51,MATCH("Impact Rating",'RAID Log'!$1:$1,0)),"")="","",IFERROR(INDEX('RAID Log'!$1:$1048576,$B51,MATCH("Impact Rating",'RAID Log'!$1:$1,0)),"")))</f>
        <v/>
      </c>
      <c r="H51" s="85" t="str">
        <f>IF($B51="","",IF(IFERROR(INDEX('RAID Log'!$1:$1048576,$B51,MATCH("Initial Probability",'RAID Log'!$1:$1,0)),"")="","",IFERROR(INDEX('RAID Log'!$1:$1048576,$B51,MATCH("Initial Probability",'RAID Log'!$1:$1,0)),"")))</f>
        <v/>
      </c>
      <c r="I51" s="86" t="str">
        <f t="shared" si="0"/>
        <v/>
      </c>
      <c r="J51" s="85" t="str">
        <f t="shared" si="1"/>
        <v/>
      </c>
      <c r="K51" s="86" t="str">
        <f t="shared" si="2"/>
        <v/>
      </c>
      <c r="L51" s="85" t="str">
        <f>IF($B51="","",IF(IFERROR(INDEX('RAID Log'!$1:$1048576,$B51,MATCH("Status",'RAID Log'!$1:$1,0)),"")="","",IFERROR(INDEX('RAID Log'!$1:$1048576,$B51,MATCH("Status",'RAID Log'!$1:$1,0)),"")))</f>
        <v/>
      </c>
      <c r="M51" s="85" t="str">
        <f>IF($B51="","",IF(IFERROR(INDEX('RAID Log'!$1:$1048576,$B51,MATCH("RAID Owner",'RAID Log'!$1:$1,0)),"")="","",IFERROR(INDEX('RAID Log'!$1:$1048576,$B51,MATCH("RAID Owner",'RAID Log'!$1:$1,0)),"")))</f>
        <v/>
      </c>
      <c r="N51" s="87" t="str">
        <f>IF($B51="","",IF(IFERROR(INDEX('RAID Log'!$1:$1048576,$B51,MATCH("Date Raised",'RAID Log'!$1:$1,0)),"")="","",IFERROR(INDEX('RAID Log'!$1:$1048576,$B51,MATCH("Date Raised",'RAID Log'!$1:$1,0)),"")))</f>
        <v/>
      </c>
      <c r="O51" s="87" t="str">
        <f>IF($B51="","",IF(IFERROR(INDEX('RAID Log'!$1:$1048576,$B51,MATCH("Closed Date",'RAID Log'!$1:$1,0)),"")="","",IFERROR(INDEX('RAID Log'!$1:$1048576,$B51,MATCH("Closed Date",'RAID Log'!$1:$1,0)),"")))</f>
        <v/>
      </c>
      <c r="P51" s="85" t="str">
        <f>IF($B51="","",IF(IFERROR(INDEX('RAID Log'!$1:$1048576,$B51,MATCH("Mitigation Strategy",'RAID Log'!$1:$1,0)),"")="","",IFERROR(INDEX('RAID Log'!$1:$1048576,$B51,MATCH("Mitigation Strategy",'RAID Log'!$1:$1,0)),"")))</f>
        <v/>
      </c>
      <c r="Q51" s="88" t="str">
        <f>IF($B51="","",IF(IFERROR(INDEX('RAID Log'!$1:$1048576,$B51,MATCH("RAID Response/Plan",'RAID Log'!$1:$1,0)),"")="","",IFERROR(INDEX('RAID Log'!$1:$1048576,$B51,MATCH("RAID Response/Plan",'RAID Log'!$1:$1,0)),"")))</f>
        <v/>
      </c>
    </row>
    <row r="52" spans="1:17" ht="15" customHeight="1">
      <c r="A52" s="82" t="str">
        <f>IF($B52="","",IF(IFERROR(INDEX('RAID Log'!$1:$1048576,$B52,MATCH("RAID ID",'RAID Log'!$1:$1,0)),"")="","",IFERROR(INDEX('RAID Log'!$1:$1048576,$B52,MATCH("RAID ID",'RAID Log'!$1:$1,0)),"")))</f>
        <v/>
      </c>
      <c r="B52" s="83" t="str">
        <f>IFERROR(MATCH(ROW()-1,'RAID Log'!$S:$S,0),"")</f>
        <v/>
      </c>
      <c r="C52" s="85" t="str">
        <f>IF($B52="","",IF(IFERROR(INDEX('RAID Log'!$1:$1048576,$B52,MATCH("Description",'RAID Log'!$1:$1,0)),"")="","",IFERROR(INDEX('RAID Log'!$1:$1048576,$B52,MATCH("Description",'RAID Log'!$1:$1,0)),"")))</f>
        <v/>
      </c>
      <c r="D52" s="85" t="str">
        <f>IF($B52="","",IF(IFERROR(INDEX('RAID Log'!$1:$1048576,$B52,MATCH("Impact/Effect of the RAID",'RAID Log'!$1:$1,0)),"")="","",IFERROR(INDEX('RAID Log'!$1:$1048576,$B52,MATCH("Impact/Effect of the RAID",'RAID Log'!$1:$1,0)),"")))</f>
        <v/>
      </c>
      <c r="E52" s="85" t="str">
        <f>IF($B52="","",IF(IFERROR(INDEX('RAID Log'!$1:$1048576,$B52,MATCH("Impact Area",'RAID Log'!$1:$1,0)),"")="","",IFERROR(INDEX('RAID Log'!$1:$1048576,$B52,MATCH("Impact Area",'RAID Log'!$1:$1,0)),"")))</f>
        <v/>
      </c>
      <c r="F52" s="85" t="str">
        <f>IF($B52="","",IF(IFERROR(INDEX('RAID Log'!$1:$1048576,$B52,MATCH("Impact Area",'RAID Log'!$1:$1,0)),"")="","",IFERROR(INDEX('RAID Log'!$1:$1048576,$B52,MATCH("Impact Area",'RAID Log'!$1:$1,0)),"")))</f>
        <v/>
      </c>
      <c r="G52" s="85" t="str">
        <f>IF($B52="","",IF(IFERROR(INDEX('RAID Log'!$1:$1048576,$B52,MATCH("Impact Rating",'RAID Log'!$1:$1,0)),"")="","",IFERROR(INDEX('RAID Log'!$1:$1048576,$B52,MATCH("Impact Rating",'RAID Log'!$1:$1,0)),"")))</f>
        <v/>
      </c>
      <c r="H52" s="85" t="str">
        <f>IF($B52="","",IF(IFERROR(INDEX('RAID Log'!$1:$1048576,$B52,MATCH("Initial Probability",'RAID Log'!$1:$1,0)),"")="","",IFERROR(INDEX('RAID Log'!$1:$1048576,$B52,MATCH("Initial Probability",'RAID Log'!$1:$1,0)),"")))</f>
        <v/>
      </c>
      <c r="I52" s="86" t="str">
        <f t="shared" si="0"/>
        <v/>
      </c>
      <c r="J52" s="85" t="str">
        <f t="shared" si="1"/>
        <v/>
      </c>
      <c r="K52" s="86" t="str">
        <f t="shared" si="2"/>
        <v/>
      </c>
      <c r="L52" s="85" t="str">
        <f>IF($B52="","",IF(IFERROR(INDEX('RAID Log'!$1:$1048576,$B52,MATCH("Status",'RAID Log'!$1:$1,0)),"")="","",IFERROR(INDEX('RAID Log'!$1:$1048576,$B52,MATCH("Status",'RAID Log'!$1:$1,0)),"")))</f>
        <v/>
      </c>
      <c r="M52" s="85" t="str">
        <f>IF($B52="","",IF(IFERROR(INDEX('RAID Log'!$1:$1048576,$B52,MATCH("RAID Owner",'RAID Log'!$1:$1,0)),"")="","",IFERROR(INDEX('RAID Log'!$1:$1048576,$B52,MATCH("RAID Owner",'RAID Log'!$1:$1,0)),"")))</f>
        <v/>
      </c>
      <c r="N52" s="87" t="str">
        <f>IF($B52="","",IF(IFERROR(INDEX('RAID Log'!$1:$1048576,$B52,MATCH("Date Raised",'RAID Log'!$1:$1,0)),"")="","",IFERROR(INDEX('RAID Log'!$1:$1048576,$B52,MATCH("Date Raised",'RAID Log'!$1:$1,0)),"")))</f>
        <v/>
      </c>
      <c r="O52" s="87" t="str">
        <f>IF($B52="","",IF(IFERROR(INDEX('RAID Log'!$1:$1048576,$B52,MATCH("Closed Date",'RAID Log'!$1:$1,0)),"")="","",IFERROR(INDEX('RAID Log'!$1:$1048576,$B52,MATCH("Closed Date",'RAID Log'!$1:$1,0)),"")))</f>
        <v/>
      </c>
      <c r="P52" s="85" t="str">
        <f>IF($B52="","",IF(IFERROR(INDEX('RAID Log'!$1:$1048576,$B52,MATCH("Mitigation Strategy",'RAID Log'!$1:$1,0)),"")="","",IFERROR(INDEX('RAID Log'!$1:$1048576,$B52,MATCH("Mitigation Strategy",'RAID Log'!$1:$1,0)),"")))</f>
        <v/>
      </c>
      <c r="Q52" s="88" t="str">
        <f>IF($B52="","",IF(IFERROR(INDEX('RAID Log'!$1:$1048576,$B52,MATCH("RAID Response/Plan",'RAID Log'!$1:$1,0)),"")="","",IFERROR(INDEX('RAID Log'!$1:$1048576,$B52,MATCH("RAID Response/Plan",'RAID Log'!$1:$1,0)),"")))</f>
        <v/>
      </c>
    </row>
    <row r="53" spans="1:17" ht="15" customHeight="1">
      <c r="A53" s="91" t="str">
        <f>IF($B53="","",IF(IFERROR(INDEX('RAID Log'!$1:$1048576,$B53,MATCH("RAID ID",'RAID Log'!$1:$1,0)),"")="","",IFERROR(INDEX('RAID Log'!$1:$1048576,$B53,MATCH("RAID ID",'RAID Log'!$1:$1,0)),"")))</f>
        <v/>
      </c>
      <c r="B53" t="str">
        <f>IFERROR(MATCH(ROW()-1,'RAID Log'!$S:$S,0),"")</f>
        <v/>
      </c>
      <c r="C53" s="72" t="str">
        <f>IF($B53="","",IF(IFERROR(INDEX('RAID Log'!$1:$1048576,$B53,MATCH("Description",'RAID Log'!$1:$1,0)),"")="","",IFERROR(INDEX('RAID Log'!$1:$1048576,$B53,MATCH("Description",'RAID Log'!$1:$1,0)),"")))</f>
        <v/>
      </c>
      <c r="D53" s="72" t="str">
        <f>IF($B53="","",IF(IFERROR(INDEX('RAID Log'!$1:$1048576,$B53,MATCH("Impact/Effect of the RAID",'RAID Log'!$1:$1,0)),"")="","",IFERROR(INDEX('RAID Log'!$1:$1048576,$B53,MATCH("Impact/Effect of the RAID",'RAID Log'!$1:$1,0)),"")))</f>
        <v/>
      </c>
      <c r="E53" s="72" t="str">
        <f>IF($B53="","",IF(IFERROR(INDEX('RAID Log'!$1:$1048576,$B53,MATCH("Impact Area",'RAID Log'!$1:$1,0)),"")="","",IFERROR(INDEX('RAID Log'!$1:$1048576,$B53,MATCH("Impact Area",'RAID Log'!$1:$1,0)),"")))</f>
        <v/>
      </c>
      <c r="F53" t="str">
        <f>IF($B53="","",IF(IFERROR(INDEX('RAID Log'!$1:$1048576,$B53,MATCH("Impact Area",'RAID Log'!$1:$1,0)),"")="","",IFERROR(INDEX('RAID Log'!$1:$1048576,$B53,MATCH("Impact Area",'RAID Log'!$1:$1,0)),"")))</f>
        <v/>
      </c>
      <c r="G53" t="str">
        <f>IF($B53="","",IF(IFERROR(INDEX('RAID Log'!$1:$1048576,$B53,MATCH("Impact Rating",'RAID Log'!$1:$1,0)),"")="","",IFERROR(INDEX('RAID Log'!$1:$1048576,$B53,MATCH("Impact Rating",'RAID Log'!$1:$1,0)),"")))</f>
        <v/>
      </c>
      <c r="H53" t="str">
        <f>IF($B53="","",IF(IFERROR(INDEX('RAID Log'!$1:$1048576,$B53,MATCH("Initial Probability",'RAID Log'!$1:$1,0)),"")="","",IFERROR(INDEX('RAID Log'!$1:$1048576,$B53,MATCH("Initial Probability",'RAID Log'!$1:$1,0)),"")))</f>
        <v/>
      </c>
      <c r="I53" s="91" t="str">
        <f t="shared" si="0"/>
        <v/>
      </c>
      <c r="J53" t="str">
        <f t="shared" si="1"/>
        <v/>
      </c>
      <c r="K53" s="91" t="str">
        <f t="shared" si="2"/>
        <v/>
      </c>
      <c r="L53" t="str">
        <f>IF($B53="","",IF(IFERROR(INDEX('RAID Log'!$1:$1048576,$B53,MATCH("Status",'RAID Log'!$1:$1,0)),"")="","",IFERROR(INDEX('RAID Log'!$1:$1048576,$B53,MATCH("Status",'RAID Log'!$1:$1,0)),"")))</f>
        <v/>
      </c>
      <c r="M53" s="73" t="str">
        <f>IF($B53="","",IF(IFERROR(INDEX('RAID Log'!$1:$1048576,$B53,MATCH("RAID Owner",'RAID Log'!$1:$1,0)),"")="","",IFERROR(INDEX('RAID Log'!$1:$1048576,$B53,MATCH("RAID Owner",'RAID Log'!$1:$1,0)),"")))</f>
        <v/>
      </c>
      <c r="N53" s="92" t="str">
        <f>IF($B53="","",IF(IFERROR(INDEX('RAID Log'!$1:$1048576,$B53,MATCH("Date Raised",'RAID Log'!$1:$1,0)),"")="","",IFERROR(INDEX('RAID Log'!$1:$1048576,$B53,MATCH("Date Raised",'RAID Log'!$1:$1,0)),"")))</f>
        <v/>
      </c>
      <c r="O53" s="92" t="str">
        <f>IF($B53="","",IF(IFERROR(INDEX('RAID Log'!$1:$1048576,$B53,MATCH("Closed Date",'RAID Log'!$1:$1,0)),"")="","",IFERROR(INDEX('RAID Log'!$1:$1048576,$B53,MATCH("Closed Date",'RAID Log'!$1:$1,0)),"")))</f>
        <v/>
      </c>
      <c r="P53" s="73" t="str">
        <f>IF($B53="","",IF(IFERROR(INDEX('RAID Log'!$1:$1048576,$B53,MATCH("Mitigation Strategy",'RAID Log'!$1:$1,0)),"")="","",IFERROR(INDEX('RAID Log'!$1:$1048576,$B53,MATCH("Mitigation Strategy",'RAID Log'!$1:$1,0)),"")))</f>
        <v/>
      </c>
      <c r="Q53" t="str">
        <f>IF($B53="","",IF(IFERROR(INDEX('RAID Log'!$1:$1048576,$B53,MATCH("RAID Response/Plan",'RAID Log'!$1:$1,0)),"")="","",IFERROR(INDEX('RAID Log'!$1:$1048576,$B53,MATCH("RAID Response/Plan",'RAID Log'!$1:$1,0)),"")))</f>
        <v/>
      </c>
    </row>
    <row r="54" spans="1:17" ht="12.75" customHeight="1">
      <c r="A54" s="91" t="str">
        <f>IF($B54="","",IF(IFERROR(INDEX('RAID Log'!$1:$1048576,$B54,MATCH("RAID ID",'RAID Log'!$1:$1,0)),"")="","",IFERROR(INDEX('RAID Log'!$1:$1048576,$B54,MATCH("RAID ID",'RAID Log'!$1:$1,0)),"")))</f>
        <v/>
      </c>
      <c r="B54" t="str">
        <f>IFERROR(MATCH(ROW()-1,'RAID Log'!$S:$S,0),"")</f>
        <v/>
      </c>
      <c r="C54" s="72" t="str">
        <f>IF($B54="","",IF(IFERROR(INDEX('RAID Log'!$1:$1048576,$B54,MATCH("Description",'RAID Log'!$1:$1,0)),"")="","",IFERROR(INDEX('RAID Log'!$1:$1048576,$B54,MATCH("Description",'RAID Log'!$1:$1,0)),"")))</f>
        <v/>
      </c>
      <c r="D54" s="72" t="str">
        <f>IF($B54="","",IF(IFERROR(INDEX('RAID Log'!$1:$1048576,$B54,MATCH("Impact/Effect of the RAID",'RAID Log'!$1:$1,0)),"")="","",IFERROR(INDEX('RAID Log'!$1:$1048576,$B54,MATCH("Impact/Effect of the RAID",'RAID Log'!$1:$1,0)),"")))</f>
        <v/>
      </c>
      <c r="E54" s="72" t="str">
        <f>IF($B54="","",IF(IFERROR(INDEX('RAID Log'!$1:$1048576,$B54,MATCH("Impact Area",'RAID Log'!$1:$1,0)),"")="","",IFERROR(INDEX('RAID Log'!$1:$1048576,$B54,MATCH("Impact Area",'RAID Log'!$1:$1,0)),"")))</f>
        <v/>
      </c>
      <c r="F54" t="str">
        <f>IF($B54="","",IF(IFERROR(INDEX('RAID Log'!$1:$1048576,$B54,MATCH("Impact Area",'RAID Log'!$1:$1,0)),"")="","",IFERROR(INDEX('RAID Log'!$1:$1048576,$B54,MATCH("Impact Area",'RAID Log'!$1:$1,0)),"")))</f>
        <v/>
      </c>
      <c r="G54" t="str">
        <f>IF($B54="","",IF(IFERROR(INDEX('RAID Log'!$1:$1048576,$B54,MATCH("Impact Rating",'RAID Log'!$1:$1,0)),"")="","",IFERROR(INDEX('RAID Log'!$1:$1048576,$B54,MATCH("Impact Rating",'RAID Log'!$1:$1,0)),"")))</f>
        <v/>
      </c>
      <c r="H54" t="str">
        <f>IF($B54="","",IF(IFERROR(INDEX('RAID Log'!$1:$1048576,$B54,MATCH("Initial Probability",'RAID Log'!$1:$1,0)),"")="","",IFERROR(INDEX('RAID Log'!$1:$1048576,$B54,MATCH("Initial Probability",'RAID Log'!$1:$1,0)),"")))</f>
        <v/>
      </c>
      <c r="I54" s="91" t="str">
        <f t="shared" si="0"/>
        <v/>
      </c>
      <c r="J54" t="str">
        <f t="shared" si="1"/>
        <v/>
      </c>
      <c r="K54" s="91" t="str">
        <f t="shared" si="2"/>
        <v/>
      </c>
      <c r="L54" t="str">
        <f>IF($B54="","",IF(IFERROR(INDEX('RAID Log'!$1:$1048576,$B54,MATCH("Status",'RAID Log'!$1:$1,0)),"")="","",IFERROR(INDEX('RAID Log'!$1:$1048576,$B54,MATCH("Status",'RAID Log'!$1:$1,0)),"")))</f>
        <v/>
      </c>
      <c r="M54" s="73" t="str">
        <f>IF($B54="","",IF(IFERROR(INDEX('RAID Log'!$1:$1048576,$B54,MATCH("RAID Owner",'RAID Log'!$1:$1,0)),"")="","",IFERROR(INDEX('RAID Log'!$1:$1048576,$B54,MATCH("RAID Owner",'RAID Log'!$1:$1,0)),"")))</f>
        <v/>
      </c>
      <c r="N54" s="92" t="str">
        <f>IF($B54="","",IF(IFERROR(INDEX('RAID Log'!$1:$1048576,$B54,MATCH("Date Raised",'RAID Log'!$1:$1,0)),"")="","",IFERROR(INDEX('RAID Log'!$1:$1048576,$B54,MATCH("Date Raised",'RAID Log'!$1:$1,0)),"")))</f>
        <v/>
      </c>
      <c r="O54" s="92" t="str">
        <f>IF($B54="","",IF(IFERROR(INDEX('RAID Log'!$1:$1048576,$B54,MATCH("Closed Date",'RAID Log'!$1:$1,0)),"")="","",IFERROR(INDEX('RAID Log'!$1:$1048576,$B54,MATCH("Closed Date",'RAID Log'!$1:$1,0)),"")))</f>
        <v/>
      </c>
      <c r="P54" s="73" t="str">
        <f>IF($B54="","",IF(IFERROR(INDEX('RAID Log'!$1:$1048576,$B54,MATCH("Mitigation Strategy",'RAID Log'!$1:$1,0)),"")="","",IFERROR(INDEX('RAID Log'!$1:$1048576,$B54,MATCH("Mitigation Strategy",'RAID Log'!$1:$1,0)),"")))</f>
        <v/>
      </c>
      <c r="Q54" t="str">
        <f>IF($B54="","",IF(IFERROR(INDEX('RAID Log'!$1:$1048576,$B54,MATCH("RAID Response/Plan",'RAID Log'!$1:$1,0)),"")="","",IFERROR(INDEX('RAID Log'!$1:$1048576,$B54,MATCH("RAID Response/Plan",'RAID Log'!$1:$1,0)),"")))</f>
        <v/>
      </c>
    </row>
    <row r="55" spans="1:17" ht="12.75" customHeight="1">
      <c r="A55" s="91" t="str">
        <f>IF($B55="","",IF(IFERROR(INDEX('RAID Log'!$1:$1048576,$B55,MATCH("RAID ID",'RAID Log'!$1:$1,0)),"")="","",IFERROR(INDEX('RAID Log'!$1:$1048576,$B55,MATCH("RAID ID",'RAID Log'!$1:$1,0)),"")))</f>
        <v/>
      </c>
      <c r="B55" t="str">
        <f>IFERROR(MATCH(ROW()-1,'RAID Log'!$S:$S,0),"")</f>
        <v/>
      </c>
      <c r="C55" s="72" t="str">
        <f>IF($B55="","",IF(IFERROR(INDEX('RAID Log'!$1:$1048576,$B55,MATCH("Description",'RAID Log'!$1:$1,0)),"")="","",IFERROR(INDEX('RAID Log'!$1:$1048576,$B55,MATCH("Description",'RAID Log'!$1:$1,0)),"")))</f>
        <v/>
      </c>
      <c r="D55" s="72" t="str">
        <f>IF($B55="","",IF(IFERROR(INDEX('RAID Log'!$1:$1048576,$B55,MATCH("Impact/Effect of the RAID",'RAID Log'!$1:$1,0)),"")="","",IFERROR(INDEX('RAID Log'!$1:$1048576,$B55,MATCH("Impact/Effect of the RAID",'RAID Log'!$1:$1,0)),"")))</f>
        <v/>
      </c>
      <c r="E55" s="72" t="str">
        <f>IF($B55="","",IF(IFERROR(INDEX('RAID Log'!$1:$1048576,$B55,MATCH("Impact Area",'RAID Log'!$1:$1,0)),"")="","",IFERROR(INDEX('RAID Log'!$1:$1048576,$B55,MATCH("Impact Area",'RAID Log'!$1:$1,0)),"")))</f>
        <v/>
      </c>
      <c r="F55" t="str">
        <f>IF($B55="","",IF(IFERROR(INDEX('RAID Log'!$1:$1048576,$B55,MATCH("Impact Area",'RAID Log'!$1:$1,0)),"")="","",IFERROR(INDEX('RAID Log'!$1:$1048576,$B55,MATCH("Impact Area",'RAID Log'!$1:$1,0)),"")))</f>
        <v/>
      </c>
      <c r="G55" t="str">
        <f>IF($B55="","",IF(IFERROR(INDEX('RAID Log'!$1:$1048576,$B55,MATCH("Impact Rating",'RAID Log'!$1:$1,0)),"")="","",IFERROR(INDEX('RAID Log'!$1:$1048576,$B55,MATCH("Impact Rating",'RAID Log'!$1:$1,0)),"")))</f>
        <v/>
      </c>
      <c r="H55" t="str">
        <f>IF($B55="","",IF(IFERROR(INDEX('RAID Log'!$1:$1048576,$B55,MATCH("Initial Probability",'RAID Log'!$1:$1,0)),"")="","",IFERROR(INDEX('RAID Log'!$1:$1048576,$B55,MATCH("Initial Probability",'RAID Log'!$1:$1,0)),"")))</f>
        <v/>
      </c>
      <c r="I55" s="91" t="str">
        <f t="shared" si="0"/>
        <v/>
      </c>
      <c r="J55" t="str">
        <f t="shared" si="1"/>
        <v/>
      </c>
      <c r="K55" s="91" t="str">
        <f t="shared" si="2"/>
        <v/>
      </c>
      <c r="L55" t="str">
        <f>IF($B55="","",IF(IFERROR(INDEX('RAID Log'!$1:$1048576,$B55,MATCH("Status",'RAID Log'!$1:$1,0)),"")="","",IFERROR(INDEX('RAID Log'!$1:$1048576,$B55,MATCH("Status",'RAID Log'!$1:$1,0)),"")))</f>
        <v/>
      </c>
      <c r="M55" s="73" t="str">
        <f>IF($B55="","",IF(IFERROR(INDEX('RAID Log'!$1:$1048576,$B55,MATCH("RAID Owner",'RAID Log'!$1:$1,0)),"")="","",IFERROR(INDEX('RAID Log'!$1:$1048576,$B55,MATCH("RAID Owner",'RAID Log'!$1:$1,0)),"")))</f>
        <v/>
      </c>
      <c r="N55" s="92" t="str">
        <f>IF($B55="","",IF(IFERROR(INDEX('RAID Log'!$1:$1048576,$B55,MATCH("Date Raised",'RAID Log'!$1:$1,0)),"")="","",IFERROR(INDEX('RAID Log'!$1:$1048576,$B55,MATCH("Date Raised",'RAID Log'!$1:$1,0)),"")))</f>
        <v/>
      </c>
      <c r="O55" s="92" t="str">
        <f>IF($B55="","",IF(IFERROR(INDEX('RAID Log'!$1:$1048576,$B55,MATCH("Closed Date",'RAID Log'!$1:$1,0)),"")="","",IFERROR(INDEX('RAID Log'!$1:$1048576,$B55,MATCH("Closed Date",'RAID Log'!$1:$1,0)),"")))</f>
        <v/>
      </c>
      <c r="P55" s="73" t="str">
        <f>IF($B55="","",IF(IFERROR(INDEX('RAID Log'!$1:$1048576,$B55,MATCH("Mitigation Strategy",'RAID Log'!$1:$1,0)),"")="","",IFERROR(INDEX('RAID Log'!$1:$1048576,$B55,MATCH("Mitigation Strategy",'RAID Log'!$1:$1,0)),"")))</f>
        <v/>
      </c>
      <c r="Q55" t="str">
        <f>IF($B55="","",IF(IFERROR(INDEX('RAID Log'!$1:$1048576,$B55,MATCH("RAID Response/Plan",'RAID Log'!$1:$1,0)),"")="","",IFERROR(INDEX('RAID Log'!$1:$1048576,$B55,MATCH("RAID Response/Plan",'RAID Log'!$1:$1,0)),"")))</f>
        <v/>
      </c>
    </row>
    <row r="56" spans="1:17" ht="12.75" customHeight="1">
      <c r="A56" s="91" t="str">
        <f>IF($B56="","",IF(IFERROR(INDEX('RAID Log'!$1:$1048576,$B56,MATCH("RAID ID",'RAID Log'!$1:$1,0)),"")="","",IFERROR(INDEX('RAID Log'!$1:$1048576,$B56,MATCH("RAID ID",'RAID Log'!$1:$1,0)),"")))</f>
        <v/>
      </c>
      <c r="B56" t="str">
        <f>IFERROR(MATCH(ROW()-1,'RAID Log'!$S:$S,0),"")</f>
        <v/>
      </c>
      <c r="C56" s="72" t="str">
        <f>IF($B56="","",IF(IFERROR(INDEX('RAID Log'!$1:$1048576,$B56,MATCH("Description",'RAID Log'!$1:$1,0)),"")="","",IFERROR(INDEX('RAID Log'!$1:$1048576,$B56,MATCH("Description",'RAID Log'!$1:$1,0)),"")))</f>
        <v/>
      </c>
      <c r="D56" s="72" t="str">
        <f>IF($B56="","",IF(IFERROR(INDEX('RAID Log'!$1:$1048576,$B56,MATCH("Impact/Effect of the RAID",'RAID Log'!$1:$1,0)),"")="","",IFERROR(INDEX('RAID Log'!$1:$1048576,$B56,MATCH("Impact/Effect of the RAID",'RAID Log'!$1:$1,0)),"")))</f>
        <v/>
      </c>
      <c r="E56" s="72" t="str">
        <f>IF($B56="","",IF(IFERROR(INDEX('RAID Log'!$1:$1048576,$B56,MATCH("Impact Area",'RAID Log'!$1:$1,0)),"")="","",IFERROR(INDEX('RAID Log'!$1:$1048576,$B56,MATCH("Impact Area",'RAID Log'!$1:$1,0)),"")))</f>
        <v/>
      </c>
      <c r="F56" t="str">
        <f>IF($B56="","",IF(IFERROR(INDEX('RAID Log'!$1:$1048576,$B56,MATCH("Impact Area",'RAID Log'!$1:$1,0)),"")="","",IFERROR(INDEX('RAID Log'!$1:$1048576,$B56,MATCH("Impact Area",'RAID Log'!$1:$1,0)),"")))</f>
        <v/>
      </c>
      <c r="G56" t="str">
        <f>IF($B56="","",IF(IFERROR(INDEX('RAID Log'!$1:$1048576,$B56,MATCH("Impact Rating",'RAID Log'!$1:$1,0)),"")="","",IFERROR(INDEX('RAID Log'!$1:$1048576,$B56,MATCH("Impact Rating",'RAID Log'!$1:$1,0)),"")))</f>
        <v/>
      </c>
      <c r="H56" t="str">
        <f>IF($B56="","",IF(IFERROR(INDEX('RAID Log'!$1:$1048576,$B56,MATCH("Initial Probability",'RAID Log'!$1:$1,0)),"")="","",IFERROR(INDEX('RAID Log'!$1:$1048576,$B56,MATCH("Initial Probability",'RAID Log'!$1:$1,0)),"")))</f>
        <v/>
      </c>
      <c r="I56" s="91" t="str">
        <f t="shared" si="0"/>
        <v/>
      </c>
      <c r="J56" t="str">
        <f t="shared" si="1"/>
        <v/>
      </c>
      <c r="K56" s="91" t="str">
        <f t="shared" si="2"/>
        <v/>
      </c>
      <c r="L56" t="str">
        <f>IF($B56="","",IF(IFERROR(INDEX('RAID Log'!$1:$1048576,$B56,MATCH("Status",'RAID Log'!$1:$1,0)),"")="","",IFERROR(INDEX('RAID Log'!$1:$1048576,$B56,MATCH("Status",'RAID Log'!$1:$1,0)),"")))</f>
        <v/>
      </c>
      <c r="M56" s="73" t="str">
        <f>IF($B56="","",IF(IFERROR(INDEX('RAID Log'!$1:$1048576,$B56,MATCH("RAID Owner",'RAID Log'!$1:$1,0)),"")="","",IFERROR(INDEX('RAID Log'!$1:$1048576,$B56,MATCH("RAID Owner",'RAID Log'!$1:$1,0)),"")))</f>
        <v/>
      </c>
      <c r="N56" s="92" t="str">
        <f>IF($B56="","",IF(IFERROR(INDEX('RAID Log'!$1:$1048576,$B56,MATCH("Date Raised",'RAID Log'!$1:$1,0)),"")="","",IFERROR(INDEX('RAID Log'!$1:$1048576,$B56,MATCH("Date Raised",'RAID Log'!$1:$1,0)),"")))</f>
        <v/>
      </c>
      <c r="O56" s="92" t="str">
        <f>IF($B56="","",IF(IFERROR(INDEX('RAID Log'!$1:$1048576,$B56,MATCH("Closed Date",'RAID Log'!$1:$1,0)),"")="","",IFERROR(INDEX('RAID Log'!$1:$1048576,$B56,MATCH("Closed Date",'RAID Log'!$1:$1,0)),"")))</f>
        <v/>
      </c>
      <c r="P56" s="73" t="str">
        <f>IF($B56="","",IF(IFERROR(INDEX('RAID Log'!$1:$1048576,$B56,MATCH("Mitigation Strategy",'RAID Log'!$1:$1,0)),"")="","",IFERROR(INDEX('RAID Log'!$1:$1048576,$B56,MATCH("Mitigation Strategy",'RAID Log'!$1:$1,0)),"")))</f>
        <v/>
      </c>
      <c r="Q56" t="str">
        <f>IF($B56="","",IF(IFERROR(INDEX('RAID Log'!$1:$1048576,$B56,MATCH("RAID Response/Plan",'RAID Log'!$1:$1,0)),"")="","",IFERROR(INDEX('RAID Log'!$1:$1048576,$B56,MATCH("RAID Response/Plan",'RAID Log'!$1:$1,0)),"")))</f>
        <v/>
      </c>
    </row>
    <row r="57" spans="1:17" ht="12.75" customHeight="1">
      <c r="A57" s="91" t="str">
        <f>IF($B57="","",IF(IFERROR(INDEX('RAID Log'!$1:$1048576,$B57,MATCH("RAID ID",'RAID Log'!$1:$1,0)),"")="","",IFERROR(INDEX('RAID Log'!$1:$1048576,$B57,MATCH("RAID ID",'RAID Log'!$1:$1,0)),"")))</f>
        <v/>
      </c>
      <c r="B57" t="str">
        <f>IFERROR(MATCH(ROW()-1,'RAID Log'!$S:$S,0),"")</f>
        <v/>
      </c>
      <c r="C57" s="72" t="str">
        <f>IF($B57="","",IF(IFERROR(INDEX('RAID Log'!$1:$1048576,$B57,MATCH("Description",'RAID Log'!$1:$1,0)),"")="","",IFERROR(INDEX('RAID Log'!$1:$1048576,$B57,MATCH("Description",'RAID Log'!$1:$1,0)),"")))</f>
        <v/>
      </c>
      <c r="D57" s="72" t="str">
        <f>IF($B57="","",IF(IFERROR(INDEX('RAID Log'!$1:$1048576,$B57,MATCH("Impact/Effect of the RAID",'RAID Log'!$1:$1,0)),"")="","",IFERROR(INDEX('RAID Log'!$1:$1048576,$B57,MATCH("Impact/Effect of the RAID",'RAID Log'!$1:$1,0)),"")))</f>
        <v/>
      </c>
      <c r="E57" s="72" t="str">
        <f>IF($B57="","",IF(IFERROR(INDEX('RAID Log'!$1:$1048576,$B57,MATCH("Impact Area",'RAID Log'!$1:$1,0)),"")="","",IFERROR(INDEX('RAID Log'!$1:$1048576,$B57,MATCH("Impact Area",'RAID Log'!$1:$1,0)),"")))</f>
        <v/>
      </c>
      <c r="F57" t="str">
        <f>IF($B57="","",IF(IFERROR(INDEX('RAID Log'!$1:$1048576,$B57,MATCH("Impact Area",'RAID Log'!$1:$1,0)),"")="","",IFERROR(INDEX('RAID Log'!$1:$1048576,$B57,MATCH("Impact Area",'RAID Log'!$1:$1,0)),"")))</f>
        <v/>
      </c>
      <c r="G57" t="str">
        <f>IF($B57="","",IF(IFERROR(INDEX('RAID Log'!$1:$1048576,$B57,MATCH("Impact Rating",'RAID Log'!$1:$1,0)),"")="","",IFERROR(INDEX('RAID Log'!$1:$1048576,$B57,MATCH("Impact Rating",'RAID Log'!$1:$1,0)),"")))</f>
        <v/>
      </c>
      <c r="H57" t="str">
        <f>IF($B57="","",IF(IFERROR(INDEX('RAID Log'!$1:$1048576,$B57,MATCH("Initial Probability",'RAID Log'!$1:$1,0)),"")="","",IFERROR(INDEX('RAID Log'!$1:$1048576,$B57,MATCH("Initial Probability",'RAID Log'!$1:$1,0)),"")))</f>
        <v/>
      </c>
      <c r="I57" s="91" t="str">
        <f t="shared" si="0"/>
        <v/>
      </c>
      <c r="J57" t="str">
        <f t="shared" si="1"/>
        <v/>
      </c>
      <c r="K57" s="91" t="str">
        <f t="shared" si="2"/>
        <v/>
      </c>
      <c r="L57" t="str">
        <f>IF($B57="","",IF(IFERROR(INDEX('RAID Log'!$1:$1048576,$B57,MATCH("Status",'RAID Log'!$1:$1,0)),"")="","",IFERROR(INDEX('RAID Log'!$1:$1048576,$B57,MATCH("Status",'RAID Log'!$1:$1,0)),"")))</f>
        <v/>
      </c>
      <c r="M57" s="73" t="str">
        <f>IF($B57="","",IF(IFERROR(INDEX('RAID Log'!$1:$1048576,$B57,MATCH("RAID Owner",'RAID Log'!$1:$1,0)),"")="","",IFERROR(INDEX('RAID Log'!$1:$1048576,$B57,MATCH("RAID Owner",'RAID Log'!$1:$1,0)),"")))</f>
        <v/>
      </c>
      <c r="N57" s="92" t="str">
        <f>IF($B57="","",IF(IFERROR(INDEX('RAID Log'!$1:$1048576,$B57,MATCH("Date Raised",'RAID Log'!$1:$1,0)),"")="","",IFERROR(INDEX('RAID Log'!$1:$1048576,$B57,MATCH("Date Raised",'RAID Log'!$1:$1,0)),"")))</f>
        <v/>
      </c>
      <c r="O57" s="92" t="str">
        <f>IF($B57="","",IF(IFERROR(INDEX('RAID Log'!$1:$1048576,$B57,MATCH("Closed Date",'RAID Log'!$1:$1,0)),"")="","",IFERROR(INDEX('RAID Log'!$1:$1048576,$B57,MATCH("Closed Date",'RAID Log'!$1:$1,0)),"")))</f>
        <v/>
      </c>
      <c r="P57" s="73" t="str">
        <f>IF($B57="","",IF(IFERROR(INDEX('RAID Log'!$1:$1048576,$B57,MATCH("Mitigation Strategy",'RAID Log'!$1:$1,0)),"")="","",IFERROR(INDEX('RAID Log'!$1:$1048576,$B57,MATCH("Mitigation Strategy",'RAID Log'!$1:$1,0)),"")))</f>
        <v/>
      </c>
      <c r="Q57" t="str">
        <f>IF($B57="","",IF(IFERROR(INDEX('RAID Log'!$1:$1048576,$B57,MATCH("RAID Response/Plan",'RAID Log'!$1:$1,0)),"")="","",IFERROR(INDEX('RAID Log'!$1:$1048576,$B57,MATCH("RAID Response/Plan",'RAID Log'!$1:$1,0)),"")))</f>
        <v/>
      </c>
    </row>
    <row r="58" spans="1:17" ht="12.75" customHeight="1">
      <c r="A58" s="91" t="str">
        <f>IF($B58="","",IF(IFERROR(INDEX('RAID Log'!$1:$1048576,$B58,MATCH("RAID ID",'RAID Log'!$1:$1,0)),"")="","",IFERROR(INDEX('RAID Log'!$1:$1048576,$B58,MATCH("RAID ID",'RAID Log'!$1:$1,0)),"")))</f>
        <v/>
      </c>
      <c r="B58" t="str">
        <f>IFERROR(MATCH(ROW()-1,'RAID Log'!$S:$S,0),"")</f>
        <v/>
      </c>
      <c r="C58" s="72" t="str">
        <f>IF($B58="","",IF(IFERROR(INDEX('RAID Log'!$1:$1048576,$B58,MATCH("Description",'RAID Log'!$1:$1,0)),"")="","",IFERROR(INDEX('RAID Log'!$1:$1048576,$B58,MATCH("Description",'RAID Log'!$1:$1,0)),"")))</f>
        <v/>
      </c>
      <c r="D58" s="72" t="str">
        <f>IF($B58="","",IF(IFERROR(INDEX('RAID Log'!$1:$1048576,$B58,MATCH("Impact/Effect of the RAID",'RAID Log'!$1:$1,0)),"")="","",IFERROR(INDEX('RAID Log'!$1:$1048576,$B58,MATCH("Impact/Effect of the RAID",'RAID Log'!$1:$1,0)),"")))</f>
        <v/>
      </c>
      <c r="E58" s="72" t="str">
        <f>IF($B58="","",IF(IFERROR(INDEX('RAID Log'!$1:$1048576,$B58,MATCH("Impact Area",'RAID Log'!$1:$1,0)),"")="","",IFERROR(INDEX('RAID Log'!$1:$1048576,$B58,MATCH("Impact Area",'RAID Log'!$1:$1,0)),"")))</f>
        <v/>
      </c>
      <c r="F58" t="str">
        <f>IF($B58="","",IF(IFERROR(INDEX('RAID Log'!$1:$1048576,$B58,MATCH("Impact Area",'RAID Log'!$1:$1,0)),"")="","",IFERROR(INDEX('RAID Log'!$1:$1048576,$B58,MATCH("Impact Area",'RAID Log'!$1:$1,0)),"")))</f>
        <v/>
      </c>
      <c r="G58" t="str">
        <f>IF($B58="","",IF(IFERROR(INDEX('RAID Log'!$1:$1048576,$B58,MATCH("Impact Rating",'RAID Log'!$1:$1,0)),"")="","",IFERROR(INDEX('RAID Log'!$1:$1048576,$B58,MATCH("Impact Rating",'RAID Log'!$1:$1,0)),"")))</f>
        <v/>
      </c>
      <c r="H58" t="str">
        <f>IF($B58="","",IF(IFERROR(INDEX('RAID Log'!$1:$1048576,$B58,MATCH("Initial Probability",'RAID Log'!$1:$1,0)),"")="","",IFERROR(INDEX('RAID Log'!$1:$1048576,$B58,MATCH("Initial Probability",'RAID Log'!$1:$1,0)),"")))</f>
        <v/>
      </c>
      <c r="I58" s="91" t="str">
        <f t="shared" si="0"/>
        <v/>
      </c>
      <c r="J58" t="str">
        <f t="shared" si="1"/>
        <v/>
      </c>
      <c r="K58" s="91" t="str">
        <f t="shared" si="2"/>
        <v/>
      </c>
      <c r="L58" t="str">
        <f>IF($B58="","",IF(IFERROR(INDEX('RAID Log'!$1:$1048576,$B58,MATCH("Status",'RAID Log'!$1:$1,0)),"")="","",IFERROR(INDEX('RAID Log'!$1:$1048576,$B58,MATCH("Status",'RAID Log'!$1:$1,0)),"")))</f>
        <v/>
      </c>
      <c r="M58" s="73" t="str">
        <f>IF($B58="","",IF(IFERROR(INDEX('RAID Log'!$1:$1048576,$B58,MATCH("RAID Owner",'RAID Log'!$1:$1,0)),"")="","",IFERROR(INDEX('RAID Log'!$1:$1048576,$B58,MATCH("RAID Owner",'RAID Log'!$1:$1,0)),"")))</f>
        <v/>
      </c>
      <c r="N58" s="92" t="str">
        <f>IF($B58="","",IF(IFERROR(INDEX('RAID Log'!$1:$1048576,$B58,MATCH("Date Raised",'RAID Log'!$1:$1,0)),"")="","",IFERROR(INDEX('RAID Log'!$1:$1048576,$B58,MATCH("Date Raised",'RAID Log'!$1:$1,0)),"")))</f>
        <v/>
      </c>
      <c r="O58" s="92" t="str">
        <f>IF($B58="","",IF(IFERROR(INDEX('RAID Log'!$1:$1048576,$B58,MATCH("Closed Date",'RAID Log'!$1:$1,0)),"")="","",IFERROR(INDEX('RAID Log'!$1:$1048576,$B58,MATCH("Closed Date",'RAID Log'!$1:$1,0)),"")))</f>
        <v/>
      </c>
      <c r="P58" s="73" t="str">
        <f>IF($B58="","",IF(IFERROR(INDEX('RAID Log'!$1:$1048576,$B58,MATCH("Mitigation Strategy",'RAID Log'!$1:$1,0)),"")="","",IFERROR(INDEX('RAID Log'!$1:$1048576,$B58,MATCH("Mitigation Strategy",'RAID Log'!$1:$1,0)),"")))</f>
        <v/>
      </c>
      <c r="Q58" t="str">
        <f>IF($B58="","",IF(IFERROR(INDEX('RAID Log'!$1:$1048576,$B58,MATCH("RAID Response/Plan",'RAID Log'!$1:$1,0)),"")="","",IFERROR(INDEX('RAID Log'!$1:$1048576,$B58,MATCH("RAID Response/Plan",'RAID Log'!$1:$1,0)),"")))</f>
        <v/>
      </c>
    </row>
    <row r="59" spans="1:17" ht="12.75" customHeight="1">
      <c r="A59" s="91" t="str">
        <f>IF($B59="","",IF(IFERROR(INDEX('RAID Log'!$1:$1048576,$B59,MATCH("RAID ID",'RAID Log'!$1:$1,0)),"")="","",IFERROR(INDEX('RAID Log'!$1:$1048576,$B59,MATCH("RAID ID",'RAID Log'!$1:$1,0)),"")))</f>
        <v/>
      </c>
      <c r="B59" t="str">
        <f>IFERROR(MATCH(ROW()-1,'RAID Log'!$S:$S,0),"")</f>
        <v/>
      </c>
      <c r="C59" s="72" t="str">
        <f>IF($B59="","",IF(IFERROR(INDEX('RAID Log'!$1:$1048576,$B59,MATCH("Description",'RAID Log'!$1:$1,0)),"")="","",IFERROR(INDEX('RAID Log'!$1:$1048576,$B59,MATCH("Description",'RAID Log'!$1:$1,0)),"")))</f>
        <v/>
      </c>
      <c r="D59" s="72" t="str">
        <f>IF($B59="","",IF(IFERROR(INDEX('RAID Log'!$1:$1048576,$B59,MATCH("Impact/Effect of the RAID",'RAID Log'!$1:$1,0)),"")="","",IFERROR(INDEX('RAID Log'!$1:$1048576,$B59,MATCH("Impact/Effect of the RAID",'RAID Log'!$1:$1,0)),"")))</f>
        <v/>
      </c>
      <c r="E59" s="72" t="str">
        <f>IF($B59="","",IF(IFERROR(INDEX('RAID Log'!$1:$1048576,$B59,MATCH("Impact Area",'RAID Log'!$1:$1,0)),"")="","",IFERROR(INDEX('RAID Log'!$1:$1048576,$B59,MATCH("Impact Area",'RAID Log'!$1:$1,0)),"")))</f>
        <v/>
      </c>
      <c r="F59" t="str">
        <f>IF($B59="","",IF(IFERROR(INDEX('RAID Log'!$1:$1048576,$B59,MATCH("Impact Area",'RAID Log'!$1:$1,0)),"")="","",IFERROR(INDEX('RAID Log'!$1:$1048576,$B59,MATCH("Impact Area",'RAID Log'!$1:$1,0)),"")))</f>
        <v/>
      </c>
      <c r="G59" t="str">
        <f>IF($B59="","",IF(IFERROR(INDEX('RAID Log'!$1:$1048576,$B59,MATCH("Impact Rating",'RAID Log'!$1:$1,0)),"")="","",IFERROR(INDEX('RAID Log'!$1:$1048576,$B59,MATCH("Impact Rating",'RAID Log'!$1:$1,0)),"")))</f>
        <v/>
      </c>
      <c r="H59" t="str">
        <f>IF($B59="","",IF(IFERROR(INDEX('RAID Log'!$1:$1048576,$B59,MATCH("Initial Probability",'RAID Log'!$1:$1,0)),"")="","",IFERROR(INDEX('RAID Log'!$1:$1048576,$B59,MATCH("Initial Probability",'RAID Log'!$1:$1,0)),"")))</f>
        <v/>
      </c>
      <c r="I59" s="91" t="str">
        <f t="shared" si="0"/>
        <v/>
      </c>
      <c r="J59" t="str">
        <f t="shared" si="1"/>
        <v/>
      </c>
      <c r="K59" s="91" t="str">
        <f t="shared" si="2"/>
        <v/>
      </c>
      <c r="L59" t="str">
        <f>IF($B59="","",IF(IFERROR(INDEX('RAID Log'!$1:$1048576,$B59,MATCH("Status",'RAID Log'!$1:$1,0)),"")="","",IFERROR(INDEX('RAID Log'!$1:$1048576,$B59,MATCH("Status",'RAID Log'!$1:$1,0)),"")))</f>
        <v/>
      </c>
      <c r="M59" s="73" t="str">
        <f>IF($B59="","",IF(IFERROR(INDEX('RAID Log'!$1:$1048576,$B59,MATCH("RAID Owner",'RAID Log'!$1:$1,0)),"")="","",IFERROR(INDEX('RAID Log'!$1:$1048576,$B59,MATCH("RAID Owner",'RAID Log'!$1:$1,0)),"")))</f>
        <v/>
      </c>
      <c r="N59" s="92" t="str">
        <f>IF($B59="","",IF(IFERROR(INDEX('RAID Log'!$1:$1048576,$B59,MATCH("Date Raised",'RAID Log'!$1:$1,0)),"")="","",IFERROR(INDEX('RAID Log'!$1:$1048576,$B59,MATCH("Date Raised",'RAID Log'!$1:$1,0)),"")))</f>
        <v/>
      </c>
      <c r="O59" s="92" t="str">
        <f>IF($B59="","",IF(IFERROR(INDEX('RAID Log'!$1:$1048576,$B59,MATCH("Closed Date",'RAID Log'!$1:$1,0)),"")="","",IFERROR(INDEX('RAID Log'!$1:$1048576,$B59,MATCH("Closed Date",'RAID Log'!$1:$1,0)),"")))</f>
        <v/>
      </c>
      <c r="P59" s="73" t="str">
        <f>IF($B59="","",IF(IFERROR(INDEX('RAID Log'!$1:$1048576,$B59,MATCH("Mitigation Strategy",'RAID Log'!$1:$1,0)),"")="","",IFERROR(INDEX('RAID Log'!$1:$1048576,$B59,MATCH("Mitigation Strategy",'RAID Log'!$1:$1,0)),"")))</f>
        <v/>
      </c>
      <c r="Q59" t="str">
        <f>IF($B59="","",IF(IFERROR(INDEX('RAID Log'!$1:$1048576,$B59,MATCH("RAID Response/Plan",'RAID Log'!$1:$1,0)),"")="","",IFERROR(INDEX('RAID Log'!$1:$1048576,$B59,MATCH("RAID Response/Plan",'RAID Log'!$1:$1,0)),"")))</f>
        <v/>
      </c>
    </row>
    <row r="60" spans="1:17" ht="12.75" customHeight="1">
      <c r="A60" s="91" t="str">
        <f>IF($B60="","",IF(IFERROR(INDEX('RAID Log'!$1:$1048576,$B60,MATCH("RAID ID",'RAID Log'!$1:$1,0)),"")="","",IFERROR(INDEX('RAID Log'!$1:$1048576,$B60,MATCH("RAID ID",'RAID Log'!$1:$1,0)),"")))</f>
        <v/>
      </c>
      <c r="B60" t="str">
        <f>IFERROR(MATCH(ROW()-1,'RAID Log'!$S:$S,0),"")</f>
        <v/>
      </c>
      <c r="C60" s="72" t="str">
        <f>IF($B60="","",IF(IFERROR(INDEX('RAID Log'!$1:$1048576,$B60,MATCH("Description",'RAID Log'!$1:$1,0)),"")="","",IFERROR(INDEX('RAID Log'!$1:$1048576,$B60,MATCH("Description",'RAID Log'!$1:$1,0)),"")))</f>
        <v/>
      </c>
      <c r="D60" s="72" t="str">
        <f>IF($B60="","",IF(IFERROR(INDEX('RAID Log'!$1:$1048576,$B60,MATCH("Impact/Effect of the RAID",'RAID Log'!$1:$1,0)),"")="","",IFERROR(INDEX('RAID Log'!$1:$1048576,$B60,MATCH("Impact/Effect of the RAID",'RAID Log'!$1:$1,0)),"")))</f>
        <v/>
      </c>
      <c r="E60" s="72" t="str">
        <f>IF($B60="","",IF(IFERROR(INDEX('RAID Log'!$1:$1048576,$B60,MATCH("Impact Area",'RAID Log'!$1:$1,0)),"")="","",IFERROR(INDEX('RAID Log'!$1:$1048576,$B60,MATCH("Impact Area",'RAID Log'!$1:$1,0)),"")))</f>
        <v/>
      </c>
      <c r="F60" t="str">
        <f>IF($B60="","",IF(IFERROR(INDEX('RAID Log'!$1:$1048576,$B60,MATCH("Impact Area",'RAID Log'!$1:$1,0)),"")="","",IFERROR(INDEX('RAID Log'!$1:$1048576,$B60,MATCH("Impact Area",'RAID Log'!$1:$1,0)),"")))</f>
        <v/>
      </c>
      <c r="G60" t="str">
        <f>IF($B60="","",IF(IFERROR(INDEX('RAID Log'!$1:$1048576,$B60,MATCH("Impact Rating",'RAID Log'!$1:$1,0)),"")="","",IFERROR(INDEX('RAID Log'!$1:$1048576,$B60,MATCH("Impact Rating",'RAID Log'!$1:$1,0)),"")))</f>
        <v/>
      </c>
      <c r="H60" t="str">
        <f>IF($B60="","",IF(IFERROR(INDEX('RAID Log'!$1:$1048576,$B60,MATCH("Initial Probability",'RAID Log'!$1:$1,0)),"")="","",IFERROR(INDEX('RAID Log'!$1:$1048576,$B60,MATCH("Initial Probability",'RAID Log'!$1:$1,0)),"")))</f>
        <v/>
      </c>
      <c r="I60" s="91" t="str">
        <f t="shared" si="0"/>
        <v/>
      </c>
      <c r="J60" t="str">
        <f t="shared" si="1"/>
        <v/>
      </c>
      <c r="K60" s="91" t="str">
        <f t="shared" si="2"/>
        <v/>
      </c>
      <c r="L60" t="str">
        <f>IF($B60="","",IF(IFERROR(INDEX('RAID Log'!$1:$1048576,$B60,MATCH("Status",'RAID Log'!$1:$1,0)),"")="","",IFERROR(INDEX('RAID Log'!$1:$1048576,$B60,MATCH("Status",'RAID Log'!$1:$1,0)),"")))</f>
        <v/>
      </c>
      <c r="M60" s="73" t="str">
        <f>IF($B60="","",IF(IFERROR(INDEX('RAID Log'!$1:$1048576,$B60,MATCH("RAID Owner",'RAID Log'!$1:$1,0)),"")="","",IFERROR(INDEX('RAID Log'!$1:$1048576,$B60,MATCH("RAID Owner",'RAID Log'!$1:$1,0)),"")))</f>
        <v/>
      </c>
      <c r="N60" s="92" t="str">
        <f>IF($B60="","",IF(IFERROR(INDEX('RAID Log'!$1:$1048576,$B60,MATCH("Date Raised",'RAID Log'!$1:$1,0)),"")="","",IFERROR(INDEX('RAID Log'!$1:$1048576,$B60,MATCH("Date Raised",'RAID Log'!$1:$1,0)),"")))</f>
        <v/>
      </c>
      <c r="O60" s="92" t="str">
        <f>IF($B60="","",IF(IFERROR(INDEX('RAID Log'!$1:$1048576,$B60,MATCH("Closed Date",'RAID Log'!$1:$1,0)),"")="","",IFERROR(INDEX('RAID Log'!$1:$1048576,$B60,MATCH("Closed Date",'RAID Log'!$1:$1,0)),"")))</f>
        <v/>
      </c>
      <c r="P60" s="73" t="str">
        <f>IF($B60="","",IF(IFERROR(INDEX('RAID Log'!$1:$1048576,$B60,MATCH("Mitigation Strategy",'RAID Log'!$1:$1,0)),"")="","",IFERROR(INDEX('RAID Log'!$1:$1048576,$B60,MATCH("Mitigation Strategy",'RAID Log'!$1:$1,0)),"")))</f>
        <v/>
      </c>
      <c r="Q60" t="str">
        <f>IF($B60="","",IF(IFERROR(INDEX('RAID Log'!$1:$1048576,$B60,MATCH("RAID Response/Plan",'RAID Log'!$1:$1,0)),"")="","",IFERROR(INDEX('RAID Log'!$1:$1048576,$B60,MATCH("RAID Response/Plan",'RAID Log'!$1:$1,0)),"")))</f>
        <v/>
      </c>
    </row>
    <row r="61" spans="1:17" ht="12.75" customHeight="1">
      <c r="A61" s="91" t="str">
        <f>IF($B61="","",IF(IFERROR(INDEX('RAID Log'!$1:$1048576,$B61,MATCH("RAID ID",'RAID Log'!$1:$1,0)),"")="","",IFERROR(INDEX('RAID Log'!$1:$1048576,$B61,MATCH("RAID ID",'RAID Log'!$1:$1,0)),"")))</f>
        <v/>
      </c>
      <c r="B61" t="str">
        <f>IFERROR(MATCH(ROW()-1,'RAID Log'!$S:$S,0),"")</f>
        <v/>
      </c>
      <c r="C61" s="72" t="str">
        <f>IF($B61="","",IF(IFERROR(INDEX('RAID Log'!$1:$1048576,$B61,MATCH("Description",'RAID Log'!$1:$1,0)),"")="","",IFERROR(INDEX('RAID Log'!$1:$1048576,$B61,MATCH("Description",'RAID Log'!$1:$1,0)),"")))</f>
        <v/>
      </c>
      <c r="D61" s="72" t="str">
        <f>IF($B61="","",IF(IFERROR(INDEX('RAID Log'!$1:$1048576,$B61,MATCH("Impact/Effect of the RAID",'RAID Log'!$1:$1,0)),"")="","",IFERROR(INDEX('RAID Log'!$1:$1048576,$B61,MATCH("Impact/Effect of the RAID",'RAID Log'!$1:$1,0)),"")))</f>
        <v/>
      </c>
      <c r="E61" s="72" t="str">
        <f>IF($B61="","",IF(IFERROR(INDEX('RAID Log'!$1:$1048576,$B61,MATCH("Impact Area",'RAID Log'!$1:$1,0)),"")="","",IFERROR(INDEX('RAID Log'!$1:$1048576,$B61,MATCH("Impact Area",'RAID Log'!$1:$1,0)),"")))</f>
        <v/>
      </c>
      <c r="F61" t="str">
        <f>IF($B61="","",IF(IFERROR(INDEX('RAID Log'!$1:$1048576,$B61,MATCH("Impact Area",'RAID Log'!$1:$1,0)),"")="","",IFERROR(INDEX('RAID Log'!$1:$1048576,$B61,MATCH("Impact Area",'RAID Log'!$1:$1,0)),"")))</f>
        <v/>
      </c>
      <c r="G61" t="str">
        <f>IF($B61="","",IF(IFERROR(INDEX('RAID Log'!$1:$1048576,$B61,MATCH("Impact Rating",'RAID Log'!$1:$1,0)),"")="","",IFERROR(INDEX('RAID Log'!$1:$1048576,$B61,MATCH("Impact Rating",'RAID Log'!$1:$1,0)),"")))</f>
        <v/>
      </c>
      <c r="H61" t="str">
        <f>IF($B61="","",IF(IFERROR(INDEX('RAID Log'!$1:$1048576,$B61,MATCH("Initial Probability",'RAID Log'!$1:$1,0)),"")="","",IFERROR(INDEX('RAID Log'!$1:$1048576,$B61,MATCH("Initial Probability",'RAID Log'!$1:$1,0)),"")))</f>
        <v/>
      </c>
      <c r="I61" s="91" t="str">
        <f t="shared" si="0"/>
        <v/>
      </c>
      <c r="J61" t="str">
        <f t="shared" si="1"/>
        <v/>
      </c>
      <c r="K61" s="91" t="str">
        <f t="shared" si="2"/>
        <v/>
      </c>
      <c r="L61" t="str">
        <f>IF($B61="","",IF(IFERROR(INDEX('RAID Log'!$1:$1048576,$B61,MATCH("Status",'RAID Log'!$1:$1,0)),"")="","",IFERROR(INDEX('RAID Log'!$1:$1048576,$B61,MATCH("Status",'RAID Log'!$1:$1,0)),"")))</f>
        <v/>
      </c>
      <c r="M61" s="73" t="str">
        <f>IF($B61="","",IF(IFERROR(INDEX('RAID Log'!$1:$1048576,$B61,MATCH("RAID Owner",'RAID Log'!$1:$1,0)),"")="","",IFERROR(INDEX('RAID Log'!$1:$1048576,$B61,MATCH("RAID Owner",'RAID Log'!$1:$1,0)),"")))</f>
        <v/>
      </c>
      <c r="N61" s="92" t="str">
        <f>IF($B61="","",IF(IFERROR(INDEX('RAID Log'!$1:$1048576,$B61,MATCH("Date Raised",'RAID Log'!$1:$1,0)),"")="","",IFERROR(INDEX('RAID Log'!$1:$1048576,$B61,MATCH("Date Raised",'RAID Log'!$1:$1,0)),"")))</f>
        <v/>
      </c>
      <c r="O61" s="92" t="str">
        <f>IF($B61="","",IF(IFERROR(INDEX('RAID Log'!$1:$1048576,$B61,MATCH("Closed Date",'RAID Log'!$1:$1,0)),"")="","",IFERROR(INDEX('RAID Log'!$1:$1048576,$B61,MATCH("Closed Date",'RAID Log'!$1:$1,0)),"")))</f>
        <v/>
      </c>
      <c r="P61" s="73" t="str">
        <f>IF($B61="","",IF(IFERROR(INDEX('RAID Log'!$1:$1048576,$B61,MATCH("Mitigation Strategy",'RAID Log'!$1:$1,0)),"")="","",IFERROR(INDEX('RAID Log'!$1:$1048576,$B61,MATCH("Mitigation Strategy",'RAID Log'!$1:$1,0)),"")))</f>
        <v/>
      </c>
      <c r="Q61" t="str">
        <f>IF($B61="","",IF(IFERROR(INDEX('RAID Log'!$1:$1048576,$B61,MATCH("RAID Response/Plan",'RAID Log'!$1:$1,0)),"")="","",IFERROR(INDEX('RAID Log'!$1:$1048576,$B61,MATCH("RAID Response/Plan",'RAID Log'!$1:$1,0)),"")))</f>
        <v/>
      </c>
    </row>
    <row r="62" spans="1:17" ht="12.75" customHeight="1">
      <c r="A62" s="91" t="str">
        <f>IF($B62="","",IF(IFERROR(INDEX('RAID Log'!$1:$1048576,$B62,MATCH("RAID ID",'RAID Log'!$1:$1,0)),"")="","",IFERROR(INDEX('RAID Log'!$1:$1048576,$B62,MATCH("RAID ID",'RAID Log'!$1:$1,0)),"")))</f>
        <v/>
      </c>
      <c r="B62" t="str">
        <f>IFERROR(MATCH(ROW()-1,'RAID Log'!$S:$S,0),"")</f>
        <v/>
      </c>
      <c r="C62" s="72" t="str">
        <f>IF($B62="","",IF(IFERROR(INDEX('RAID Log'!$1:$1048576,$B62,MATCH("Description",'RAID Log'!$1:$1,0)),"")="","",IFERROR(INDEX('RAID Log'!$1:$1048576,$B62,MATCH("Description",'RAID Log'!$1:$1,0)),"")))</f>
        <v/>
      </c>
      <c r="D62" s="72" t="str">
        <f>IF($B62="","",IF(IFERROR(INDEX('RAID Log'!$1:$1048576,$B62,MATCH("Impact/Effect of the RAID",'RAID Log'!$1:$1,0)),"")="","",IFERROR(INDEX('RAID Log'!$1:$1048576,$B62,MATCH("Impact/Effect of the RAID",'RAID Log'!$1:$1,0)),"")))</f>
        <v/>
      </c>
      <c r="E62" s="72" t="str">
        <f>IF($B62="","",IF(IFERROR(INDEX('RAID Log'!$1:$1048576,$B62,MATCH("Impact Area",'RAID Log'!$1:$1,0)),"")="","",IFERROR(INDEX('RAID Log'!$1:$1048576,$B62,MATCH("Impact Area",'RAID Log'!$1:$1,0)),"")))</f>
        <v/>
      </c>
      <c r="F62" t="str">
        <f>IF($B62="","",IF(IFERROR(INDEX('RAID Log'!$1:$1048576,$B62,MATCH("Impact Area",'RAID Log'!$1:$1,0)),"")="","",IFERROR(INDEX('RAID Log'!$1:$1048576,$B62,MATCH("Impact Area",'RAID Log'!$1:$1,0)),"")))</f>
        <v/>
      </c>
      <c r="G62" t="str">
        <f>IF($B62="","",IF(IFERROR(INDEX('RAID Log'!$1:$1048576,$B62,MATCH("Impact Rating",'RAID Log'!$1:$1,0)),"")="","",IFERROR(INDEX('RAID Log'!$1:$1048576,$B62,MATCH("Impact Rating",'RAID Log'!$1:$1,0)),"")))</f>
        <v/>
      </c>
      <c r="H62" t="str">
        <f>IF($B62="","",IF(IFERROR(INDEX('RAID Log'!$1:$1048576,$B62,MATCH("Initial Probability",'RAID Log'!$1:$1,0)),"")="","",IFERROR(INDEX('RAID Log'!$1:$1048576,$B62,MATCH("Initial Probability",'RAID Log'!$1:$1,0)),"")))</f>
        <v/>
      </c>
      <c r="I62" s="91" t="str">
        <f t="shared" si="0"/>
        <v/>
      </c>
      <c r="J62" t="str">
        <f t="shared" si="1"/>
        <v/>
      </c>
      <c r="K62" s="91" t="str">
        <f t="shared" si="2"/>
        <v/>
      </c>
      <c r="L62" t="str">
        <f>IF($B62="","",IF(IFERROR(INDEX('RAID Log'!$1:$1048576,$B62,MATCH("Status",'RAID Log'!$1:$1,0)),"")="","",IFERROR(INDEX('RAID Log'!$1:$1048576,$B62,MATCH("Status",'RAID Log'!$1:$1,0)),"")))</f>
        <v/>
      </c>
      <c r="M62" s="73" t="str">
        <f>IF($B62="","",IF(IFERROR(INDEX('RAID Log'!$1:$1048576,$B62,MATCH("RAID Owner",'RAID Log'!$1:$1,0)),"")="","",IFERROR(INDEX('RAID Log'!$1:$1048576,$B62,MATCH("RAID Owner",'RAID Log'!$1:$1,0)),"")))</f>
        <v/>
      </c>
      <c r="N62" s="92" t="str">
        <f>IF($B62="","",IF(IFERROR(INDEX('RAID Log'!$1:$1048576,$B62,MATCH("Date Raised",'RAID Log'!$1:$1,0)),"")="","",IFERROR(INDEX('RAID Log'!$1:$1048576,$B62,MATCH("Date Raised",'RAID Log'!$1:$1,0)),"")))</f>
        <v/>
      </c>
      <c r="O62" s="92" t="str">
        <f>IF($B62="","",IF(IFERROR(INDEX('RAID Log'!$1:$1048576,$B62,MATCH("Closed Date",'RAID Log'!$1:$1,0)),"")="","",IFERROR(INDEX('RAID Log'!$1:$1048576,$B62,MATCH("Closed Date",'RAID Log'!$1:$1,0)),"")))</f>
        <v/>
      </c>
      <c r="P62" s="73" t="str">
        <f>IF($B62="","",IF(IFERROR(INDEX('RAID Log'!$1:$1048576,$B62,MATCH("Mitigation Strategy",'RAID Log'!$1:$1,0)),"")="","",IFERROR(INDEX('RAID Log'!$1:$1048576,$B62,MATCH("Mitigation Strategy",'RAID Log'!$1:$1,0)),"")))</f>
        <v/>
      </c>
      <c r="Q62" t="str">
        <f>IF($B62="","",IF(IFERROR(INDEX('RAID Log'!$1:$1048576,$B62,MATCH("RAID Response/Plan",'RAID Log'!$1:$1,0)),"")="","",IFERROR(INDEX('RAID Log'!$1:$1048576,$B62,MATCH("RAID Response/Plan",'RAID Log'!$1:$1,0)),"")))</f>
        <v/>
      </c>
    </row>
    <row r="63" spans="1:17" ht="12.75" customHeight="1">
      <c r="A63" s="91" t="str">
        <f>IF($B63="","",IF(IFERROR(INDEX('RAID Log'!$1:$1048576,$B63,MATCH("RAID ID",'RAID Log'!$1:$1,0)),"")="","",IFERROR(INDEX('RAID Log'!$1:$1048576,$B63,MATCH("RAID ID",'RAID Log'!$1:$1,0)),"")))</f>
        <v/>
      </c>
      <c r="B63" t="str">
        <f>IFERROR(MATCH(ROW()-1,'RAID Log'!$S:$S,0),"")</f>
        <v/>
      </c>
      <c r="C63" s="72" t="str">
        <f>IF($B63="","",IF(IFERROR(INDEX('RAID Log'!$1:$1048576,$B63,MATCH("Description",'RAID Log'!$1:$1,0)),"")="","",IFERROR(INDEX('RAID Log'!$1:$1048576,$B63,MATCH("Description",'RAID Log'!$1:$1,0)),"")))</f>
        <v/>
      </c>
      <c r="D63" s="72" t="str">
        <f>IF($B63="","",IF(IFERROR(INDEX('RAID Log'!$1:$1048576,$B63,MATCH("Impact/Effect of the RAID",'RAID Log'!$1:$1,0)),"")="","",IFERROR(INDEX('RAID Log'!$1:$1048576,$B63,MATCH("Impact/Effect of the RAID",'RAID Log'!$1:$1,0)),"")))</f>
        <v/>
      </c>
      <c r="E63" s="72" t="str">
        <f>IF($B63="","",IF(IFERROR(INDEX('RAID Log'!$1:$1048576,$B63,MATCH("Impact Area",'RAID Log'!$1:$1,0)),"")="","",IFERROR(INDEX('RAID Log'!$1:$1048576,$B63,MATCH("Impact Area",'RAID Log'!$1:$1,0)),"")))</f>
        <v/>
      </c>
      <c r="F63" t="str">
        <f>IF($B63="","",IF(IFERROR(INDEX('RAID Log'!$1:$1048576,$B63,MATCH("Impact Area",'RAID Log'!$1:$1,0)),"")="","",IFERROR(INDEX('RAID Log'!$1:$1048576,$B63,MATCH("Impact Area",'RAID Log'!$1:$1,0)),"")))</f>
        <v/>
      </c>
      <c r="G63" t="str">
        <f>IF($B63="","",IF(IFERROR(INDEX('RAID Log'!$1:$1048576,$B63,MATCH("Impact Rating",'RAID Log'!$1:$1,0)),"")="","",IFERROR(INDEX('RAID Log'!$1:$1048576,$B63,MATCH("Impact Rating",'RAID Log'!$1:$1,0)),"")))</f>
        <v/>
      </c>
      <c r="H63" t="str">
        <f>IF($B63="","",IF(IFERROR(INDEX('RAID Log'!$1:$1048576,$B63,MATCH("Initial Probability",'RAID Log'!$1:$1,0)),"")="","",IFERROR(INDEX('RAID Log'!$1:$1048576,$B63,MATCH("Initial Probability",'RAID Log'!$1:$1,0)),"")))</f>
        <v/>
      </c>
      <c r="I63" s="91" t="str">
        <f t="shared" si="0"/>
        <v/>
      </c>
      <c r="J63" t="str">
        <f t="shared" si="1"/>
        <v/>
      </c>
      <c r="K63" s="91" t="str">
        <f t="shared" si="2"/>
        <v/>
      </c>
      <c r="L63" t="str">
        <f>IF($B63="","",IF(IFERROR(INDEX('RAID Log'!$1:$1048576,$B63,MATCH("Status",'RAID Log'!$1:$1,0)),"")="","",IFERROR(INDEX('RAID Log'!$1:$1048576,$B63,MATCH("Status",'RAID Log'!$1:$1,0)),"")))</f>
        <v/>
      </c>
      <c r="M63" s="73" t="str">
        <f>IF($B63="","",IF(IFERROR(INDEX('RAID Log'!$1:$1048576,$B63,MATCH("RAID Owner",'RAID Log'!$1:$1,0)),"")="","",IFERROR(INDEX('RAID Log'!$1:$1048576,$B63,MATCH("RAID Owner",'RAID Log'!$1:$1,0)),"")))</f>
        <v/>
      </c>
      <c r="N63" s="92" t="str">
        <f>IF($B63="","",IF(IFERROR(INDEX('RAID Log'!$1:$1048576,$B63,MATCH("Date Raised",'RAID Log'!$1:$1,0)),"")="","",IFERROR(INDEX('RAID Log'!$1:$1048576,$B63,MATCH("Date Raised",'RAID Log'!$1:$1,0)),"")))</f>
        <v/>
      </c>
      <c r="O63" s="92" t="str">
        <f>IF($B63="","",IF(IFERROR(INDEX('RAID Log'!$1:$1048576,$B63,MATCH("Closed Date",'RAID Log'!$1:$1,0)),"")="","",IFERROR(INDEX('RAID Log'!$1:$1048576,$B63,MATCH("Closed Date",'RAID Log'!$1:$1,0)),"")))</f>
        <v/>
      </c>
      <c r="P63" s="73" t="str">
        <f>IF($B63="","",IF(IFERROR(INDEX('RAID Log'!$1:$1048576,$B63,MATCH("Mitigation Strategy",'RAID Log'!$1:$1,0)),"")="","",IFERROR(INDEX('RAID Log'!$1:$1048576,$B63,MATCH("Mitigation Strategy",'RAID Log'!$1:$1,0)),"")))</f>
        <v/>
      </c>
      <c r="Q63" t="str">
        <f>IF($B63="","",IF(IFERROR(INDEX('RAID Log'!$1:$1048576,$B63,MATCH("RAID Response/Plan",'RAID Log'!$1:$1,0)),"")="","",IFERROR(INDEX('RAID Log'!$1:$1048576,$B63,MATCH("RAID Response/Plan",'RAID Log'!$1:$1,0)),"")))</f>
        <v/>
      </c>
    </row>
    <row r="64" spans="1:17" ht="12.75" customHeight="1">
      <c r="A64" s="91" t="str">
        <f>IF($B64="","",IF(IFERROR(INDEX('RAID Log'!$1:$1048576,$B64,MATCH("RAID ID",'RAID Log'!$1:$1,0)),"")="","",IFERROR(INDEX('RAID Log'!$1:$1048576,$B64,MATCH("RAID ID",'RAID Log'!$1:$1,0)),"")))</f>
        <v/>
      </c>
      <c r="B64" t="str">
        <f>IFERROR(MATCH(ROW()-1,'RAID Log'!$S:$S,0),"")</f>
        <v/>
      </c>
      <c r="C64" s="72" t="str">
        <f>IF($B64="","",IF(IFERROR(INDEX('RAID Log'!$1:$1048576,$B64,MATCH("Description",'RAID Log'!$1:$1,0)),"")="","",IFERROR(INDEX('RAID Log'!$1:$1048576,$B64,MATCH("Description",'RAID Log'!$1:$1,0)),"")))</f>
        <v/>
      </c>
      <c r="D64" s="72" t="str">
        <f>IF($B64="","",IF(IFERROR(INDEX('RAID Log'!$1:$1048576,$B64,MATCH("Impact/Effect of the RAID",'RAID Log'!$1:$1,0)),"")="","",IFERROR(INDEX('RAID Log'!$1:$1048576,$B64,MATCH("Impact/Effect of the RAID",'RAID Log'!$1:$1,0)),"")))</f>
        <v/>
      </c>
      <c r="E64" s="72" t="str">
        <f>IF($B64="","",IF(IFERROR(INDEX('RAID Log'!$1:$1048576,$B64,MATCH("Impact Area",'RAID Log'!$1:$1,0)),"")="","",IFERROR(INDEX('RAID Log'!$1:$1048576,$B64,MATCH("Impact Area",'RAID Log'!$1:$1,0)),"")))</f>
        <v/>
      </c>
      <c r="F64" t="str">
        <f>IF($B64="","",IF(IFERROR(INDEX('RAID Log'!$1:$1048576,$B64,MATCH("Impact Area",'RAID Log'!$1:$1,0)),"")="","",IFERROR(INDEX('RAID Log'!$1:$1048576,$B64,MATCH("Impact Area",'RAID Log'!$1:$1,0)),"")))</f>
        <v/>
      </c>
      <c r="G64" t="str">
        <f>IF($B64="","",IF(IFERROR(INDEX('RAID Log'!$1:$1048576,$B64,MATCH("Impact Rating",'RAID Log'!$1:$1,0)),"")="","",IFERROR(INDEX('RAID Log'!$1:$1048576,$B64,MATCH("Impact Rating",'RAID Log'!$1:$1,0)),"")))</f>
        <v/>
      </c>
      <c r="H64" t="str">
        <f>IF($B64="","",IF(IFERROR(INDEX('RAID Log'!$1:$1048576,$B64,MATCH("Initial Probability",'RAID Log'!$1:$1,0)),"")="","",IFERROR(INDEX('RAID Log'!$1:$1048576,$B64,MATCH("Initial Probability",'RAID Log'!$1:$1,0)),"")))</f>
        <v/>
      </c>
      <c r="I64" s="91" t="str">
        <f t="shared" si="0"/>
        <v/>
      </c>
      <c r="J64" t="str">
        <f t="shared" si="1"/>
        <v/>
      </c>
      <c r="K64" s="91" t="str">
        <f t="shared" si="2"/>
        <v/>
      </c>
      <c r="L64" t="str">
        <f>IF($B64="","",IF(IFERROR(INDEX('RAID Log'!$1:$1048576,$B64,MATCH("Status",'RAID Log'!$1:$1,0)),"")="","",IFERROR(INDEX('RAID Log'!$1:$1048576,$B64,MATCH("Status",'RAID Log'!$1:$1,0)),"")))</f>
        <v/>
      </c>
      <c r="M64" s="73" t="str">
        <f>IF($B64="","",IF(IFERROR(INDEX('RAID Log'!$1:$1048576,$B64,MATCH("RAID Owner",'RAID Log'!$1:$1,0)),"")="","",IFERROR(INDEX('RAID Log'!$1:$1048576,$B64,MATCH("RAID Owner",'RAID Log'!$1:$1,0)),"")))</f>
        <v/>
      </c>
      <c r="N64" s="92" t="str">
        <f>IF($B64="","",IF(IFERROR(INDEX('RAID Log'!$1:$1048576,$B64,MATCH("Date Raised",'RAID Log'!$1:$1,0)),"")="","",IFERROR(INDEX('RAID Log'!$1:$1048576,$B64,MATCH("Date Raised",'RAID Log'!$1:$1,0)),"")))</f>
        <v/>
      </c>
      <c r="O64" s="92" t="str">
        <f>IF($B64="","",IF(IFERROR(INDEX('RAID Log'!$1:$1048576,$B64,MATCH("Closed Date",'RAID Log'!$1:$1,0)),"")="","",IFERROR(INDEX('RAID Log'!$1:$1048576,$B64,MATCH("Closed Date",'RAID Log'!$1:$1,0)),"")))</f>
        <v/>
      </c>
      <c r="P64" s="73" t="str">
        <f>IF($B64="","",IF(IFERROR(INDEX('RAID Log'!$1:$1048576,$B64,MATCH("Mitigation Strategy",'RAID Log'!$1:$1,0)),"")="","",IFERROR(INDEX('RAID Log'!$1:$1048576,$B64,MATCH("Mitigation Strategy",'RAID Log'!$1:$1,0)),"")))</f>
        <v/>
      </c>
      <c r="Q64" t="str">
        <f>IF($B64="","",IF(IFERROR(INDEX('RAID Log'!$1:$1048576,$B64,MATCH("RAID Response/Plan",'RAID Log'!$1:$1,0)),"")="","",IFERROR(INDEX('RAID Log'!$1:$1048576,$B64,MATCH("RAID Response/Plan",'RAID Log'!$1:$1,0)),"")))</f>
        <v/>
      </c>
    </row>
    <row r="65" spans="1:17" ht="12.75" customHeight="1">
      <c r="A65" s="91" t="str">
        <f>IF($B65="","",IF(IFERROR(INDEX('RAID Log'!$1:$1048576,$B65,MATCH("RAID ID",'RAID Log'!$1:$1,0)),"")="","",IFERROR(INDEX('RAID Log'!$1:$1048576,$B65,MATCH("RAID ID",'RAID Log'!$1:$1,0)),"")))</f>
        <v/>
      </c>
      <c r="B65" t="str">
        <f>IFERROR(MATCH(ROW()-1,'RAID Log'!$S:$S,0),"")</f>
        <v/>
      </c>
      <c r="C65" s="72" t="str">
        <f>IF($B65="","",IF(IFERROR(INDEX('RAID Log'!$1:$1048576,$B65,MATCH("Description",'RAID Log'!$1:$1,0)),"")="","",IFERROR(INDEX('RAID Log'!$1:$1048576,$B65,MATCH("Description",'RAID Log'!$1:$1,0)),"")))</f>
        <v/>
      </c>
      <c r="D65" s="72" t="str">
        <f>IF($B65="","",IF(IFERROR(INDEX('RAID Log'!$1:$1048576,$B65,MATCH("Impact/Effect of the RAID",'RAID Log'!$1:$1,0)),"")="","",IFERROR(INDEX('RAID Log'!$1:$1048576,$B65,MATCH("Impact/Effect of the RAID",'RAID Log'!$1:$1,0)),"")))</f>
        <v/>
      </c>
      <c r="E65" s="72" t="str">
        <f>IF($B65="","",IF(IFERROR(INDEX('RAID Log'!$1:$1048576,$B65,MATCH("Impact Area",'RAID Log'!$1:$1,0)),"")="","",IFERROR(INDEX('RAID Log'!$1:$1048576,$B65,MATCH("Impact Area",'RAID Log'!$1:$1,0)),"")))</f>
        <v/>
      </c>
      <c r="F65" t="str">
        <f>IF($B65="","",IF(IFERROR(INDEX('RAID Log'!$1:$1048576,$B65,MATCH("Impact Area",'RAID Log'!$1:$1,0)),"")="","",IFERROR(INDEX('RAID Log'!$1:$1048576,$B65,MATCH("Impact Area",'RAID Log'!$1:$1,0)),"")))</f>
        <v/>
      </c>
      <c r="G65" t="str">
        <f>IF($B65="","",IF(IFERROR(INDEX('RAID Log'!$1:$1048576,$B65,MATCH("Impact Rating",'RAID Log'!$1:$1,0)),"")="","",IFERROR(INDEX('RAID Log'!$1:$1048576,$B65,MATCH("Impact Rating",'RAID Log'!$1:$1,0)),"")))</f>
        <v/>
      </c>
      <c r="H65" t="str">
        <f>IF($B65="","",IF(IFERROR(INDEX('RAID Log'!$1:$1048576,$B65,MATCH("Initial Probability",'RAID Log'!$1:$1,0)),"")="","",IFERROR(INDEX('RAID Log'!$1:$1048576,$B65,MATCH("Initial Probability",'RAID Log'!$1:$1,0)),"")))</f>
        <v/>
      </c>
      <c r="I65" s="91" t="str">
        <f t="shared" si="0"/>
        <v/>
      </c>
      <c r="J65" t="str">
        <f t="shared" si="1"/>
        <v/>
      </c>
      <c r="K65" s="91" t="str">
        <f t="shared" si="2"/>
        <v/>
      </c>
      <c r="L65" t="str">
        <f>IF($B65="","",IF(IFERROR(INDEX('RAID Log'!$1:$1048576,$B65,MATCH("Status",'RAID Log'!$1:$1,0)),"")="","",IFERROR(INDEX('RAID Log'!$1:$1048576,$B65,MATCH("Status",'RAID Log'!$1:$1,0)),"")))</f>
        <v/>
      </c>
      <c r="M65" s="73" t="str">
        <f>IF($B65="","",IF(IFERROR(INDEX('RAID Log'!$1:$1048576,$B65,MATCH("RAID Owner",'RAID Log'!$1:$1,0)),"")="","",IFERROR(INDEX('RAID Log'!$1:$1048576,$B65,MATCH("RAID Owner",'RAID Log'!$1:$1,0)),"")))</f>
        <v/>
      </c>
      <c r="N65" s="92" t="str">
        <f>IF($B65="","",IF(IFERROR(INDEX('RAID Log'!$1:$1048576,$B65,MATCH("Date Raised",'RAID Log'!$1:$1,0)),"")="","",IFERROR(INDEX('RAID Log'!$1:$1048576,$B65,MATCH("Date Raised",'RAID Log'!$1:$1,0)),"")))</f>
        <v/>
      </c>
      <c r="O65" s="92" t="str">
        <f>IF($B65="","",IF(IFERROR(INDEX('RAID Log'!$1:$1048576,$B65,MATCH("Closed Date",'RAID Log'!$1:$1,0)),"")="","",IFERROR(INDEX('RAID Log'!$1:$1048576,$B65,MATCH("Closed Date",'RAID Log'!$1:$1,0)),"")))</f>
        <v/>
      </c>
      <c r="P65" s="73" t="str">
        <f>IF($B65="","",IF(IFERROR(INDEX('RAID Log'!$1:$1048576,$B65,MATCH("Mitigation Strategy",'RAID Log'!$1:$1,0)),"")="","",IFERROR(INDEX('RAID Log'!$1:$1048576,$B65,MATCH("Mitigation Strategy",'RAID Log'!$1:$1,0)),"")))</f>
        <v/>
      </c>
      <c r="Q65" t="str">
        <f>IF($B65="","",IF(IFERROR(INDEX('RAID Log'!$1:$1048576,$B65,MATCH("RAID Response/Plan",'RAID Log'!$1:$1,0)),"")="","",IFERROR(INDEX('RAID Log'!$1:$1048576,$B65,MATCH("RAID Response/Plan",'RAID Log'!$1:$1,0)),"")))</f>
        <v/>
      </c>
    </row>
    <row r="66" spans="1:17" ht="12.75" customHeight="1">
      <c r="A66" s="91" t="str">
        <f>IF($B66="","",IF(IFERROR(INDEX('RAID Log'!$1:$1048576,$B66,MATCH("RAID ID",'RAID Log'!$1:$1,0)),"")="","",IFERROR(INDEX('RAID Log'!$1:$1048576,$B66,MATCH("RAID ID",'RAID Log'!$1:$1,0)),"")))</f>
        <v/>
      </c>
      <c r="B66" t="str">
        <f>IFERROR(MATCH(ROW()-1,'RAID Log'!$S:$S,0),"")</f>
        <v/>
      </c>
      <c r="C66" s="72" t="str">
        <f>IF($B66="","",IF(IFERROR(INDEX('RAID Log'!$1:$1048576,$B66,MATCH("Description",'RAID Log'!$1:$1,0)),"")="","",IFERROR(INDEX('RAID Log'!$1:$1048576,$B66,MATCH("Description",'RAID Log'!$1:$1,0)),"")))</f>
        <v/>
      </c>
      <c r="D66" s="72" t="str">
        <f>IF($B66="","",IF(IFERROR(INDEX('RAID Log'!$1:$1048576,$B66,MATCH("Impact/Effect of the RAID",'RAID Log'!$1:$1,0)),"")="","",IFERROR(INDEX('RAID Log'!$1:$1048576,$B66,MATCH("Impact/Effect of the RAID",'RAID Log'!$1:$1,0)),"")))</f>
        <v/>
      </c>
      <c r="E66" s="72" t="str">
        <f>IF($B66="","",IF(IFERROR(INDEX('RAID Log'!$1:$1048576,$B66,MATCH("Impact Area",'RAID Log'!$1:$1,0)),"")="","",IFERROR(INDEX('RAID Log'!$1:$1048576,$B66,MATCH("Impact Area",'RAID Log'!$1:$1,0)),"")))</f>
        <v/>
      </c>
      <c r="F66" t="str">
        <f>IF($B66="","",IF(IFERROR(INDEX('RAID Log'!$1:$1048576,$B66,MATCH("Impact Area",'RAID Log'!$1:$1,0)),"")="","",IFERROR(INDEX('RAID Log'!$1:$1048576,$B66,MATCH("Impact Area",'RAID Log'!$1:$1,0)),"")))</f>
        <v/>
      </c>
      <c r="G66" t="str">
        <f>IF($B66="","",IF(IFERROR(INDEX('RAID Log'!$1:$1048576,$B66,MATCH("Impact Rating",'RAID Log'!$1:$1,0)),"")="","",IFERROR(INDEX('RAID Log'!$1:$1048576,$B66,MATCH("Impact Rating",'RAID Log'!$1:$1,0)),"")))</f>
        <v/>
      </c>
      <c r="H66" t="str">
        <f>IF($B66="","",IF(IFERROR(INDEX('RAID Log'!$1:$1048576,$B66,MATCH("Initial Probability",'RAID Log'!$1:$1,0)),"")="","",IFERROR(INDEX('RAID Log'!$1:$1048576,$B66,MATCH("Initial Probability",'RAID Log'!$1:$1,0)),"")))</f>
        <v/>
      </c>
      <c r="I66" s="91" t="str">
        <f t="shared" ref="I66:I129" si="3">IF($B66="","",(IF($G66="Severe",25,IF($G66="Major",20,IF($G66="Moderate",15,IF($G66="Minor",10,IF($G66="Insignificant",5,0))))))*IF($H66="Very High",1,IF($H66="High",0.8,IF($H66="Average",0.6,IF($H66="Low",0.4,IF($H66="Very Low",0.2,0))))))</f>
        <v/>
      </c>
      <c r="J66" t="str">
        <f t="shared" ref="J66:J129" si="4">IF($B66="","",IF($I66&gt;20,"Critical",IF($I66&gt;15,"High",IF($I66&gt;8,"Moderate",IF($I66&gt;3,"Tolerable","Negligible")))))</f>
        <v/>
      </c>
      <c r="K66" s="91" t="str">
        <f t="shared" ref="K66:K129" si="5">IF(OR($B66="",UPPER($L66)="CLOSED"),"",COUNTIFS($L$2:$L$880,"&lt;&gt;Closed",$I$2:$I$880,"&gt;"&amp;$I66)+COUNTIFS($L$2:$L$880,"&lt;&gt;Closed",$I$2:$I$880,$I66,$N$2:$N$880,"&lt;"&amp;$N66)+COUNTIFS($L$2:$L$880,"&lt;&gt;Closed",$I$2:$I$880,$I66,$N$2:$N$880,$N66,$B$2:$B$880,"&lt;"&amp;$B66)+1)</f>
        <v/>
      </c>
      <c r="L66" t="str">
        <f>IF($B66="","",IF(IFERROR(INDEX('RAID Log'!$1:$1048576,$B66,MATCH("Status",'RAID Log'!$1:$1,0)),"")="","",IFERROR(INDEX('RAID Log'!$1:$1048576,$B66,MATCH("Status",'RAID Log'!$1:$1,0)),"")))</f>
        <v/>
      </c>
      <c r="M66" s="73" t="str">
        <f>IF($B66="","",IF(IFERROR(INDEX('RAID Log'!$1:$1048576,$B66,MATCH("RAID Owner",'RAID Log'!$1:$1,0)),"")="","",IFERROR(INDEX('RAID Log'!$1:$1048576,$B66,MATCH("RAID Owner",'RAID Log'!$1:$1,0)),"")))</f>
        <v/>
      </c>
      <c r="N66" s="92" t="str">
        <f>IF($B66="","",IF(IFERROR(INDEX('RAID Log'!$1:$1048576,$B66,MATCH("Date Raised",'RAID Log'!$1:$1,0)),"")="","",IFERROR(INDEX('RAID Log'!$1:$1048576,$B66,MATCH("Date Raised",'RAID Log'!$1:$1,0)),"")))</f>
        <v/>
      </c>
      <c r="O66" s="92" t="str">
        <f>IF($B66="","",IF(IFERROR(INDEX('RAID Log'!$1:$1048576,$B66,MATCH("Closed Date",'RAID Log'!$1:$1,0)),"")="","",IFERROR(INDEX('RAID Log'!$1:$1048576,$B66,MATCH("Closed Date",'RAID Log'!$1:$1,0)),"")))</f>
        <v/>
      </c>
      <c r="P66" s="73" t="str">
        <f>IF($B66="","",IF(IFERROR(INDEX('RAID Log'!$1:$1048576,$B66,MATCH("Mitigation Strategy",'RAID Log'!$1:$1,0)),"")="","",IFERROR(INDEX('RAID Log'!$1:$1048576,$B66,MATCH("Mitigation Strategy",'RAID Log'!$1:$1,0)),"")))</f>
        <v/>
      </c>
      <c r="Q66" t="str">
        <f>IF($B66="","",IF(IFERROR(INDEX('RAID Log'!$1:$1048576,$B66,MATCH("RAID Response/Plan",'RAID Log'!$1:$1,0)),"")="","",IFERROR(INDEX('RAID Log'!$1:$1048576,$B66,MATCH("RAID Response/Plan",'RAID Log'!$1:$1,0)),"")))</f>
        <v/>
      </c>
    </row>
    <row r="67" spans="1:17" ht="12.75" customHeight="1">
      <c r="A67" s="91" t="str">
        <f>IF($B67="","",IF(IFERROR(INDEX('RAID Log'!$1:$1048576,$B67,MATCH("RAID ID",'RAID Log'!$1:$1,0)),"")="","",IFERROR(INDEX('RAID Log'!$1:$1048576,$B67,MATCH("RAID ID",'RAID Log'!$1:$1,0)),"")))</f>
        <v/>
      </c>
      <c r="B67" t="str">
        <f>IFERROR(MATCH(ROW()-1,'RAID Log'!$S:$S,0),"")</f>
        <v/>
      </c>
      <c r="C67" s="72" t="str">
        <f>IF($B67="","",IF(IFERROR(INDEX('RAID Log'!$1:$1048576,$B67,MATCH("Description",'RAID Log'!$1:$1,0)),"")="","",IFERROR(INDEX('RAID Log'!$1:$1048576,$B67,MATCH("Description",'RAID Log'!$1:$1,0)),"")))</f>
        <v/>
      </c>
      <c r="D67" s="72" t="str">
        <f>IF($B67="","",IF(IFERROR(INDEX('RAID Log'!$1:$1048576,$B67,MATCH("Impact/Effect of the RAID",'RAID Log'!$1:$1,0)),"")="","",IFERROR(INDEX('RAID Log'!$1:$1048576,$B67,MATCH("Impact/Effect of the RAID",'RAID Log'!$1:$1,0)),"")))</f>
        <v/>
      </c>
      <c r="E67" s="72" t="str">
        <f>IF($B67="","",IF(IFERROR(INDEX('RAID Log'!$1:$1048576,$B67,MATCH("Impact Area",'RAID Log'!$1:$1,0)),"")="","",IFERROR(INDEX('RAID Log'!$1:$1048576,$B67,MATCH("Impact Area",'RAID Log'!$1:$1,0)),"")))</f>
        <v/>
      </c>
      <c r="F67" t="str">
        <f>IF($B67="","",IF(IFERROR(INDEX('RAID Log'!$1:$1048576,$B67,MATCH("Impact Area",'RAID Log'!$1:$1,0)),"")="","",IFERROR(INDEX('RAID Log'!$1:$1048576,$B67,MATCH("Impact Area",'RAID Log'!$1:$1,0)),"")))</f>
        <v/>
      </c>
      <c r="G67" t="str">
        <f>IF($B67="","",IF(IFERROR(INDEX('RAID Log'!$1:$1048576,$B67,MATCH("Impact Rating",'RAID Log'!$1:$1,0)),"")="","",IFERROR(INDEX('RAID Log'!$1:$1048576,$B67,MATCH("Impact Rating",'RAID Log'!$1:$1,0)),"")))</f>
        <v/>
      </c>
      <c r="H67" t="str">
        <f>IF($B67="","",IF(IFERROR(INDEX('RAID Log'!$1:$1048576,$B67,MATCH("Initial Probability",'RAID Log'!$1:$1,0)),"")="","",IFERROR(INDEX('RAID Log'!$1:$1048576,$B67,MATCH("Initial Probability",'RAID Log'!$1:$1,0)),"")))</f>
        <v/>
      </c>
      <c r="I67" s="91" t="str">
        <f t="shared" si="3"/>
        <v/>
      </c>
      <c r="J67" t="str">
        <f t="shared" si="4"/>
        <v/>
      </c>
      <c r="K67" s="91" t="str">
        <f t="shared" si="5"/>
        <v/>
      </c>
      <c r="L67" t="str">
        <f>IF($B67="","",IF(IFERROR(INDEX('RAID Log'!$1:$1048576,$B67,MATCH("Status",'RAID Log'!$1:$1,0)),"")="","",IFERROR(INDEX('RAID Log'!$1:$1048576,$B67,MATCH("Status",'RAID Log'!$1:$1,0)),"")))</f>
        <v/>
      </c>
      <c r="M67" s="73" t="str">
        <f>IF($B67="","",IF(IFERROR(INDEX('RAID Log'!$1:$1048576,$B67,MATCH("RAID Owner",'RAID Log'!$1:$1,0)),"")="","",IFERROR(INDEX('RAID Log'!$1:$1048576,$B67,MATCH("RAID Owner",'RAID Log'!$1:$1,0)),"")))</f>
        <v/>
      </c>
      <c r="N67" s="92" t="str">
        <f>IF($B67="","",IF(IFERROR(INDEX('RAID Log'!$1:$1048576,$B67,MATCH("Date Raised",'RAID Log'!$1:$1,0)),"")="","",IFERROR(INDEX('RAID Log'!$1:$1048576,$B67,MATCH("Date Raised",'RAID Log'!$1:$1,0)),"")))</f>
        <v/>
      </c>
      <c r="O67" s="92" t="str">
        <f>IF($B67="","",IF(IFERROR(INDEX('RAID Log'!$1:$1048576,$B67,MATCH("Closed Date",'RAID Log'!$1:$1,0)),"")="","",IFERROR(INDEX('RAID Log'!$1:$1048576,$B67,MATCH("Closed Date",'RAID Log'!$1:$1,0)),"")))</f>
        <v/>
      </c>
      <c r="P67" s="73" t="str">
        <f>IF($B67="","",IF(IFERROR(INDEX('RAID Log'!$1:$1048576,$B67,MATCH("Mitigation Strategy",'RAID Log'!$1:$1,0)),"")="","",IFERROR(INDEX('RAID Log'!$1:$1048576,$B67,MATCH("Mitigation Strategy",'RAID Log'!$1:$1,0)),"")))</f>
        <v/>
      </c>
      <c r="Q67" t="str">
        <f>IF($B67="","",IF(IFERROR(INDEX('RAID Log'!$1:$1048576,$B67,MATCH("RAID Response/Plan",'RAID Log'!$1:$1,0)),"")="","",IFERROR(INDEX('RAID Log'!$1:$1048576,$B67,MATCH("RAID Response/Plan",'RAID Log'!$1:$1,0)),"")))</f>
        <v/>
      </c>
    </row>
    <row r="68" spans="1:17" ht="12.75" customHeight="1">
      <c r="A68" s="91" t="str">
        <f>IF($B68="","",IF(IFERROR(INDEX('RAID Log'!$1:$1048576,$B68,MATCH("RAID ID",'RAID Log'!$1:$1,0)),"")="","",IFERROR(INDEX('RAID Log'!$1:$1048576,$B68,MATCH("RAID ID",'RAID Log'!$1:$1,0)),"")))</f>
        <v/>
      </c>
      <c r="B68" t="str">
        <f>IFERROR(MATCH(ROW()-1,'RAID Log'!$S:$S,0),"")</f>
        <v/>
      </c>
      <c r="C68" s="72" t="str">
        <f>IF($B68="","",IF(IFERROR(INDEX('RAID Log'!$1:$1048576,$B68,MATCH("Description",'RAID Log'!$1:$1,0)),"")="","",IFERROR(INDEX('RAID Log'!$1:$1048576,$B68,MATCH("Description",'RAID Log'!$1:$1,0)),"")))</f>
        <v/>
      </c>
      <c r="D68" s="72" t="str">
        <f>IF($B68="","",IF(IFERROR(INDEX('RAID Log'!$1:$1048576,$B68,MATCH("Impact/Effect of the RAID",'RAID Log'!$1:$1,0)),"")="","",IFERROR(INDEX('RAID Log'!$1:$1048576,$B68,MATCH("Impact/Effect of the RAID",'RAID Log'!$1:$1,0)),"")))</f>
        <v/>
      </c>
      <c r="E68" s="72" t="str">
        <f>IF($B68="","",IF(IFERROR(INDEX('RAID Log'!$1:$1048576,$B68,MATCH("Impact Area",'RAID Log'!$1:$1,0)),"")="","",IFERROR(INDEX('RAID Log'!$1:$1048576,$B68,MATCH("Impact Area",'RAID Log'!$1:$1,0)),"")))</f>
        <v/>
      </c>
      <c r="F68" t="str">
        <f>IF($B68="","",IF(IFERROR(INDEX('RAID Log'!$1:$1048576,$B68,MATCH("Impact Area",'RAID Log'!$1:$1,0)),"")="","",IFERROR(INDEX('RAID Log'!$1:$1048576,$B68,MATCH("Impact Area",'RAID Log'!$1:$1,0)),"")))</f>
        <v/>
      </c>
      <c r="G68" t="str">
        <f>IF($B68="","",IF(IFERROR(INDEX('RAID Log'!$1:$1048576,$B68,MATCH("Impact Rating",'RAID Log'!$1:$1,0)),"")="","",IFERROR(INDEX('RAID Log'!$1:$1048576,$B68,MATCH("Impact Rating",'RAID Log'!$1:$1,0)),"")))</f>
        <v/>
      </c>
      <c r="H68" t="str">
        <f>IF($B68="","",IF(IFERROR(INDEX('RAID Log'!$1:$1048576,$B68,MATCH("Initial Probability",'RAID Log'!$1:$1,0)),"")="","",IFERROR(INDEX('RAID Log'!$1:$1048576,$B68,MATCH("Initial Probability",'RAID Log'!$1:$1,0)),"")))</f>
        <v/>
      </c>
      <c r="I68" s="91" t="str">
        <f t="shared" si="3"/>
        <v/>
      </c>
      <c r="J68" t="str">
        <f t="shared" si="4"/>
        <v/>
      </c>
      <c r="K68" s="91" t="str">
        <f t="shared" si="5"/>
        <v/>
      </c>
      <c r="L68" t="str">
        <f>IF($B68="","",IF(IFERROR(INDEX('RAID Log'!$1:$1048576,$B68,MATCH("Status",'RAID Log'!$1:$1,0)),"")="","",IFERROR(INDEX('RAID Log'!$1:$1048576,$B68,MATCH("Status",'RAID Log'!$1:$1,0)),"")))</f>
        <v/>
      </c>
      <c r="M68" s="73" t="str">
        <f>IF($B68="","",IF(IFERROR(INDEX('RAID Log'!$1:$1048576,$B68,MATCH("RAID Owner",'RAID Log'!$1:$1,0)),"")="","",IFERROR(INDEX('RAID Log'!$1:$1048576,$B68,MATCH("RAID Owner",'RAID Log'!$1:$1,0)),"")))</f>
        <v/>
      </c>
      <c r="N68" s="92" t="str">
        <f>IF($B68="","",IF(IFERROR(INDEX('RAID Log'!$1:$1048576,$B68,MATCH("Date Raised",'RAID Log'!$1:$1,0)),"")="","",IFERROR(INDEX('RAID Log'!$1:$1048576,$B68,MATCH("Date Raised",'RAID Log'!$1:$1,0)),"")))</f>
        <v/>
      </c>
      <c r="O68" s="92" t="str">
        <f>IF($B68="","",IF(IFERROR(INDEX('RAID Log'!$1:$1048576,$B68,MATCH("Closed Date",'RAID Log'!$1:$1,0)),"")="","",IFERROR(INDEX('RAID Log'!$1:$1048576,$B68,MATCH("Closed Date",'RAID Log'!$1:$1,0)),"")))</f>
        <v/>
      </c>
      <c r="P68" s="73" t="str">
        <f>IF($B68="","",IF(IFERROR(INDEX('RAID Log'!$1:$1048576,$B68,MATCH("Mitigation Strategy",'RAID Log'!$1:$1,0)),"")="","",IFERROR(INDEX('RAID Log'!$1:$1048576,$B68,MATCH("Mitigation Strategy",'RAID Log'!$1:$1,0)),"")))</f>
        <v/>
      </c>
      <c r="Q68" t="str">
        <f>IF($B68="","",IF(IFERROR(INDEX('RAID Log'!$1:$1048576,$B68,MATCH("RAID Response/Plan",'RAID Log'!$1:$1,0)),"")="","",IFERROR(INDEX('RAID Log'!$1:$1048576,$B68,MATCH("RAID Response/Plan",'RAID Log'!$1:$1,0)),"")))</f>
        <v/>
      </c>
    </row>
    <row r="69" spans="1:17" ht="12.75" customHeight="1">
      <c r="A69" s="91" t="str">
        <f>IF($B69="","",IF(IFERROR(INDEX('RAID Log'!$1:$1048576,$B69,MATCH("RAID ID",'RAID Log'!$1:$1,0)),"")="","",IFERROR(INDEX('RAID Log'!$1:$1048576,$B69,MATCH("RAID ID",'RAID Log'!$1:$1,0)),"")))</f>
        <v/>
      </c>
      <c r="B69" t="str">
        <f>IFERROR(MATCH(ROW()-1,'RAID Log'!$S:$S,0),"")</f>
        <v/>
      </c>
      <c r="C69" s="72" t="str">
        <f>IF($B69="","",IF(IFERROR(INDEX('RAID Log'!$1:$1048576,$B69,MATCH("Description",'RAID Log'!$1:$1,0)),"")="","",IFERROR(INDEX('RAID Log'!$1:$1048576,$B69,MATCH("Description",'RAID Log'!$1:$1,0)),"")))</f>
        <v/>
      </c>
      <c r="D69" s="72" t="str">
        <f>IF($B69="","",IF(IFERROR(INDEX('RAID Log'!$1:$1048576,$B69,MATCH("Impact/Effect of the RAID",'RAID Log'!$1:$1,0)),"")="","",IFERROR(INDEX('RAID Log'!$1:$1048576,$B69,MATCH("Impact/Effect of the RAID",'RAID Log'!$1:$1,0)),"")))</f>
        <v/>
      </c>
      <c r="E69" s="72" t="str">
        <f>IF($B69="","",IF(IFERROR(INDEX('RAID Log'!$1:$1048576,$B69,MATCH("Impact Area",'RAID Log'!$1:$1,0)),"")="","",IFERROR(INDEX('RAID Log'!$1:$1048576,$B69,MATCH("Impact Area",'RAID Log'!$1:$1,0)),"")))</f>
        <v/>
      </c>
      <c r="F69" t="str">
        <f>IF($B69="","",IF(IFERROR(INDEX('RAID Log'!$1:$1048576,$B69,MATCH("Impact Area",'RAID Log'!$1:$1,0)),"")="","",IFERROR(INDEX('RAID Log'!$1:$1048576,$B69,MATCH("Impact Area",'RAID Log'!$1:$1,0)),"")))</f>
        <v/>
      </c>
      <c r="G69" t="str">
        <f>IF($B69="","",IF(IFERROR(INDEX('RAID Log'!$1:$1048576,$B69,MATCH("Impact Rating",'RAID Log'!$1:$1,0)),"")="","",IFERROR(INDEX('RAID Log'!$1:$1048576,$B69,MATCH("Impact Rating",'RAID Log'!$1:$1,0)),"")))</f>
        <v/>
      </c>
      <c r="H69" t="str">
        <f>IF($B69="","",IF(IFERROR(INDEX('RAID Log'!$1:$1048576,$B69,MATCH("Initial Probability",'RAID Log'!$1:$1,0)),"")="","",IFERROR(INDEX('RAID Log'!$1:$1048576,$B69,MATCH("Initial Probability",'RAID Log'!$1:$1,0)),"")))</f>
        <v/>
      </c>
      <c r="I69" s="91" t="str">
        <f t="shared" si="3"/>
        <v/>
      </c>
      <c r="J69" t="str">
        <f t="shared" si="4"/>
        <v/>
      </c>
      <c r="K69" s="91" t="str">
        <f t="shared" si="5"/>
        <v/>
      </c>
      <c r="L69" t="str">
        <f>IF($B69="","",IF(IFERROR(INDEX('RAID Log'!$1:$1048576,$B69,MATCH("Status",'RAID Log'!$1:$1,0)),"")="","",IFERROR(INDEX('RAID Log'!$1:$1048576,$B69,MATCH("Status",'RAID Log'!$1:$1,0)),"")))</f>
        <v/>
      </c>
      <c r="M69" s="73" t="str">
        <f>IF($B69="","",IF(IFERROR(INDEX('RAID Log'!$1:$1048576,$B69,MATCH("RAID Owner",'RAID Log'!$1:$1,0)),"")="","",IFERROR(INDEX('RAID Log'!$1:$1048576,$B69,MATCH("RAID Owner",'RAID Log'!$1:$1,0)),"")))</f>
        <v/>
      </c>
      <c r="N69" s="92" t="str">
        <f>IF($B69="","",IF(IFERROR(INDEX('RAID Log'!$1:$1048576,$B69,MATCH("Date Raised",'RAID Log'!$1:$1,0)),"")="","",IFERROR(INDEX('RAID Log'!$1:$1048576,$B69,MATCH("Date Raised",'RAID Log'!$1:$1,0)),"")))</f>
        <v/>
      </c>
      <c r="O69" s="92" t="str">
        <f>IF($B69="","",IF(IFERROR(INDEX('RAID Log'!$1:$1048576,$B69,MATCH("Closed Date",'RAID Log'!$1:$1,0)),"")="","",IFERROR(INDEX('RAID Log'!$1:$1048576,$B69,MATCH("Closed Date",'RAID Log'!$1:$1,0)),"")))</f>
        <v/>
      </c>
      <c r="P69" s="73" t="str">
        <f>IF($B69="","",IF(IFERROR(INDEX('RAID Log'!$1:$1048576,$B69,MATCH("Mitigation Strategy",'RAID Log'!$1:$1,0)),"")="","",IFERROR(INDEX('RAID Log'!$1:$1048576,$B69,MATCH("Mitigation Strategy",'RAID Log'!$1:$1,0)),"")))</f>
        <v/>
      </c>
      <c r="Q69" t="str">
        <f>IF($B69="","",IF(IFERROR(INDEX('RAID Log'!$1:$1048576,$B69,MATCH("RAID Response/Plan",'RAID Log'!$1:$1,0)),"")="","",IFERROR(INDEX('RAID Log'!$1:$1048576,$B69,MATCH("RAID Response/Plan",'RAID Log'!$1:$1,0)),"")))</f>
        <v/>
      </c>
    </row>
    <row r="70" spans="1:17" ht="12.75" customHeight="1">
      <c r="A70" s="91" t="str">
        <f>IF($B70="","",IF(IFERROR(INDEX('RAID Log'!$1:$1048576,$B70,MATCH("RAID ID",'RAID Log'!$1:$1,0)),"")="","",IFERROR(INDEX('RAID Log'!$1:$1048576,$B70,MATCH("RAID ID",'RAID Log'!$1:$1,0)),"")))</f>
        <v/>
      </c>
      <c r="B70" t="str">
        <f>IFERROR(MATCH(ROW()-1,'RAID Log'!$S:$S,0),"")</f>
        <v/>
      </c>
      <c r="C70" s="72" t="str">
        <f>IF($B70="","",IF(IFERROR(INDEX('RAID Log'!$1:$1048576,$B70,MATCH("Description",'RAID Log'!$1:$1,0)),"")="","",IFERROR(INDEX('RAID Log'!$1:$1048576,$B70,MATCH("Description",'RAID Log'!$1:$1,0)),"")))</f>
        <v/>
      </c>
      <c r="D70" s="72" t="str">
        <f>IF($B70="","",IF(IFERROR(INDEX('RAID Log'!$1:$1048576,$B70,MATCH("Impact/Effect of the RAID",'RAID Log'!$1:$1,0)),"")="","",IFERROR(INDEX('RAID Log'!$1:$1048576,$B70,MATCH("Impact/Effect of the RAID",'RAID Log'!$1:$1,0)),"")))</f>
        <v/>
      </c>
      <c r="E70" s="72" t="str">
        <f>IF($B70="","",IF(IFERROR(INDEX('RAID Log'!$1:$1048576,$B70,MATCH("Impact Area",'RAID Log'!$1:$1,0)),"")="","",IFERROR(INDEX('RAID Log'!$1:$1048576,$B70,MATCH("Impact Area",'RAID Log'!$1:$1,0)),"")))</f>
        <v/>
      </c>
      <c r="F70" t="str">
        <f>IF($B70="","",IF(IFERROR(INDEX('RAID Log'!$1:$1048576,$B70,MATCH("Impact Area",'RAID Log'!$1:$1,0)),"")="","",IFERROR(INDEX('RAID Log'!$1:$1048576,$B70,MATCH("Impact Area",'RAID Log'!$1:$1,0)),"")))</f>
        <v/>
      </c>
      <c r="G70" t="str">
        <f>IF($B70="","",IF(IFERROR(INDEX('RAID Log'!$1:$1048576,$B70,MATCH("Impact Rating",'RAID Log'!$1:$1,0)),"")="","",IFERROR(INDEX('RAID Log'!$1:$1048576,$B70,MATCH("Impact Rating",'RAID Log'!$1:$1,0)),"")))</f>
        <v/>
      </c>
      <c r="H70" t="str">
        <f>IF($B70="","",IF(IFERROR(INDEX('RAID Log'!$1:$1048576,$B70,MATCH("Initial Probability",'RAID Log'!$1:$1,0)),"")="","",IFERROR(INDEX('RAID Log'!$1:$1048576,$B70,MATCH("Initial Probability",'RAID Log'!$1:$1,0)),"")))</f>
        <v/>
      </c>
      <c r="I70" s="91" t="str">
        <f t="shared" si="3"/>
        <v/>
      </c>
      <c r="J70" t="str">
        <f t="shared" si="4"/>
        <v/>
      </c>
      <c r="K70" s="91" t="str">
        <f t="shared" si="5"/>
        <v/>
      </c>
      <c r="L70" t="str">
        <f>IF($B70="","",IF(IFERROR(INDEX('RAID Log'!$1:$1048576,$B70,MATCH("Status",'RAID Log'!$1:$1,0)),"")="","",IFERROR(INDEX('RAID Log'!$1:$1048576,$B70,MATCH("Status",'RAID Log'!$1:$1,0)),"")))</f>
        <v/>
      </c>
      <c r="M70" s="73" t="str">
        <f>IF($B70="","",IF(IFERROR(INDEX('RAID Log'!$1:$1048576,$B70,MATCH("RAID Owner",'RAID Log'!$1:$1,0)),"")="","",IFERROR(INDEX('RAID Log'!$1:$1048576,$B70,MATCH("RAID Owner",'RAID Log'!$1:$1,0)),"")))</f>
        <v/>
      </c>
      <c r="N70" s="92" t="str">
        <f>IF($B70="","",IF(IFERROR(INDEX('RAID Log'!$1:$1048576,$B70,MATCH("Date Raised",'RAID Log'!$1:$1,0)),"")="","",IFERROR(INDEX('RAID Log'!$1:$1048576,$B70,MATCH("Date Raised",'RAID Log'!$1:$1,0)),"")))</f>
        <v/>
      </c>
      <c r="O70" s="92" t="str">
        <f>IF($B70="","",IF(IFERROR(INDEX('RAID Log'!$1:$1048576,$B70,MATCH("Closed Date",'RAID Log'!$1:$1,0)),"")="","",IFERROR(INDEX('RAID Log'!$1:$1048576,$B70,MATCH("Closed Date",'RAID Log'!$1:$1,0)),"")))</f>
        <v/>
      </c>
      <c r="P70" s="73" t="str">
        <f>IF($B70="","",IF(IFERROR(INDEX('RAID Log'!$1:$1048576,$B70,MATCH("Mitigation Strategy",'RAID Log'!$1:$1,0)),"")="","",IFERROR(INDEX('RAID Log'!$1:$1048576,$B70,MATCH("Mitigation Strategy",'RAID Log'!$1:$1,0)),"")))</f>
        <v/>
      </c>
      <c r="Q70" t="str">
        <f>IF($B70="","",IF(IFERROR(INDEX('RAID Log'!$1:$1048576,$B70,MATCH("RAID Response/Plan",'RAID Log'!$1:$1,0)),"")="","",IFERROR(INDEX('RAID Log'!$1:$1048576,$B70,MATCH("RAID Response/Plan",'RAID Log'!$1:$1,0)),"")))</f>
        <v/>
      </c>
    </row>
    <row r="71" spans="1:17" ht="12.75" customHeight="1">
      <c r="A71" s="91" t="str">
        <f>IF($B71="","",IF(IFERROR(INDEX('RAID Log'!$1:$1048576,$B71,MATCH("RAID ID",'RAID Log'!$1:$1,0)),"")="","",IFERROR(INDEX('RAID Log'!$1:$1048576,$B71,MATCH("RAID ID",'RAID Log'!$1:$1,0)),"")))</f>
        <v/>
      </c>
      <c r="B71" t="str">
        <f>IFERROR(MATCH(ROW()-1,'RAID Log'!$S:$S,0),"")</f>
        <v/>
      </c>
      <c r="C71" s="72" t="str">
        <f>IF($B71="","",IF(IFERROR(INDEX('RAID Log'!$1:$1048576,$B71,MATCH("Description",'RAID Log'!$1:$1,0)),"")="","",IFERROR(INDEX('RAID Log'!$1:$1048576,$B71,MATCH("Description",'RAID Log'!$1:$1,0)),"")))</f>
        <v/>
      </c>
      <c r="D71" s="72" t="str">
        <f>IF($B71="","",IF(IFERROR(INDEX('RAID Log'!$1:$1048576,$B71,MATCH("Impact/Effect of the RAID",'RAID Log'!$1:$1,0)),"")="","",IFERROR(INDEX('RAID Log'!$1:$1048576,$B71,MATCH("Impact/Effect of the RAID",'RAID Log'!$1:$1,0)),"")))</f>
        <v/>
      </c>
      <c r="E71" s="72" t="str">
        <f>IF($B71="","",IF(IFERROR(INDEX('RAID Log'!$1:$1048576,$B71,MATCH("Impact Area",'RAID Log'!$1:$1,0)),"")="","",IFERROR(INDEX('RAID Log'!$1:$1048576,$B71,MATCH("Impact Area",'RAID Log'!$1:$1,0)),"")))</f>
        <v/>
      </c>
      <c r="F71" t="str">
        <f>IF($B71="","",IF(IFERROR(INDEX('RAID Log'!$1:$1048576,$B71,MATCH("Impact Area",'RAID Log'!$1:$1,0)),"")="","",IFERROR(INDEX('RAID Log'!$1:$1048576,$B71,MATCH("Impact Area",'RAID Log'!$1:$1,0)),"")))</f>
        <v/>
      </c>
      <c r="G71" t="str">
        <f>IF($B71="","",IF(IFERROR(INDEX('RAID Log'!$1:$1048576,$B71,MATCH("Impact Rating",'RAID Log'!$1:$1,0)),"")="","",IFERROR(INDEX('RAID Log'!$1:$1048576,$B71,MATCH("Impact Rating",'RAID Log'!$1:$1,0)),"")))</f>
        <v/>
      </c>
      <c r="H71" t="str">
        <f>IF($B71="","",IF(IFERROR(INDEX('RAID Log'!$1:$1048576,$B71,MATCH("Initial Probability",'RAID Log'!$1:$1,0)),"")="","",IFERROR(INDEX('RAID Log'!$1:$1048576,$B71,MATCH("Initial Probability",'RAID Log'!$1:$1,0)),"")))</f>
        <v/>
      </c>
      <c r="I71" s="91" t="str">
        <f t="shared" si="3"/>
        <v/>
      </c>
      <c r="J71" t="str">
        <f t="shared" si="4"/>
        <v/>
      </c>
      <c r="K71" s="91" t="str">
        <f t="shared" si="5"/>
        <v/>
      </c>
      <c r="L71" t="str">
        <f>IF($B71="","",IF(IFERROR(INDEX('RAID Log'!$1:$1048576,$B71,MATCH("Status",'RAID Log'!$1:$1,0)),"")="","",IFERROR(INDEX('RAID Log'!$1:$1048576,$B71,MATCH("Status",'RAID Log'!$1:$1,0)),"")))</f>
        <v/>
      </c>
      <c r="M71" s="73" t="str">
        <f>IF($B71="","",IF(IFERROR(INDEX('RAID Log'!$1:$1048576,$B71,MATCH("RAID Owner",'RAID Log'!$1:$1,0)),"")="","",IFERROR(INDEX('RAID Log'!$1:$1048576,$B71,MATCH("RAID Owner",'RAID Log'!$1:$1,0)),"")))</f>
        <v/>
      </c>
      <c r="N71" s="92" t="str">
        <f>IF($B71="","",IF(IFERROR(INDEX('RAID Log'!$1:$1048576,$B71,MATCH("Date Raised",'RAID Log'!$1:$1,0)),"")="","",IFERROR(INDEX('RAID Log'!$1:$1048576,$B71,MATCH("Date Raised",'RAID Log'!$1:$1,0)),"")))</f>
        <v/>
      </c>
      <c r="O71" s="92" t="str">
        <f>IF($B71="","",IF(IFERROR(INDEX('RAID Log'!$1:$1048576,$B71,MATCH("Closed Date",'RAID Log'!$1:$1,0)),"")="","",IFERROR(INDEX('RAID Log'!$1:$1048576,$B71,MATCH("Closed Date",'RAID Log'!$1:$1,0)),"")))</f>
        <v/>
      </c>
      <c r="P71" s="73" t="str">
        <f>IF($B71="","",IF(IFERROR(INDEX('RAID Log'!$1:$1048576,$B71,MATCH("Mitigation Strategy",'RAID Log'!$1:$1,0)),"")="","",IFERROR(INDEX('RAID Log'!$1:$1048576,$B71,MATCH("Mitigation Strategy",'RAID Log'!$1:$1,0)),"")))</f>
        <v/>
      </c>
      <c r="Q71" t="str">
        <f>IF($B71="","",IF(IFERROR(INDEX('RAID Log'!$1:$1048576,$B71,MATCH("RAID Response/Plan",'RAID Log'!$1:$1,0)),"")="","",IFERROR(INDEX('RAID Log'!$1:$1048576,$B71,MATCH("RAID Response/Plan",'RAID Log'!$1:$1,0)),"")))</f>
        <v/>
      </c>
    </row>
    <row r="72" spans="1:17" ht="12.75" customHeight="1">
      <c r="A72" s="91" t="str">
        <f>IF($B72="","",IF(IFERROR(INDEX('RAID Log'!$1:$1048576,$B72,MATCH("RAID ID",'RAID Log'!$1:$1,0)),"")="","",IFERROR(INDEX('RAID Log'!$1:$1048576,$B72,MATCH("RAID ID",'RAID Log'!$1:$1,0)),"")))</f>
        <v/>
      </c>
      <c r="B72" t="str">
        <f>IFERROR(MATCH(ROW()-1,'RAID Log'!$S:$S,0),"")</f>
        <v/>
      </c>
      <c r="C72" s="72" t="str">
        <f>IF($B72="","",IF(IFERROR(INDEX('RAID Log'!$1:$1048576,$B72,MATCH("Description",'RAID Log'!$1:$1,0)),"")="","",IFERROR(INDEX('RAID Log'!$1:$1048576,$B72,MATCH("Description",'RAID Log'!$1:$1,0)),"")))</f>
        <v/>
      </c>
      <c r="D72" s="72" t="str">
        <f>IF($B72="","",IF(IFERROR(INDEX('RAID Log'!$1:$1048576,$B72,MATCH("Impact/Effect of the RAID",'RAID Log'!$1:$1,0)),"")="","",IFERROR(INDEX('RAID Log'!$1:$1048576,$B72,MATCH("Impact/Effect of the RAID",'RAID Log'!$1:$1,0)),"")))</f>
        <v/>
      </c>
      <c r="E72" s="72" t="str">
        <f>IF($B72="","",IF(IFERROR(INDEX('RAID Log'!$1:$1048576,$B72,MATCH("Impact Area",'RAID Log'!$1:$1,0)),"")="","",IFERROR(INDEX('RAID Log'!$1:$1048576,$B72,MATCH("Impact Area",'RAID Log'!$1:$1,0)),"")))</f>
        <v/>
      </c>
      <c r="F72" t="str">
        <f>IF($B72="","",IF(IFERROR(INDEX('RAID Log'!$1:$1048576,$B72,MATCH("Impact Area",'RAID Log'!$1:$1,0)),"")="","",IFERROR(INDEX('RAID Log'!$1:$1048576,$B72,MATCH("Impact Area",'RAID Log'!$1:$1,0)),"")))</f>
        <v/>
      </c>
      <c r="G72" t="str">
        <f>IF($B72="","",IF(IFERROR(INDEX('RAID Log'!$1:$1048576,$B72,MATCH("Impact Rating",'RAID Log'!$1:$1,0)),"")="","",IFERROR(INDEX('RAID Log'!$1:$1048576,$B72,MATCH("Impact Rating",'RAID Log'!$1:$1,0)),"")))</f>
        <v/>
      </c>
      <c r="H72" t="str">
        <f>IF($B72="","",IF(IFERROR(INDEX('RAID Log'!$1:$1048576,$B72,MATCH("Initial Probability",'RAID Log'!$1:$1,0)),"")="","",IFERROR(INDEX('RAID Log'!$1:$1048576,$B72,MATCH("Initial Probability",'RAID Log'!$1:$1,0)),"")))</f>
        <v/>
      </c>
      <c r="I72" s="91" t="str">
        <f t="shared" si="3"/>
        <v/>
      </c>
      <c r="J72" t="str">
        <f t="shared" si="4"/>
        <v/>
      </c>
      <c r="K72" s="91" t="str">
        <f t="shared" si="5"/>
        <v/>
      </c>
      <c r="L72" t="str">
        <f>IF($B72="","",IF(IFERROR(INDEX('RAID Log'!$1:$1048576,$B72,MATCH("Status",'RAID Log'!$1:$1,0)),"")="","",IFERROR(INDEX('RAID Log'!$1:$1048576,$B72,MATCH("Status",'RAID Log'!$1:$1,0)),"")))</f>
        <v/>
      </c>
      <c r="M72" s="73" t="str">
        <f>IF($B72="","",IF(IFERROR(INDEX('RAID Log'!$1:$1048576,$B72,MATCH("RAID Owner",'RAID Log'!$1:$1,0)),"")="","",IFERROR(INDEX('RAID Log'!$1:$1048576,$B72,MATCH("RAID Owner",'RAID Log'!$1:$1,0)),"")))</f>
        <v/>
      </c>
      <c r="N72" s="92" t="str">
        <f>IF($B72="","",IF(IFERROR(INDEX('RAID Log'!$1:$1048576,$B72,MATCH("Date Raised",'RAID Log'!$1:$1,0)),"")="","",IFERROR(INDEX('RAID Log'!$1:$1048576,$B72,MATCH("Date Raised",'RAID Log'!$1:$1,0)),"")))</f>
        <v/>
      </c>
      <c r="O72" s="92" t="str">
        <f>IF($B72="","",IF(IFERROR(INDEX('RAID Log'!$1:$1048576,$B72,MATCH("Closed Date",'RAID Log'!$1:$1,0)),"")="","",IFERROR(INDEX('RAID Log'!$1:$1048576,$B72,MATCH("Closed Date",'RAID Log'!$1:$1,0)),"")))</f>
        <v/>
      </c>
      <c r="P72" s="73" t="str">
        <f>IF($B72="","",IF(IFERROR(INDEX('RAID Log'!$1:$1048576,$B72,MATCH("Mitigation Strategy",'RAID Log'!$1:$1,0)),"")="","",IFERROR(INDEX('RAID Log'!$1:$1048576,$B72,MATCH("Mitigation Strategy",'RAID Log'!$1:$1,0)),"")))</f>
        <v/>
      </c>
      <c r="Q72" t="str">
        <f>IF($B72="","",IF(IFERROR(INDEX('RAID Log'!$1:$1048576,$B72,MATCH("RAID Response/Plan",'RAID Log'!$1:$1,0)),"")="","",IFERROR(INDEX('RAID Log'!$1:$1048576,$B72,MATCH("RAID Response/Plan",'RAID Log'!$1:$1,0)),"")))</f>
        <v/>
      </c>
    </row>
    <row r="73" spans="1:17" ht="12.75" customHeight="1">
      <c r="A73" s="91" t="str">
        <f>IF($B73="","",IF(IFERROR(INDEX('RAID Log'!$1:$1048576,$B73,MATCH("RAID ID",'RAID Log'!$1:$1,0)),"")="","",IFERROR(INDEX('RAID Log'!$1:$1048576,$B73,MATCH("RAID ID",'RAID Log'!$1:$1,0)),"")))</f>
        <v/>
      </c>
      <c r="B73" t="str">
        <f>IFERROR(MATCH(ROW()-1,'RAID Log'!$S:$S,0),"")</f>
        <v/>
      </c>
      <c r="C73" s="72" t="str">
        <f>IF($B73="","",IF(IFERROR(INDEX('RAID Log'!$1:$1048576,$B73,MATCH("Description",'RAID Log'!$1:$1,0)),"")="","",IFERROR(INDEX('RAID Log'!$1:$1048576,$B73,MATCH("Description",'RAID Log'!$1:$1,0)),"")))</f>
        <v/>
      </c>
      <c r="D73" s="72" t="str">
        <f>IF($B73="","",IF(IFERROR(INDEX('RAID Log'!$1:$1048576,$B73,MATCH("Impact/Effect of the RAID",'RAID Log'!$1:$1,0)),"")="","",IFERROR(INDEX('RAID Log'!$1:$1048576,$B73,MATCH("Impact/Effect of the RAID",'RAID Log'!$1:$1,0)),"")))</f>
        <v/>
      </c>
      <c r="E73" s="72" t="str">
        <f>IF($B73="","",IF(IFERROR(INDEX('RAID Log'!$1:$1048576,$B73,MATCH("Impact Area",'RAID Log'!$1:$1,0)),"")="","",IFERROR(INDEX('RAID Log'!$1:$1048576,$B73,MATCH("Impact Area",'RAID Log'!$1:$1,0)),"")))</f>
        <v/>
      </c>
      <c r="F73" t="str">
        <f>IF($B73="","",IF(IFERROR(INDEX('RAID Log'!$1:$1048576,$B73,MATCH("Impact Area",'RAID Log'!$1:$1,0)),"")="","",IFERROR(INDEX('RAID Log'!$1:$1048576,$B73,MATCH("Impact Area",'RAID Log'!$1:$1,0)),"")))</f>
        <v/>
      </c>
      <c r="G73" t="str">
        <f>IF($B73="","",IF(IFERROR(INDEX('RAID Log'!$1:$1048576,$B73,MATCH("Impact Rating",'RAID Log'!$1:$1,0)),"")="","",IFERROR(INDEX('RAID Log'!$1:$1048576,$B73,MATCH("Impact Rating",'RAID Log'!$1:$1,0)),"")))</f>
        <v/>
      </c>
      <c r="H73" t="str">
        <f>IF($B73="","",IF(IFERROR(INDEX('RAID Log'!$1:$1048576,$B73,MATCH("Initial Probability",'RAID Log'!$1:$1,0)),"")="","",IFERROR(INDEX('RAID Log'!$1:$1048576,$B73,MATCH("Initial Probability",'RAID Log'!$1:$1,0)),"")))</f>
        <v/>
      </c>
      <c r="I73" s="91" t="str">
        <f t="shared" si="3"/>
        <v/>
      </c>
      <c r="J73" t="str">
        <f t="shared" si="4"/>
        <v/>
      </c>
      <c r="K73" s="91" t="str">
        <f t="shared" si="5"/>
        <v/>
      </c>
      <c r="L73" t="str">
        <f>IF($B73="","",IF(IFERROR(INDEX('RAID Log'!$1:$1048576,$B73,MATCH("Status",'RAID Log'!$1:$1,0)),"")="","",IFERROR(INDEX('RAID Log'!$1:$1048576,$B73,MATCH("Status",'RAID Log'!$1:$1,0)),"")))</f>
        <v/>
      </c>
      <c r="M73" s="73" t="str">
        <f>IF($B73="","",IF(IFERROR(INDEX('RAID Log'!$1:$1048576,$B73,MATCH("RAID Owner",'RAID Log'!$1:$1,0)),"")="","",IFERROR(INDEX('RAID Log'!$1:$1048576,$B73,MATCH("RAID Owner",'RAID Log'!$1:$1,0)),"")))</f>
        <v/>
      </c>
      <c r="N73" s="92" t="str">
        <f>IF($B73="","",IF(IFERROR(INDEX('RAID Log'!$1:$1048576,$B73,MATCH("Date Raised",'RAID Log'!$1:$1,0)),"")="","",IFERROR(INDEX('RAID Log'!$1:$1048576,$B73,MATCH("Date Raised",'RAID Log'!$1:$1,0)),"")))</f>
        <v/>
      </c>
      <c r="O73" s="92" t="str">
        <f>IF($B73="","",IF(IFERROR(INDEX('RAID Log'!$1:$1048576,$B73,MATCH("Closed Date",'RAID Log'!$1:$1,0)),"")="","",IFERROR(INDEX('RAID Log'!$1:$1048576,$B73,MATCH("Closed Date",'RAID Log'!$1:$1,0)),"")))</f>
        <v/>
      </c>
      <c r="P73" s="73" t="str">
        <f>IF($B73="","",IF(IFERROR(INDEX('RAID Log'!$1:$1048576,$B73,MATCH("Mitigation Strategy",'RAID Log'!$1:$1,0)),"")="","",IFERROR(INDEX('RAID Log'!$1:$1048576,$B73,MATCH("Mitigation Strategy",'RAID Log'!$1:$1,0)),"")))</f>
        <v/>
      </c>
      <c r="Q73" t="str">
        <f>IF($B73="","",IF(IFERROR(INDEX('RAID Log'!$1:$1048576,$B73,MATCH("RAID Response/Plan",'RAID Log'!$1:$1,0)),"")="","",IFERROR(INDEX('RAID Log'!$1:$1048576,$B73,MATCH("RAID Response/Plan",'RAID Log'!$1:$1,0)),"")))</f>
        <v/>
      </c>
    </row>
    <row r="74" spans="1:17" ht="12.75" customHeight="1">
      <c r="A74" s="91" t="str">
        <f>IF($B74="","",IF(IFERROR(INDEX('RAID Log'!$1:$1048576,$B74,MATCH("RAID ID",'RAID Log'!$1:$1,0)),"")="","",IFERROR(INDEX('RAID Log'!$1:$1048576,$B74,MATCH("RAID ID",'RAID Log'!$1:$1,0)),"")))</f>
        <v/>
      </c>
      <c r="B74" t="str">
        <f>IFERROR(MATCH(ROW()-1,'RAID Log'!$S:$S,0),"")</f>
        <v/>
      </c>
      <c r="C74" s="72" t="str">
        <f>IF($B74="","",IF(IFERROR(INDEX('RAID Log'!$1:$1048576,$B74,MATCH("Description",'RAID Log'!$1:$1,0)),"")="","",IFERROR(INDEX('RAID Log'!$1:$1048576,$B74,MATCH("Description",'RAID Log'!$1:$1,0)),"")))</f>
        <v/>
      </c>
      <c r="D74" s="72" t="str">
        <f>IF($B74="","",IF(IFERROR(INDEX('RAID Log'!$1:$1048576,$B74,MATCH("Impact/Effect of the RAID",'RAID Log'!$1:$1,0)),"")="","",IFERROR(INDEX('RAID Log'!$1:$1048576,$B74,MATCH("Impact/Effect of the RAID",'RAID Log'!$1:$1,0)),"")))</f>
        <v/>
      </c>
      <c r="E74" s="72" t="str">
        <f>IF($B74="","",IF(IFERROR(INDEX('RAID Log'!$1:$1048576,$B74,MATCH("Impact Area",'RAID Log'!$1:$1,0)),"")="","",IFERROR(INDEX('RAID Log'!$1:$1048576,$B74,MATCH("Impact Area",'RAID Log'!$1:$1,0)),"")))</f>
        <v/>
      </c>
      <c r="F74" t="str">
        <f>IF($B74="","",IF(IFERROR(INDEX('RAID Log'!$1:$1048576,$B74,MATCH("Impact Area",'RAID Log'!$1:$1,0)),"")="","",IFERROR(INDEX('RAID Log'!$1:$1048576,$B74,MATCH("Impact Area",'RAID Log'!$1:$1,0)),"")))</f>
        <v/>
      </c>
      <c r="G74" t="str">
        <f>IF($B74="","",IF(IFERROR(INDEX('RAID Log'!$1:$1048576,$B74,MATCH("Impact Rating",'RAID Log'!$1:$1,0)),"")="","",IFERROR(INDEX('RAID Log'!$1:$1048576,$B74,MATCH("Impact Rating",'RAID Log'!$1:$1,0)),"")))</f>
        <v/>
      </c>
      <c r="H74" t="str">
        <f>IF($B74="","",IF(IFERROR(INDEX('RAID Log'!$1:$1048576,$B74,MATCH("Initial Probability",'RAID Log'!$1:$1,0)),"")="","",IFERROR(INDEX('RAID Log'!$1:$1048576,$B74,MATCH("Initial Probability",'RAID Log'!$1:$1,0)),"")))</f>
        <v/>
      </c>
      <c r="I74" s="91" t="str">
        <f t="shared" si="3"/>
        <v/>
      </c>
      <c r="J74" t="str">
        <f t="shared" si="4"/>
        <v/>
      </c>
      <c r="K74" s="91" t="str">
        <f t="shared" si="5"/>
        <v/>
      </c>
      <c r="L74" t="str">
        <f>IF($B74="","",IF(IFERROR(INDEX('RAID Log'!$1:$1048576,$B74,MATCH("Status",'RAID Log'!$1:$1,0)),"")="","",IFERROR(INDEX('RAID Log'!$1:$1048576,$B74,MATCH("Status",'RAID Log'!$1:$1,0)),"")))</f>
        <v/>
      </c>
      <c r="M74" s="73" t="str">
        <f>IF($B74="","",IF(IFERROR(INDEX('RAID Log'!$1:$1048576,$B74,MATCH("RAID Owner",'RAID Log'!$1:$1,0)),"")="","",IFERROR(INDEX('RAID Log'!$1:$1048576,$B74,MATCH("RAID Owner",'RAID Log'!$1:$1,0)),"")))</f>
        <v/>
      </c>
      <c r="N74" s="92" t="str">
        <f>IF($B74="","",IF(IFERROR(INDEX('RAID Log'!$1:$1048576,$B74,MATCH("Date Raised",'RAID Log'!$1:$1,0)),"")="","",IFERROR(INDEX('RAID Log'!$1:$1048576,$B74,MATCH("Date Raised",'RAID Log'!$1:$1,0)),"")))</f>
        <v/>
      </c>
      <c r="O74" s="92" t="str">
        <f>IF($B74="","",IF(IFERROR(INDEX('RAID Log'!$1:$1048576,$B74,MATCH("Closed Date",'RAID Log'!$1:$1,0)),"")="","",IFERROR(INDEX('RAID Log'!$1:$1048576,$B74,MATCH("Closed Date",'RAID Log'!$1:$1,0)),"")))</f>
        <v/>
      </c>
      <c r="P74" s="73" t="str">
        <f>IF($B74="","",IF(IFERROR(INDEX('RAID Log'!$1:$1048576,$B74,MATCH("Mitigation Strategy",'RAID Log'!$1:$1,0)),"")="","",IFERROR(INDEX('RAID Log'!$1:$1048576,$B74,MATCH("Mitigation Strategy",'RAID Log'!$1:$1,0)),"")))</f>
        <v/>
      </c>
      <c r="Q74" t="str">
        <f>IF($B74="","",IF(IFERROR(INDEX('RAID Log'!$1:$1048576,$B74,MATCH("RAID Response/Plan",'RAID Log'!$1:$1,0)),"")="","",IFERROR(INDEX('RAID Log'!$1:$1048576,$B74,MATCH("RAID Response/Plan",'RAID Log'!$1:$1,0)),"")))</f>
        <v/>
      </c>
    </row>
    <row r="75" spans="1:17" ht="12.75" customHeight="1">
      <c r="A75" s="91" t="str">
        <f>IF($B75="","",IF(IFERROR(INDEX('RAID Log'!$1:$1048576,$B75,MATCH("RAID ID",'RAID Log'!$1:$1,0)),"")="","",IFERROR(INDEX('RAID Log'!$1:$1048576,$B75,MATCH("RAID ID",'RAID Log'!$1:$1,0)),"")))</f>
        <v/>
      </c>
      <c r="B75" t="str">
        <f>IFERROR(MATCH(ROW()-1,'RAID Log'!$S:$S,0),"")</f>
        <v/>
      </c>
      <c r="C75" s="72" t="str">
        <f>IF($B75="","",IF(IFERROR(INDEX('RAID Log'!$1:$1048576,$B75,MATCH("Description",'RAID Log'!$1:$1,0)),"")="","",IFERROR(INDEX('RAID Log'!$1:$1048576,$B75,MATCH("Description",'RAID Log'!$1:$1,0)),"")))</f>
        <v/>
      </c>
      <c r="D75" s="72" t="str">
        <f>IF($B75="","",IF(IFERROR(INDEX('RAID Log'!$1:$1048576,$B75,MATCH("Impact/Effect of the RAID",'RAID Log'!$1:$1,0)),"")="","",IFERROR(INDEX('RAID Log'!$1:$1048576,$B75,MATCH("Impact/Effect of the RAID",'RAID Log'!$1:$1,0)),"")))</f>
        <v/>
      </c>
      <c r="E75" s="72" t="str">
        <f>IF($B75="","",IF(IFERROR(INDEX('RAID Log'!$1:$1048576,$B75,MATCH("Impact Area",'RAID Log'!$1:$1,0)),"")="","",IFERROR(INDEX('RAID Log'!$1:$1048576,$B75,MATCH("Impact Area",'RAID Log'!$1:$1,0)),"")))</f>
        <v/>
      </c>
      <c r="F75" t="str">
        <f>IF($B75="","",IF(IFERROR(INDEX('RAID Log'!$1:$1048576,$B75,MATCH("Impact Area",'RAID Log'!$1:$1,0)),"")="","",IFERROR(INDEX('RAID Log'!$1:$1048576,$B75,MATCH("Impact Area",'RAID Log'!$1:$1,0)),"")))</f>
        <v/>
      </c>
      <c r="G75" t="str">
        <f>IF($B75="","",IF(IFERROR(INDEX('RAID Log'!$1:$1048576,$B75,MATCH("Impact Rating",'RAID Log'!$1:$1,0)),"")="","",IFERROR(INDEX('RAID Log'!$1:$1048576,$B75,MATCH("Impact Rating",'RAID Log'!$1:$1,0)),"")))</f>
        <v/>
      </c>
      <c r="H75" t="str">
        <f>IF($B75="","",IF(IFERROR(INDEX('RAID Log'!$1:$1048576,$B75,MATCH("Initial Probability",'RAID Log'!$1:$1,0)),"")="","",IFERROR(INDEX('RAID Log'!$1:$1048576,$B75,MATCH("Initial Probability",'RAID Log'!$1:$1,0)),"")))</f>
        <v/>
      </c>
      <c r="I75" s="91" t="str">
        <f t="shared" si="3"/>
        <v/>
      </c>
      <c r="J75" t="str">
        <f t="shared" si="4"/>
        <v/>
      </c>
      <c r="K75" s="91" t="str">
        <f t="shared" si="5"/>
        <v/>
      </c>
      <c r="L75" t="str">
        <f>IF($B75="","",IF(IFERROR(INDEX('RAID Log'!$1:$1048576,$B75,MATCH("Status",'RAID Log'!$1:$1,0)),"")="","",IFERROR(INDEX('RAID Log'!$1:$1048576,$B75,MATCH("Status",'RAID Log'!$1:$1,0)),"")))</f>
        <v/>
      </c>
      <c r="M75" s="73" t="str">
        <f>IF($B75="","",IF(IFERROR(INDEX('RAID Log'!$1:$1048576,$B75,MATCH("RAID Owner",'RAID Log'!$1:$1,0)),"")="","",IFERROR(INDEX('RAID Log'!$1:$1048576,$B75,MATCH("RAID Owner",'RAID Log'!$1:$1,0)),"")))</f>
        <v/>
      </c>
      <c r="N75" s="92" t="str">
        <f>IF($B75="","",IF(IFERROR(INDEX('RAID Log'!$1:$1048576,$B75,MATCH("Date Raised",'RAID Log'!$1:$1,0)),"")="","",IFERROR(INDEX('RAID Log'!$1:$1048576,$B75,MATCH("Date Raised",'RAID Log'!$1:$1,0)),"")))</f>
        <v/>
      </c>
      <c r="O75" s="92" t="str">
        <f>IF($B75="","",IF(IFERROR(INDEX('RAID Log'!$1:$1048576,$B75,MATCH("Closed Date",'RAID Log'!$1:$1,0)),"")="","",IFERROR(INDEX('RAID Log'!$1:$1048576,$B75,MATCH("Closed Date",'RAID Log'!$1:$1,0)),"")))</f>
        <v/>
      </c>
      <c r="P75" s="73" t="str">
        <f>IF($B75="","",IF(IFERROR(INDEX('RAID Log'!$1:$1048576,$B75,MATCH("Mitigation Strategy",'RAID Log'!$1:$1,0)),"")="","",IFERROR(INDEX('RAID Log'!$1:$1048576,$B75,MATCH("Mitigation Strategy",'RAID Log'!$1:$1,0)),"")))</f>
        <v/>
      </c>
      <c r="Q75" t="str">
        <f>IF($B75="","",IF(IFERROR(INDEX('RAID Log'!$1:$1048576,$B75,MATCH("RAID Response/Plan",'RAID Log'!$1:$1,0)),"")="","",IFERROR(INDEX('RAID Log'!$1:$1048576,$B75,MATCH("RAID Response/Plan",'RAID Log'!$1:$1,0)),"")))</f>
        <v/>
      </c>
    </row>
    <row r="76" spans="1:17" ht="12.75" customHeight="1">
      <c r="A76" s="91" t="str">
        <f>IF($B76="","",IF(IFERROR(INDEX('RAID Log'!$1:$1048576,$B76,MATCH("RAID ID",'RAID Log'!$1:$1,0)),"")="","",IFERROR(INDEX('RAID Log'!$1:$1048576,$B76,MATCH("RAID ID",'RAID Log'!$1:$1,0)),"")))</f>
        <v/>
      </c>
      <c r="B76" t="str">
        <f>IFERROR(MATCH(ROW()-1,'RAID Log'!$S:$S,0),"")</f>
        <v/>
      </c>
      <c r="C76" s="72" t="str">
        <f>IF($B76="","",IF(IFERROR(INDEX('RAID Log'!$1:$1048576,$B76,MATCH("Description",'RAID Log'!$1:$1,0)),"")="","",IFERROR(INDEX('RAID Log'!$1:$1048576,$B76,MATCH("Description",'RAID Log'!$1:$1,0)),"")))</f>
        <v/>
      </c>
      <c r="D76" s="72" t="str">
        <f>IF($B76="","",IF(IFERROR(INDEX('RAID Log'!$1:$1048576,$B76,MATCH("Impact/Effect of the RAID",'RAID Log'!$1:$1,0)),"")="","",IFERROR(INDEX('RAID Log'!$1:$1048576,$B76,MATCH("Impact/Effect of the RAID",'RAID Log'!$1:$1,0)),"")))</f>
        <v/>
      </c>
      <c r="E76" s="72" t="str">
        <f>IF($B76="","",IF(IFERROR(INDEX('RAID Log'!$1:$1048576,$B76,MATCH("Impact Area",'RAID Log'!$1:$1,0)),"")="","",IFERROR(INDEX('RAID Log'!$1:$1048576,$B76,MATCH("Impact Area",'RAID Log'!$1:$1,0)),"")))</f>
        <v/>
      </c>
      <c r="F76" t="str">
        <f>IF($B76="","",IF(IFERROR(INDEX('RAID Log'!$1:$1048576,$B76,MATCH("Impact Area",'RAID Log'!$1:$1,0)),"")="","",IFERROR(INDEX('RAID Log'!$1:$1048576,$B76,MATCH("Impact Area",'RAID Log'!$1:$1,0)),"")))</f>
        <v/>
      </c>
      <c r="G76" t="str">
        <f>IF($B76="","",IF(IFERROR(INDEX('RAID Log'!$1:$1048576,$B76,MATCH("Impact Rating",'RAID Log'!$1:$1,0)),"")="","",IFERROR(INDEX('RAID Log'!$1:$1048576,$B76,MATCH("Impact Rating",'RAID Log'!$1:$1,0)),"")))</f>
        <v/>
      </c>
      <c r="H76" t="str">
        <f>IF($B76="","",IF(IFERROR(INDEX('RAID Log'!$1:$1048576,$B76,MATCH("Initial Probability",'RAID Log'!$1:$1,0)),"")="","",IFERROR(INDEX('RAID Log'!$1:$1048576,$B76,MATCH("Initial Probability",'RAID Log'!$1:$1,0)),"")))</f>
        <v/>
      </c>
      <c r="I76" s="91" t="str">
        <f t="shared" si="3"/>
        <v/>
      </c>
      <c r="J76" t="str">
        <f t="shared" si="4"/>
        <v/>
      </c>
      <c r="K76" s="91" t="str">
        <f t="shared" si="5"/>
        <v/>
      </c>
      <c r="L76" t="str">
        <f>IF($B76="","",IF(IFERROR(INDEX('RAID Log'!$1:$1048576,$B76,MATCH("Status",'RAID Log'!$1:$1,0)),"")="","",IFERROR(INDEX('RAID Log'!$1:$1048576,$B76,MATCH("Status",'RAID Log'!$1:$1,0)),"")))</f>
        <v/>
      </c>
      <c r="M76" s="73" t="str">
        <f>IF($B76="","",IF(IFERROR(INDEX('RAID Log'!$1:$1048576,$B76,MATCH("RAID Owner",'RAID Log'!$1:$1,0)),"")="","",IFERROR(INDEX('RAID Log'!$1:$1048576,$B76,MATCH("RAID Owner",'RAID Log'!$1:$1,0)),"")))</f>
        <v/>
      </c>
      <c r="N76" s="92" t="str">
        <f>IF($B76="","",IF(IFERROR(INDEX('RAID Log'!$1:$1048576,$B76,MATCH("Date Raised",'RAID Log'!$1:$1,0)),"")="","",IFERROR(INDEX('RAID Log'!$1:$1048576,$B76,MATCH("Date Raised",'RAID Log'!$1:$1,0)),"")))</f>
        <v/>
      </c>
      <c r="O76" s="92" t="str">
        <f>IF($B76="","",IF(IFERROR(INDEX('RAID Log'!$1:$1048576,$B76,MATCH("Closed Date",'RAID Log'!$1:$1,0)),"")="","",IFERROR(INDEX('RAID Log'!$1:$1048576,$B76,MATCH("Closed Date",'RAID Log'!$1:$1,0)),"")))</f>
        <v/>
      </c>
      <c r="P76" s="73" t="str">
        <f>IF($B76="","",IF(IFERROR(INDEX('RAID Log'!$1:$1048576,$B76,MATCH("Mitigation Strategy",'RAID Log'!$1:$1,0)),"")="","",IFERROR(INDEX('RAID Log'!$1:$1048576,$B76,MATCH("Mitigation Strategy",'RAID Log'!$1:$1,0)),"")))</f>
        <v/>
      </c>
      <c r="Q76" t="str">
        <f>IF($B76="","",IF(IFERROR(INDEX('RAID Log'!$1:$1048576,$B76,MATCH("RAID Response/Plan",'RAID Log'!$1:$1,0)),"")="","",IFERROR(INDEX('RAID Log'!$1:$1048576,$B76,MATCH("RAID Response/Plan",'RAID Log'!$1:$1,0)),"")))</f>
        <v/>
      </c>
    </row>
    <row r="77" spans="1:17" ht="12.75" customHeight="1">
      <c r="A77" s="91" t="str">
        <f>IF($B77="","",IF(IFERROR(INDEX('RAID Log'!$1:$1048576,$B77,MATCH("RAID ID",'RAID Log'!$1:$1,0)),"")="","",IFERROR(INDEX('RAID Log'!$1:$1048576,$B77,MATCH("RAID ID",'RAID Log'!$1:$1,0)),"")))</f>
        <v/>
      </c>
      <c r="B77" t="str">
        <f>IFERROR(MATCH(ROW()-1,'RAID Log'!$S:$S,0),"")</f>
        <v/>
      </c>
      <c r="C77" s="72" t="str">
        <f>IF($B77="","",IF(IFERROR(INDEX('RAID Log'!$1:$1048576,$B77,MATCH("Description",'RAID Log'!$1:$1,0)),"")="","",IFERROR(INDEX('RAID Log'!$1:$1048576,$B77,MATCH("Description",'RAID Log'!$1:$1,0)),"")))</f>
        <v/>
      </c>
      <c r="D77" s="72" t="str">
        <f>IF($B77="","",IF(IFERROR(INDEX('RAID Log'!$1:$1048576,$B77,MATCH("Impact/Effect of the RAID",'RAID Log'!$1:$1,0)),"")="","",IFERROR(INDEX('RAID Log'!$1:$1048576,$B77,MATCH("Impact/Effect of the RAID",'RAID Log'!$1:$1,0)),"")))</f>
        <v/>
      </c>
      <c r="E77" s="72" t="str">
        <f>IF($B77="","",IF(IFERROR(INDEX('RAID Log'!$1:$1048576,$B77,MATCH("Impact Area",'RAID Log'!$1:$1,0)),"")="","",IFERROR(INDEX('RAID Log'!$1:$1048576,$B77,MATCH("Impact Area",'RAID Log'!$1:$1,0)),"")))</f>
        <v/>
      </c>
      <c r="F77" t="str">
        <f>IF($B77="","",IF(IFERROR(INDEX('RAID Log'!$1:$1048576,$B77,MATCH("Impact Area",'RAID Log'!$1:$1,0)),"")="","",IFERROR(INDEX('RAID Log'!$1:$1048576,$B77,MATCH("Impact Area",'RAID Log'!$1:$1,0)),"")))</f>
        <v/>
      </c>
      <c r="G77" t="str">
        <f>IF($B77="","",IF(IFERROR(INDEX('RAID Log'!$1:$1048576,$B77,MATCH("Impact Rating",'RAID Log'!$1:$1,0)),"")="","",IFERROR(INDEX('RAID Log'!$1:$1048576,$B77,MATCH("Impact Rating",'RAID Log'!$1:$1,0)),"")))</f>
        <v/>
      </c>
      <c r="H77" t="str">
        <f>IF($B77="","",IF(IFERROR(INDEX('RAID Log'!$1:$1048576,$B77,MATCH("Initial Probability",'RAID Log'!$1:$1,0)),"")="","",IFERROR(INDEX('RAID Log'!$1:$1048576,$B77,MATCH("Initial Probability",'RAID Log'!$1:$1,0)),"")))</f>
        <v/>
      </c>
      <c r="I77" s="91" t="str">
        <f t="shared" si="3"/>
        <v/>
      </c>
      <c r="J77" t="str">
        <f t="shared" si="4"/>
        <v/>
      </c>
      <c r="K77" s="91" t="str">
        <f t="shared" si="5"/>
        <v/>
      </c>
      <c r="L77" t="str">
        <f>IF($B77="","",IF(IFERROR(INDEX('RAID Log'!$1:$1048576,$B77,MATCH("Status",'RAID Log'!$1:$1,0)),"")="","",IFERROR(INDEX('RAID Log'!$1:$1048576,$B77,MATCH("Status",'RAID Log'!$1:$1,0)),"")))</f>
        <v/>
      </c>
      <c r="M77" s="73" t="str">
        <f>IF($B77="","",IF(IFERROR(INDEX('RAID Log'!$1:$1048576,$B77,MATCH("RAID Owner",'RAID Log'!$1:$1,0)),"")="","",IFERROR(INDEX('RAID Log'!$1:$1048576,$B77,MATCH("RAID Owner",'RAID Log'!$1:$1,0)),"")))</f>
        <v/>
      </c>
      <c r="N77" s="92" t="str">
        <f>IF($B77="","",IF(IFERROR(INDEX('RAID Log'!$1:$1048576,$B77,MATCH("Date Raised",'RAID Log'!$1:$1,0)),"")="","",IFERROR(INDEX('RAID Log'!$1:$1048576,$B77,MATCH("Date Raised",'RAID Log'!$1:$1,0)),"")))</f>
        <v/>
      </c>
      <c r="O77" s="92" t="str">
        <f>IF($B77="","",IF(IFERROR(INDEX('RAID Log'!$1:$1048576,$B77,MATCH("Closed Date",'RAID Log'!$1:$1,0)),"")="","",IFERROR(INDEX('RAID Log'!$1:$1048576,$B77,MATCH("Closed Date",'RAID Log'!$1:$1,0)),"")))</f>
        <v/>
      </c>
      <c r="P77" s="73" t="str">
        <f>IF($B77="","",IF(IFERROR(INDEX('RAID Log'!$1:$1048576,$B77,MATCH("Mitigation Strategy",'RAID Log'!$1:$1,0)),"")="","",IFERROR(INDEX('RAID Log'!$1:$1048576,$B77,MATCH("Mitigation Strategy",'RAID Log'!$1:$1,0)),"")))</f>
        <v/>
      </c>
      <c r="Q77" t="str">
        <f>IF($B77="","",IF(IFERROR(INDEX('RAID Log'!$1:$1048576,$B77,MATCH("RAID Response/Plan",'RAID Log'!$1:$1,0)),"")="","",IFERROR(INDEX('RAID Log'!$1:$1048576,$B77,MATCH("RAID Response/Plan",'RAID Log'!$1:$1,0)),"")))</f>
        <v/>
      </c>
    </row>
    <row r="78" spans="1:17" ht="12.75" customHeight="1">
      <c r="A78" s="91" t="str">
        <f>IF($B78="","",IF(IFERROR(INDEX('RAID Log'!$1:$1048576,$B78,MATCH("RAID ID",'RAID Log'!$1:$1,0)),"")="","",IFERROR(INDEX('RAID Log'!$1:$1048576,$B78,MATCH("RAID ID",'RAID Log'!$1:$1,0)),"")))</f>
        <v/>
      </c>
      <c r="B78" t="str">
        <f>IFERROR(MATCH(ROW()-1,'RAID Log'!$S:$S,0),"")</f>
        <v/>
      </c>
      <c r="C78" s="72" t="str">
        <f>IF($B78="","",IF(IFERROR(INDEX('RAID Log'!$1:$1048576,$B78,MATCH("Description",'RAID Log'!$1:$1,0)),"")="","",IFERROR(INDEX('RAID Log'!$1:$1048576,$B78,MATCH("Description",'RAID Log'!$1:$1,0)),"")))</f>
        <v/>
      </c>
      <c r="D78" s="72" t="str">
        <f>IF($B78="","",IF(IFERROR(INDEX('RAID Log'!$1:$1048576,$B78,MATCH("Impact/Effect of the RAID",'RAID Log'!$1:$1,0)),"")="","",IFERROR(INDEX('RAID Log'!$1:$1048576,$B78,MATCH("Impact/Effect of the RAID",'RAID Log'!$1:$1,0)),"")))</f>
        <v/>
      </c>
      <c r="E78" s="72" t="str">
        <f>IF($B78="","",IF(IFERROR(INDEX('RAID Log'!$1:$1048576,$B78,MATCH("Impact Area",'RAID Log'!$1:$1,0)),"")="","",IFERROR(INDEX('RAID Log'!$1:$1048576,$B78,MATCH("Impact Area",'RAID Log'!$1:$1,0)),"")))</f>
        <v/>
      </c>
      <c r="F78" t="str">
        <f>IF($B78="","",IF(IFERROR(INDEX('RAID Log'!$1:$1048576,$B78,MATCH("Impact Area",'RAID Log'!$1:$1,0)),"")="","",IFERROR(INDEX('RAID Log'!$1:$1048576,$B78,MATCH("Impact Area",'RAID Log'!$1:$1,0)),"")))</f>
        <v/>
      </c>
      <c r="G78" t="str">
        <f>IF($B78="","",IF(IFERROR(INDEX('RAID Log'!$1:$1048576,$B78,MATCH("Impact Rating",'RAID Log'!$1:$1,0)),"")="","",IFERROR(INDEX('RAID Log'!$1:$1048576,$B78,MATCH("Impact Rating",'RAID Log'!$1:$1,0)),"")))</f>
        <v/>
      </c>
      <c r="H78" t="str">
        <f>IF($B78="","",IF(IFERROR(INDEX('RAID Log'!$1:$1048576,$B78,MATCH("Initial Probability",'RAID Log'!$1:$1,0)),"")="","",IFERROR(INDEX('RAID Log'!$1:$1048576,$B78,MATCH("Initial Probability",'RAID Log'!$1:$1,0)),"")))</f>
        <v/>
      </c>
      <c r="I78" s="91" t="str">
        <f t="shared" si="3"/>
        <v/>
      </c>
      <c r="J78" t="str">
        <f t="shared" si="4"/>
        <v/>
      </c>
      <c r="K78" s="91" t="str">
        <f t="shared" si="5"/>
        <v/>
      </c>
      <c r="L78" t="str">
        <f>IF($B78="","",IF(IFERROR(INDEX('RAID Log'!$1:$1048576,$B78,MATCH("Status",'RAID Log'!$1:$1,0)),"")="","",IFERROR(INDEX('RAID Log'!$1:$1048576,$B78,MATCH("Status",'RAID Log'!$1:$1,0)),"")))</f>
        <v/>
      </c>
      <c r="M78" s="73" t="str">
        <f>IF($B78="","",IF(IFERROR(INDEX('RAID Log'!$1:$1048576,$B78,MATCH("RAID Owner",'RAID Log'!$1:$1,0)),"")="","",IFERROR(INDEX('RAID Log'!$1:$1048576,$B78,MATCH("RAID Owner",'RAID Log'!$1:$1,0)),"")))</f>
        <v/>
      </c>
      <c r="N78" s="92" t="str">
        <f>IF($B78="","",IF(IFERROR(INDEX('RAID Log'!$1:$1048576,$B78,MATCH("Date Raised",'RAID Log'!$1:$1,0)),"")="","",IFERROR(INDEX('RAID Log'!$1:$1048576,$B78,MATCH("Date Raised",'RAID Log'!$1:$1,0)),"")))</f>
        <v/>
      </c>
      <c r="O78" s="92" t="str">
        <f>IF($B78="","",IF(IFERROR(INDEX('RAID Log'!$1:$1048576,$B78,MATCH("Closed Date",'RAID Log'!$1:$1,0)),"")="","",IFERROR(INDEX('RAID Log'!$1:$1048576,$B78,MATCH("Closed Date",'RAID Log'!$1:$1,0)),"")))</f>
        <v/>
      </c>
      <c r="P78" s="73" t="str">
        <f>IF($B78="","",IF(IFERROR(INDEX('RAID Log'!$1:$1048576,$B78,MATCH("Mitigation Strategy",'RAID Log'!$1:$1,0)),"")="","",IFERROR(INDEX('RAID Log'!$1:$1048576,$B78,MATCH("Mitigation Strategy",'RAID Log'!$1:$1,0)),"")))</f>
        <v/>
      </c>
      <c r="Q78" t="str">
        <f>IF($B78="","",IF(IFERROR(INDEX('RAID Log'!$1:$1048576,$B78,MATCH("RAID Response/Plan",'RAID Log'!$1:$1,0)),"")="","",IFERROR(INDEX('RAID Log'!$1:$1048576,$B78,MATCH("RAID Response/Plan",'RAID Log'!$1:$1,0)),"")))</f>
        <v/>
      </c>
    </row>
    <row r="79" spans="1:17" ht="12.75" customHeight="1">
      <c r="A79" s="91" t="str">
        <f>IF($B79="","",IF(IFERROR(INDEX('RAID Log'!$1:$1048576,$B79,MATCH("RAID ID",'RAID Log'!$1:$1,0)),"")="","",IFERROR(INDEX('RAID Log'!$1:$1048576,$B79,MATCH("RAID ID",'RAID Log'!$1:$1,0)),"")))</f>
        <v/>
      </c>
      <c r="B79" t="str">
        <f>IFERROR(MATCH(ROW()-1,'RAID Log'!$S:$S,0),"")</f>
        <v/>
      </c>
      <c r="C79" s="72" t="str">
        <f>IF($B79="","",IF(IFERROR(INDEX('RAID Log'!$1:$1048576,$B79,MATCH("Description",'RAID Log'!$1:$1,0)),"")="","",IFERROR(INDEX('RAID Log'!$1:$1048576,$B79,MATCH("Description",'RAID Log'!$1:$1,0)),"")))</f>
        <v/>
      </c>
      <c r="D79" s="72" t="str">
        <f>IF($B79="","",IF(IFERROR(INDEX('RAID Log'!$1:$1048576,$B79,MATCH("Impact/Effect of the RAID",'RAID Log'!$1:$1,0)),"")="","",IFERROR(INDEX('RAID Log'!$1:$1048576,$B79,MATCH("Impact/Effect of the RAID",'RAID Log'!$1:$1,0)),"")))</f>
        <v/>
      </c>
      <c r="E79" s="72" t="str">
        <f>IF($B79="","",IF(IFERROR(INDEX('RAID Log'!$1:$1048576,$B79,MATCH("Impact Area",'RAID Log'!$1:$1,0)),"")="","",IFERROR(INDEX('RAID Log'!$1:$1048576,$B79,MATCH("Impact Area",'RAID Log'!$1:$1,0)),"")))</f>
        <v/>
      </c>
      <c r="F79" t="str">
        <f>IF($B79="","",IF(IFERROR(INDEX('RAID Log'!$1:$1048576,$B79,MATCH("Impact Area",'RAID Log'!$1:$1,0)),"")="","",IFERROR(INDEX('RAID Log'!$1:$1048576,$B79,MATCH("Impact Area",'RAID Log'!$1:$1,0)),"")))</f>
        <v/>
      </c>
      <c r="G79" t="str">
        <f>IF($B79="","",IF(IFERROR(INDEX('RAID Log'!$1:$1048576,$B79,MATCH("Impact Rating",'RAID Log'!$1:$1,0)),"")="","",IFERROR(INDEX('RAID Log'!$1:$1048576,$B79,MATCH("Impact Rating",'RAID Log'!$1:$1,0)),"")))</f>
        <v/>
      </c>
      <c r="H79" t="str">
        <f>IF($B79="","",IF(IFERROR(INDEX('RAID Log'!$1:$1048576,$B79,MATCH("Initial Probability",'RAID Log'!$1:$1,0)),"")="","",IFERROR(INDEX('RAID Log'!$1:$1048576,$B79,MATCH("Initial Probability",'RAID Log'!$1:$1,0)),"")))</f>
        <v/>
      </c>
      <c r="I79" s="91" t="str">
        <f t="shared" si="3"/>
        <v/>
      </c>
      <c r="J79" t="str">
        <f t="shared" si="4"/>
        <v/>
      </c>
      <c r="K79" s="91" t="str">
        <f t="shared" si="5"/>
        <v/>
      </c>
      <c r="L79" t="str">
        <f>IF($B79="","",IF(IFERROR(INDEX('RAID Log'!$1:$1048576,$B79,MATCH("Status",'RAID Log'!$1:$1,0)),"")="","",IFERROR(INDEX('RAID Log'!$1:$1048576,$B79,MATCH("Status",'RAID Log'!$1:$1,0)),"")))</f>
        <v/>
      </c>
      <c r="M79" s="73" t="str">
        <f>IF($B79="","",IF(IFERROR(INDEX('RAID Log'!$1:$1048576,$B79,MATCH("RAID Owner",'RAID Log'!$1:$1,0)),"")="","",IFERROR(INDEX('RAID Log'!$1:$1048576,$B79,MATCH("RAID Owner",'RAID Log'!$1:$1,0)),"")))</f>
        <v/>
      </c>
      <c r="N79" s="92" t="str">
        <f>IF($B79="","",IF(IFERROR(INDEX('RAID Log'!$1:$1048576,$B79,MATCH("Date Raised",'RAID Log'!$1:$1,0)),"")="","",IFERROR(INDEX('RAID Log'!$1:$1048576,$B79,MATCH("Date Raised",'RAID Log'!$1:$1,0)),"")))</f>
        <v/>
      </c>
      <c r="O79" s="92" t="str">
        <f>IF($B79="","",IF(IFERROR(INDEX('RAID Log'!$1:$1048576,$B79,MATCH("Closed Date",'RAID Log'!$1:$1,0)),"")="","",IFERROR(INDEX('RAID Log'!$1:$1048576,$B79,MATCH("Closed Date",'RAID Log'!$1:$1,0)),"")))</f>
        <v/>
      </c>
      <c r="P79" s="73" t="str">
        <f>IF($B79="","",IF(IFERROR(INDEX('RAID Log'!$1:$1048576,$B79,MATCH("Mitigation Strategy",'RAID Log'!$1:$1,0)),"")="","",IFERROR(INDEX('RAID Log'!$1:$1048576,$B79,MATCH("Mitigation Strategy",'RAID Log'!$1:$1,0)),"")))</f>
        <v/>
      </c>
      <c r="Q79" t="str">
        <f>IF($B79="","",IF(IFERROR(INDEX('RAID Log'!$1:$1048576,$B79,MATCH("RAID Response/Plan",'RAID Log'!$1:$1,0)),"")="","",IFERROR(INDEX('RAID Log'!$1:$1048576,$B79,MATCH("RAID Response/Plan",'RAID Log'!$1:$1,0)),"")))</f>
        <v/>
      </c>
    </row>
    <row r="80" spans="1:17" ht="12.75" customHeight="1">
      <c r="A80" s="91" t="str">
        <f>IF($B80="","",IF(IFERROR(INDEX('RAID Log'!$1:$1048576,$B80,MATCH("RAID ID",'RAID Log'!$1:$1,0)),"")="","",IFERROR(INDEX('RAID Log'!$1:$1048576,$B80,MATCH("RAID ID",'RAID Log'!$1:$1,0)),"")))</f>
        <v/>
      </c>
      <c r="B80" t="str">
        <f>IFERROR(MATCH(ROW()-1,'RAID Log'!$S:$S,0),"")</f>
        <v/>
      </c>
      <c r="C80" s="72" t="str">
        <f>IF($B80="","",IF(IFERROR(INDEX('RAID Log'!$1:$1048576,$B80,MATCH("Description",'RAID Log'!$1:$1,0)),"")="","",IFERROR(INDEX('RAID Log'!$1:$1048576,$B80,MATCH("Description",'RAID Log'!$1:$1,0)),"")))</f>
        <v/>
      </c>
      <c r="D80" s="72" t="str">
        <f>IF($B80="","",IF(IFERROR(INDEX('RAID Log'!$1:$1048576,$B80,MATCH("Impact/Effect of the RAID",'RAID Log'!$1:$1,0)),"")="","",IFERROR(INDEX('RAID Log'!$1:$1048576,$B80,MATCH("Impact/Effect of the RAID",'RAID Log'!$1:$1,0)),"")))</f>
        <v/>
      </c>
      <c r="E80" s="72" t="str">
        <f>IF($B80="","",IF(IFERROR(INDEX('RAID Log'!$1:$1048576,$B80,MATCH("Impact Area",'RAID Log'!$1:$1,0)),"")="","",IFERROR(INDEX('RAID Log'!$1:$1048576,$B80,MATCH("Impact Area",'RAID Log'!$1:$1,0)),"")))</f>
        <v/>
      </c>
      <c r="F80" t="str">
        <f>IF($B80="","",IF(IFERROR(INDEX('RAID Log'!$1:$1048576,$B80,MATCH("Impact Area",'RAID Log'!$1:$1,0)),"")="","",IFERROR(INDEX('RAID Log'!$1:$1048576,$B80,MATCH("Impact Area",'RAID Log'!$1:$1,0)),"")))</f>
        <v/>
      </c>
      <c r="G80" t="str">
        <f>IF($B80="","",IF(IFERROR(INDEX('RAID Log'!$1:$1048576,$B80,MATCH("Impact Rating",'RAID Log'!$1:$1,0)),"")="","",IFERROR(INDEX('RAID Log'!$1:$1048576,$B80,MATCH("Impact Rating",'RAID Log'!$1:$1,0)),"")))</f>
        <v/>
      </c>
      <c r="H80" t="str">
        <f>IF($B80="","",IF(IFERROR(INDEX('RAID Log'!$1:$1048576,$B80,MATCH("Initial Probability",'RAID Log'!$1:$1,0)),"")="","",IFERROR(INDEX('RAID Log'!$1:$1048576,$B80,MATCH("Initial Probability",'RAID Log'!$1:$1,0)),"")))</f>
        <v/>
      </c>
      <c r="I80" s="91" t="str">
        <f t="shared" si="3"/>
        <v/>
      </c>
      <c r="J80" t="str">
        <f t="shared" si="4"/>
        <v/>
      </c>
      <c r="K80" s="91" t="str">
        <f t="shared" si="5"/>
        <v/>
      </c>
      <c r="L80" t="str">
        <f>IF($B80="","",IF(IFERROR(INDEX('RAID Log'!$1:$1048576,$B80,MATCH("Status",'RAID Log'!$1:$1,0)),"")="","",IFERROR(INDEX('RAID Log'!$1:$1048576,$B80,MATCH("Status",'RAID Log'!$1:$1,0)),"")))</f>
        <v/>
      </c>
      <c r="M80" s="73" t="str">
        <f>IF($B80="","",IF(IFERROR(INDEX('RAID Log'!$1:$1048576,$B80,MATCH("RAID Owner",'RAID Log'!$1:$1,0)),"")="","",IFERROR(INDEX('RAID Log'!$1:$1048576,$B80,MATCH("RAID Owner",'RAID Log'!$1:$1,0)),"")))</f>
        <v/>
      </c>
      <c r="N80" s="92" t="str">
        <f>IF($B80="","",IF(IFERROR(INDEX('RAID Log'!$1:$1048576,$B80,MATCH("Date Raised",'RAID Log'!$1:$1,0)),"")="","",IFERROR(INDEX('RAID Log'!$1:$1048576,$B80,MATCH("Date Raised",'RAID Log'!$1:$1,0)),"")))</f>
        <v/>
      </c>
      <c r="O80" s="92" t="str">
        <f>IF($B80="","",IF(IFERROR(INDEX('RAID Log'!$1:$1048576,$B80,MATCH("Closed Date",'RAID Log'!$1:$1,0)),"")="","",IFERROR(INDEX('RAID Log'!$1:$1048576,$B80,MATCH("Closed Date",'RAID Log'!$1:$1,0)),"")))</f>
        <v/>
      </c>
      <c r="P80" s="73" t="str">
        <f>IF($B80="","",IF(IFERROR(INDEX('RAID Log'!$1:$1048576,$B80,MATCH("Mitigation Strategy",'RAID Log'!$1:$1,0)),"")="","",IFERROR(INDEX('RAID Log'!$1:$1048576,$B80,MATCH("Mitigation Strategy",'RAID Log'!$1:$1,0)),"")))</f>
        <v/>
      </c>
      <c r="Q80" t="str">
        <f>IF($B80="","",IF(IFERROR(INDEX('RAID Log'!$1:$1048576,$B80,MATCH("RAID Response/Plan",'RAID Log'!$1:$1,0)),"")="","",IFERROR(INDEX('RAID Log'!$1:$1048576,$B80,MATCH("RAID Response/Plan",'RAID Log'!$1:$1,0)),"")))</f>
        <v/>
      </c>
    </row>
    <row r="81" spans="1:17" ht="12.75" customHeight="1">
      <c r="A81" s="91" t="str">
        <f>IF($B81="","",IF(IFERROR(INDEX('RAID Log'!$1:$1048576,$B81,MATCH("RAID ID",'RAID Log'!$1:$1,0)),"")="","",IFERROR(INDEX('RAID Log'!$1:$1048576,$B81,MATCH("RAID ID",'RAID Log'!$1:$1,0)),"")))</f>
        <v/>
      </c>
      <c r="B81" t="str">
        <f>IFERROR(MATCH(ROW()-1,'RAID Log'!$S:$S,0),"")</f>
        <v/>
      </c>
      <c r="C81" s="72" t="str">
        <f>IF($B81="","",IF(IFERROR(INDEX('RAID Log'!$1:$1048576,$B81,MATCH("Description",'RAID Log'!$1:$1,0)),"")="","",IFERROR(INDEX('RAID Log'!$1:$1048576,$B81,MATCH("Description",'RAID Log'!$1:$1,0)),"")))</f>
        <v/>
      </c>
      <c r="D81" s="72" t="str">
        <f>IF($B81="","",IF(IFERROR(INDEX('RAID Log'!$1:$1048576,$B81,MATCH("Impact/Effect of the RAID",'RAID Log'!$1:$1,0)),"")="","",IFERROR(INDEX('RAID Log'!$1:$1048576,$B81,MATCH("Impact/Effect of the RAID",'RAID Log'!$1:$1,0)),"")))</f>
        <v/>
      </c>
      <c r="E81" s="72" t="str">
        <f>IF($B81="","",IF(IFERROR(INDEX('RAID Log'!$1:$1048576,$B81,MATCH("Impact Area",'RAID Log'!$1:$1,0)),"")="","",IFERROR(INDEX('RAID Log'!$1:$1048576,$B81,MATCH("Impact Area",'RAID Log'!$1:$1,0)),"")))</f>
        <v/>
      </c>
      <c r="F81" t="str">
        <f>IF($B81="","",IF(IFERROR(INDEX('RAID Log'!$1:$1048576,$B81,MATCH("Impact Area",'RAID Log'!$1:$1,0)),"")="","",IFERROR(INDEX('RAID Log'!$1:$1048576,$B81,MATCH("Impact Area",'RAID Log'!$1:$1,0)),"")))</f>
        <v/>
      </c>
      <c r="G81" t="str">
        <f>IF($B81="","",IF(IFERROR(INDEX('RAID Log'!$1:$1048576,$B81,MATCH("Impact Rating",'RAID Log'!$1:$1,0)),"")="","",IFERROR(INDEX('RAID Log'!$1:$1048576,$B81,MATCH("Impact Rating",'RAID Log'!$1:$1,0)),"")))</f>
        <v/>
      </c>
      <c r="H81" t="str">
        <f>IF($B81="","",IF(IFERROR(INDEX('RAID Log'!$1:$1048576,$B81,MATCH("Initial Probability",'RAID Log'!$1:$1,0)),"")="","",IFERROR(INDEX('RAID Log'!$1:$1048576,$B81,MATCH("Initial Probability",'RAID Log'!$1:$1,0)),"")))</f>
        <v/>
      </c>
      <c r="I81" s="91" t="str">
        <f t="shared" si="3"/>
        <v/>
      </c>
      <c r="J81" t="str">
        <f t="shared" si="4"/>
        <v/>
      </c>
      <c r="K81" s="91" t="str">
        <f t="shared" si="5"/>
        <v/>
      </c>
      <c r="L81" t="str">
        <f>IF($B81="","",IF(IFERROR(INDEX('RAID Log'!$1:$1048576,$B81,MATCH("Status",'RAID Log'!$1:$1,0)),"")="","",IFERROR(INDEX('RAID Log'!$1:$1048576,$B81,MATCH("Status",'RAID Log'!$1:$1,0)),"")))</f>
        <v/>
      </c>
      <c r="M81" s="73" t="str">
        <f>IF($B81="","",IF(IFERROR(INDEX('RAID Log'!$1:$1048576,$B81,MATCH("RAID Owner",'RAID Log'!$1:$1,0)),"")="","",IFERROR(INDEX('RAID Log'!$1:$1048576,$B81,MATCH("RAID Owner",'RAID Log'!$1:$1,0)),"")))</f>
        <v/>
      </c>
      <c r="N81" s="92" t="str">
        <f>IF($B81="","",IF(IFERROR(INDEX('RAID Log'!$1:$1048576,$B81,MATCH("Date Raised",'RAID Log'!$1:$1,0)),"")="","",IFERROR(INDEX('RAID Log'!$1:$1048576,$B81,MATCH("Date Raised",'RAID Log'!$1:$1,0)),"")))</f>
        <v/>
      </c>
      <c r="O81" s="92" t="str">
        <f>IF($B81="","",IF(IFERROR(INDEX('RAID Log'!$1:$1048576,$B81,MATCH("Closed Date",'RAID Log'!$1:$1,0)),"")="","",IFERROR(INDEX('RAID Log'!$1:$1048576,$B81,MATCH("Closed Date",'RAID Log'!$1:$1,0)),"")))</f>
        <v/>
      </c>
      <c r="P81" s="73" t="str">
        <f>IF($B81="","",IF(IFERROR(INDEX('RAID Log'!$1:$1048576,$B81,MATCH("Mitigation Strategy",'RAID Log'!$1:$1,0)),"")="","",IFERROR(INDEX('RAID Log'!$1:$1048576,$B81,MATCH("Mitigation Strategy",'RAID Log'!$1:$1,0)),"")))</f>
        <v/>
      </c>
      <c r="Q81" t="str">
        <f>IF($B81="","",IF(IFERROR(INDEX('RAID Log'!$1:$1048576,$B81,MATCH("RAID Response/Plan",'RAID Log'!$1:$1,0)),"")="","",IFERROR(INDEX('RAID Log'!$1:$1048576,$B81,MATCH("RAID Response/Plan",'RAID Log'!$1:$1,0)),"")))</f>
        <v/>
      </c>
    </row>
    <row r="82" spans="1:17" ht="12.75" customHeight="1">
      <c r="A82" s="91" t="str">
        <f>IF($B82="","",IF(IFERROR(INDEX('RAID Log'!$1:$1048576,$B82,MATCH("RAID ID",'RAID Log'!$1:$1,0)),"")="","",IFERROR(INDEX('RAID Log'!$1:$1048576,$B82,MATCH("RAID ID",'RAID Log'!$1:$1,0)),"")))</f>
        <v/>
      </c>
      <c r="B82" t="str">
        <f>IFERROR(MATCH(ROW()-1,'RAID Log'!$S:$S,0),"")</f>
        <v/>
      </c>
      <c r="C82" s="72" t="str">
        <f>IF($B82="","",IF(IFERROR(INDEX('RAID Log'!$1:$1048576,$B82,MATCH("Description",'RAID Log'!$1:$1,0)),"")="","",IFERROR(INDEX('RAID Log'!$1:$1048576,$B82,MATCH("Description",'RAID Log'!$1:$1,0)),"")))</f>
        <v/>
      </c>
      <c r="D82" s="72" t="str">
        <f>IF($B82="","",IF(IFERROR(INDEX('RAID Log'!$1:$1048576,$B82,MATCH("Impact/Effect of the RAID",'RAID Log'!$1:$1,0)),"")="","",IFERROR(INDEX('RAID Log'!$1:$1048576,$B82,MATCH("Impact/Effect of the RAID",'RAID Log'!$1:$1,0)),"")))</f>
        <v/>
      </c>
      <c r="E82" s="72" t="str">
        <f>IF($B82="","",IF(IFERROR(INDEX('RAID Log'!$1:$1048576,$B82,MATCH("Impact Area",'RAID Log'!$1:$1,0)),"")="","",IFERROR(INDEX('RAID Log'!$1:$1048576,$B82,MATCH("Impact Area",'RAID Log'!$1:$1,0)),"")))</f>
        <v/>
      </c>
      <c r="F82" t="str">
        <f>IF($B82="","",IF(IFERROR(INDEX('RAID Log'!$1:$1048576,$B82,MATCH("Impact Area",'RAID Log'!$1:$1,0)),"")="","",IFERROR(INDEX('RAID Log'!$1:$1048576,$B82,MATCH("Impact Area",'RAID Log'!$1:$1,0)),"")))</f>
        <v/>
      </c>
      <c r="G82" t="str">
        <f>IF($B82="","",IF(IFERROR(INDEX('RAID Log'!$1:$1048576,$B82,MATCH("Impact Rating",'RAID Log'!$1:$1,0)),"")="","",IFERROR(INDEX('RAID Log'!$1:$1048576,$B82,MATCH("Impact Rating",'RAID Log'!$1:$1,0)),"")))</f>
        <v/>
      </c>
      <c r="H82" t="str">
        <f>IF($B82="","",IF(IFERROR(INDEX('RAID Log'!$1:$1048576,$B82,MATCH("Initial Probability",'RAID Log'!$1:$1,0)),"")="","",IFERROR(INDEX('RAID Log'!$1:$1048576,$B82,MATCH("Initial Probability",'RAID Log'!$1:$1,0)),"")))</f>
        <v/>
      </c>
      <c r="I82" s="91" t="str">
        <f t="shared" si="3"/>
        <v/>
      </c>
      <c r="J82" t="str">
        <f t="shared" si="4"/>
        <v/>
      </c>
      <c r="K82" s="91" t="str">
        <f t="shared" si="5"/>
        <v/>
      </c>
      <c r="L82" t="str">
        <f>IF($B82="","",IF(IFERROR(INDEX('RAID Log'!$1:$1048576,$B82,MATCH("Status",'RAID Log'!$1:$1,0)),"")="","",IFERROR(INDEX('RAID Log'!$1:$1048576,$B82,MATCH("Status",'RAID Log'!$1:$1,0)),"")))</f>
        <v/>
      </c>
      <c r="M82" s="73" t="str">
        <f>IF($B82="","",IF(IFERROR(INDEX('RAID Log'!$1:$1048576,$B82,MATCH("RAID Owner",'RAID Log'!$1:$1,0)),"")="","",IFERROR(INDEX('RAID Log'!$1:$1048576,$B82,MATCH("RAID Owner",'RAID Log'!$1:$1,0)),"")))</f>
        <v/>
      </c>
      <c r="N82" s="92" t="str">
        <f>IF($B82="","",IF(IFERROR(INDEX('RAID Log'!$1:$1048576,$B82,MATCH("Date Raised",'RAID Log'!$1:$1,0)),"")="","",IFERROR(INDEX('RAID Log'!$1:$1048576,$B82,MATCH("Date Raised",'RAID Log'!$1:$1,0)),"")))</f>
        <v/>
      </c>
      <c r="O82" s="92" t="str">
        <f>IF($B82="","",IF(IFERROR(INDEX('RAID Log'!$1:$1048576,$B82,MATCH("Closed Date",'RAID Log'!$1:$1,0)),"")="","",IFERROR(INDEX('RAID Log'!$1:$1048576,$B82,MATCH("Closed Date",'RAID Log'!$1:$1,0)),"")))</f>
        <v/>
      </c>
      <c r="P82" s="73" t="str">
        <f>IF($B82="","",IF(IFERROR(INDEX('RAID Log'!$1:$1048576,$B82,MATCH("Mitigation Strategy",'RAID Log'!$1:$1,0)),"")="","",IFERROR(INDEX('RAID Log'!$1:$1048576,$B82,MATCH("Mitigation Strategy",'RAID Log'!$1:$1,0)),"")))</f>
        <v/>
      </c>
      <c r="Q82" t="str">
        <f>IF($B82="","",IF(IFERROR(INDEX('RAID Log'!$1:$1048576,$B82,MATCH("RAID Response/Plan",'RAID Log'!$1:$1,0)),"")="","",IFERROR(INDEX('RAID Log'!$1:$1048576,$B82,MATCH("RAID Response/Plan",'RAID Log'!$1:$1,0)),"")))</f>
        <v/>
      </c>
    </row>
    <row r="83" spans="1:17" ht="12.75" customHeight="1">
      <c r="A83" s="91" t="str">
        <f>IF($B83="","",IF(IFERROR(INDEX('RAID Log'!$1:$1048576,$B83,MATCH("RAID ID",'RAID Log'!$1:$1,0)),"")="","",IFERROR(INDEX('RAID Log'!$1:$1048576,$B83,MATCH("RAID ID",'RAID Log'!$1:$1,0)),"")))</f>
        <v/>
      </c>
      <c r="B83" t="str">
        <f>IFERROR(MATCH(ROW()-1,'RAID Log'!$S:$S,0),"")</f>
        <v/>
      </c>
      <c r="C83" s="72" t="str">
        <f>IF($B83="","",IF(IFERROR(INDEX('RAID Log'!$1:$1048576,$B83,MATCH("Description",'RAID Log'!$1:$1,0)),"")="","",IFERROR(INDEX('RAID Log'!$1:$1048576,$B83,MATCH("Description",'RAID Log'!$1:$1,0)),"")))</f>
        <v/>
      </c>
      <c r="D83" s="72" t="str">
        <f>IF($B83="","",IF(IFERROR(INDEX('RAID Log'!$1:$1048576,$B83,MATCH("Impact/Effect of the RAID",'RAID Log'!$1:$1,0)),"")="","",IFERROR(INDEX('RAID Log'!$1:$1048576,$B83,MATCH("Impact/Effect of the RAID",'RAID Log'!$1:$1,0)),"")))</f>
        <v/>
      </c>
      <c r="E83" s="72" t="str">
        <f>IF($B83="","",IF(IFERROR(INDEX('RAID Log'!$1:$1048576,$B83,MATCH("Impact Area",'RAID Log'!$1:$1,0)),"")="","",IFERROR(INDEX('RAID Log'!$1:$1048576,$B83,MATCH("Impact Area",'RAID Log'!$1:$1,0)),"")))</f>
        <v/>
      </c>
      <c r="F83" t="str">
        <f>IF($B83="","",IF(IFERROR(INDEX('RAID Log'!$1:$1048576,$B83,MATCH("Impact Area",'RAID Log'!$1:$1,0)),"")="","",IFERROR(INDEX('RAID Log'!$1:$1048576,$B83,MATCH("Impact Area",'RAID Log'!$1:$1,0)),"")))</f>
        <v/>
      </c>
      <c r="G83" t="str">
        <f>IF($B83="","",IF(IFERROR(INDEX('RAID Log'!$1:$1048576,$B83,MATCH("Impact Rating",'RAID Log'!$1:$1,0)),"")="","",IFERROR(INDEX('RAID Log'!$1:$1048576,$B83,MATCH("Impact Rating",'RAID Log'!$1:$1,0)),"")))</f>
        <v/>
      </c>
      <c r="H83" t="str">
        <f>IF($B83="","",IF(IFERROR(INDEX('RAID Log'!$1:$1048576,$B83,MATCH("Initial Probability",'RAID Log'!$1:$1,0)),"")="","",IFERROR(INDEX('RAID Log'!$1:$1048576,$B83,MATCH("Initial Probability",'RAID Log'!$1:$1,0)),"")))</f>
        <v/>
      </c>
      <c r="I83" s="91" t="str">
        <f t="shared" si="3"/>
        <v/>
      </c>
      <c r="J83" t="str">
        <f t="shared" si="4"/>
        <v/>
      </c>
      <c r="K83" s="91" t="str">
        <f t="shared" si="5"/>
        <v/>
      </c>
      <c r="L83" t="str">
        <f>IF($B83="","",IF(IFERROR(INDEX('RAID Log'!$1:$1048576,$B83,MATCH("Status",'RAID Log'!$1:$1,0)),"")="","",IFERROR(INDEX('RAID Log'!$1:$1048576,$B83,MATCH("Status",'RAID Log'!$1:$1,0)),"")))</f>
        <v/>
      </c>
      <c r="M83" s="73" t="str">
        <f>IF($B83="","",IF(IFERROR(INDEX('RAID Log'!$1:$1048576,$B83,MATCH("RAID Owner",'RAID Log'!$1:$1,0)),"")="","",IFERROR(INDEX('RAID Log'!$1:$1048576,$B83,MATCH("RAID Owner",'RAID Log'!$1:$1,0)),"")))</f>
        <v/>
      </c>
      <c r="N83" s="92" t="str">
        <f>IF($B83="","",IF(IFERROR(INDEX('RAID Log'!$1:$1048576,$B83,MATCH("Date Raised",'RAID Log'!$1:$1,0)),"")="","",IFERROR(INDEX('RAID Log'!$1:$1048576,$B83,MATCH("Date Raised",'RAID Log'!$1:$1,0)),"")))</f>
        <v/>
      </c>
      <c r="O83" s="92" t="str">
        <f>IF($B83="","",IF(IFERROR(INDEX('RAID Log'!$1:$1048576,$B83,MATCH("Closed Date",'RAID Log'!$1:$1,0)),"")="","",IFERROR(INDEX('RAID Log'!$1:$1048576,$B83,MATCH("Closed Date",'RAID Log'!$1:$1,0)),"")))</f>
        <v/>
      </c>
      <c r="P83" s="73" t="str">
        <f>IF($B83="","",IF(IFERROR(INDEX('RAID Log'!$1:$1048576,$B83,MATCH("Mitigation Strategy",'RAID Log'!$1:$1,0)),"")="","",IFERROR(INDEX('RAID Log'!$1:$1048576,$B83,MATCH("Mitigation Strategy",'RAID Log'!$1:$1,0)),"")))</f>
        <v/>
      </c>
      <c r="Q83" t="str">
        <f>IF($B83="","",IF(IFERROR(INDEX('RAID Log'!$1:$1048576,$B83,MATCH("RAID Response/Plan",'RAID Log'!$1:$1,0)),"")="","",IFERROR(INDEX('RAID Log'!$1:$1048576,$B83,MATCH("RAID Response/Plan",'RAID Log'!$1:$1,0)),"")))</f>
        <v/>
      </c>
    </row>
    <row r="84" spans="1:17" ht="12.75" customHeight="1">
      <c r="A84" s="91" t="str">
        <f>IF($B84="","",IF(IFERROR(INDEX('RAID Log'!$1:$1048576,$B84,MATCH("RAID ID",'RAID Log'!$1:$1,0)),"")="","",IFERROR(INDEX('RAID Log'!$1:$1048576,$B84,MATCH("RAID ID",'RAID Log'!$1:$1,0)),"")))</f>
        <v/>
      </c>
      <c r="B84" t="str">
        <f>IFERROR(MATCH(ROW()-1,'RAID Log'!$S:$S,0),"")</f>
        <v/>
      </c>
      <c r="C84" s="72" t="str">
        <f>IF($B84="","",IF(IFERROR(INDEX('RAID Log'!$1:$1048576,$B84,MATCH("Description",'RAID Log'!$1:$1,0)),"")="","",IFERROR(INDEX('RAID Log'!$1:$1048576,$B84,MATCH("Description",'RAID Log'!$1:$1,0)),"")))</f>
        <v/>
      </c>
      <c r="D84" s="72" t="str">
        <f>IF($B84="","",IF(IFERROR(INDEX('RAID Log'!$1:$1048576,$B84,MATCH("Impact/Effect of the RAID",'RAID Log'!$1:$1,0)),"")="","",IFERROR(INDEX('RAID Log'!$1:$1048576,$B84,MATCH("Impact/Effect of the RAID",'RAID Log'!$1:$1,0)),"")))</f>
        <v/>
      </c>
      <c r="E84" s="72" t="str">
        <f>IF($B84="","",IF(IFERROR(INDEX('RAID Log'!$1:$1048576,$B84,MATCH("Impact Area",'RAID Log'!$1:$1,0)),"")="","",IFERROR(INDEX('RAID Log'!$1:$1048576,$B84,MATCH("Impact Area",'RAID Log'!$1:$1,0)),"")))</f>
        <v/>
      </c>
      <c r="F84" t="str">
        <f>IF($B84="","",IF(IFERROR(INDEX('RAID Log'!$1:$1048576,$B84,MATCH("Impact Area",'RAID Log'!$1:$1,0)),"")="","",IFERROR(INDEX('RAID Log'!$1:$1048576,$B84,MATCH("Impact Area",'RAID Log'!$1:$1,0)),"")))</f>
        <v/>
      </c>
      <c r="G84" t="str">
        <f>IF($B84="","",IF(IFERROR(INDEX('RAID Log'!$1:$1048576,$B84,MATCH("Impact Rating",'RAID Log'!$1:$1,0)),"")="","",IFERROR(INDEX('RAID Log'!$1:$1048576,$B84,MATCH("Impact Rating",'RAID Log'!$1:$1,0)),"")))</f>
        <v/>
      </c>
      <c r="H84" t="str">
        <f>IF($B84="","",IF(IFERROR(INDEX('RAID Log'!$1:$1048576,$B84,MATCH("Initial Probability",'RAID Log'!$1:$1,0)),"")="","",IFERROR(INDEX('RAID Log'!$1:$1048576,$B84,MATCH("Initial Probability",'RAID Log'!$1:$1,0)),"")))</f>
        <v/>
      </c>
      <c r="I84" s="91" t="str">
        <f t="shared" si="3"/>
        <v/>
      </c>
      <c r="J84" t="str">
        <f t="shared" si="4"/>
        <v/>
      </c>
      <c r="K84" s="91" t="str">
        <f t="shared" si="5"/>
        <v/>
      </c>
      <c r="L84" t="str">
        <f>IF($B84="","",IF(IFERROR(INDEX('RAID Log'!$1:$1048576,$B84,MATCH("Status",'RAID Log'!$1:$1,0)),"")="","",IFERROR(INDEX('RAID Log'!$1:$1048576,$B84,MATCH("Status",'RAID Log'!$1:$1,0)),"")))</f>
        <v/>
      </c>
      <c r="M84" s="73" t="str">
        <f>IF($B84="","",IF(IFERROR(INDEX('RAID Log'!$1:$1048576,$B84,MATCH("RAID Owner",'RAID Log'!$1:$1,0)),"")="","",IFERROR(INDEX('RAID Log'!$1:$1048576,$B84,MATCH("RAID Owner",'RAID Log'!$1:$1,0)),"")))</f>
        <v/>
      </c>
      <c r="N84" s="92" t="str">
        <f>IF($B84="","",IF(IFERROR(INDEX('RAID Log'!$1:$1048576,$B84,MATCH("Date Raised",'RAID Log'!$1:$1,0)),"")="","",IFERROR(INDEX('RAID Log'!$1:$1048576,$B84,MATCH("Date Raised",'RAID Log'!$1:$1,0)),"")))</f>
        <v/>
      </c>
      <c r="O84" s="92" t="str">
        <f>IF($B84="","",IF(IFERROR(INDEX('RAID Log'!$1:$1048576,$B84,MATCH("Closed Date",'RAID Log'!$1:$1,0)),"")="","",IFERROR(INDEX('RAID Log'!$1:$1048576,$B84,MATCH("Closed Date",'RAID Log'!$1:$1,0)),"")))</f>
        <v/>
      </c>
      <c r="P84" s="73" t="str">
        <f>IF($B84="","",IF(IFERROR(INDEX('RAID Log'!$1:$1048576,$B84,MATCH("Mitigation Strategy",'RAID Log'!$1:$1,0)),"")="","",IFERROR(INDEX('RAID Log'!$1:$1048576,$B84,MATCH("Mitigation Strategy",'RAID Log'!$1:$1,0)),"")))</f>
        <v/>
      </c>
      <c r="Q84" t="str">
        <f>IF($B84="","",IF(IFERROR(INDEX('RAID Log'!$1:$1048576,$B84,MATCH("RAID Response/Plan",'RAID Log'!$1:$1,0)),"")="","",IFERROR(INDEX('RAID Log'!$1:$1048576,$B84,MATCH("RAID Response/Plan",'RAID Log'!$1:$1,0)),"")))</f>
        <v/>
      </c>
    </row>
    <row r="85" spans="1:17" ht="12.75" customHeight="1">
      <c r="A85" s="91" t="str">
        <f>IF($B85="","",IF(IFERROR(INDEX('RAID Log'!$1:$1048576,$B85,MATCH("RAID ID",'RAID Log'!$1:$1,0)),"")="","",IFERROR(INDEX('RAID Log'!$1:$1048576,$B85,MATCH("RAID ID",'RAID Log'!$1:$1,0)),"")))</f>
        <v/>
      </c>
      <c r="B85" t="str">
        <f>IFERROR(MATCH(ROW()-1,'RAID Log'!$S:$S,0),"")</f>
        <v/>
      </c>
      <c r="C85" s="72" t="str">
        <f>IF($B85="","",IF(IFERROR(INDEX('RAID Log'!$1:$1048576,$B85,MATCH("Description",'RAID Log'!$1:$1,0)),"")="","",IFERROR(INDEX('RAID Log'!$1:$1048576,$B85,MATCH("Description",'RAID Log'!$1:$1,0)),"")))</f>
        <v/>
      </c>
      <c r="D85" s="72" t="str">
        <f>IF($B85="","",IF(IFERROR(INDEX('RAID Log'!$1:$1048576,$B85,MATCH("Impact/Effect of the RAID",'RAID Log'!$1:$1,0)),"")="","",IFERROR(INDEX('RAID Log'!$1:$1048576,$B85,MATCH("Impact/Effect of the RAID",'RAID Log'!$1:$1,0)),"")))</f>
        <v/>
      </c>
      <c r="E85" s="72" t="str">
        <f>IF($B85="","",IF(IFERROR(INDEX('RAID Log'!$1:$1048576,$B85,MATCH("Impact Area",'RAID Log'!$1:$1,0)),"")="","",IFERROR(INDEX('RAID Log'!$1:$1048576,$B85,MATCH("Impact Area",'RAID Log'!$1:$1,0)),"")))</f>
        <v/>
      </c>
      <c r="F85" t="str">
        <f>IF($B85="","",IF(IFERROR(INDEX('RAID Log'!$1:$1048576,$B85,MATCH("Impact Area",'RAID Log'!$1:$1,0)),"")="","",IFERROR(INDEX('RAID Log'!$1:$1048576,$B85,MATCH("Impact Area",'RAID Log'!$1:$1,0)),"")))</f>
        <v/>
      </c>
      <c r="G85" t="str">
        <f>IF($B85="","",IF(IFERROR(INDEX('RAID Log'!$1:$1048576,$B85,MATCH("Impact Rating",'RAID Log'!$1:$1,0)),"")="","",IFERROR(INDEX('RAID Log'!$1:$1048576,$B85,MATCH("Impact Rating",'RAID Log'!$1:$1,0)),"")))</f>
        <v/>
      </c>
      <c r="H85" t="str">
        <f>IF($B85="","",IF(IFERROR(INDEX('RAID Log'!$1:$1048576,$B85,MATCH("Initial Probability",'RAID Log'!$1:$1,0)),"")="","",IFERROR(INDEX('RAID Log'!$1:$1048576,$B85,MATCH("Initial Probability",'RAID Log'!$1:$1,0)),"")))</f>
        <v/>
      </c>
      <c r="I85" s="91" t="str">
        <f t="shared" si="3"/>
        <v/>
      </c>
      <c r="J85" t="str">
        <f t="shared" si="4"/>
        <v/>
      </c>
      <c r="K85" s="91" t="str">
        <f t="shared" si="5"/>
        <v/>
      </c>
      <c r="L85" t="str">
        <f>IF($B85="","",IF(IFERROR(INDEX('RAID Log'!$1:$1048576,$B85,MATCH("Status",'RAID Log'!$1:$1,0)),"")="","",IFERROR(INDEX('RAID Log'!$1:$1048576,$B85,MATCH("Status",'RAID Log'!$1:$1,0)),"")))</f>
        <v/>
      </c>
      <c r="M85" s="73" t="str">
        <f>IF($B85="","",IF(IFERROR(INDEX('RAID Log'!$1:$1048576,$B85,MATCH("RAID Owner",'RAID Log'!$1:$1,0)),"")="","",IFERROR(INDEX('RAID Log'!$1:$1048576,$B85,MATCH("RAID Owner",'RAID Log'!$1:$1,0)),"")))</f>
        <v/>
      </c>
      <c r="N85" s="92" t="str">
        <f>IF($B85="","",IF(IFERROR(INDEX('RAID Log'!$1:$1048576,$B85,MATCH("Date Raised",'RAID Log'!$1:$1,0)),"")="","",IFERROR(INDEX('RAID Log'!$1:$1048576,$B85,MATCH("Date Raised",'RAID Log'!$1:$1,0)),"")))</f>
        <v/>
      </c>
      <c r="O85" s="92" t="str">
        <f>IF($B85="","",IF(IFERROR(INDEX('RAID Log'!$1:$1048576,$B85,MATCH("Closed Date",'RAID Log'!$1:$1,0)),"")="","",IFERROR(INDEX('RAID Log'!$1:$1048576,$B85,MATCH("Closed Date",'RAID Log'!$1:$1,0)),"")))</f>
        <v/>
      </c>
      <c r="P85" s="73" t="str">
        <f>IF($B85="","",IF(IFERROR(INDEX('RAID Log'!$1:$1048576,$B85,MATCH("Mitigation Strategy",'RAID Log'!$1:$1,0)),"")="","",IFERROR(INDEX('RAID Log'!$1:$1048576,$B85,MATCH("Mitigation Strategy",'RAID Log'!$1:$1,0)),"")))</f>
        <v/>
      </c>
      <c r="Q85" t="str">
        <f>IF($B85="","",IF(IFERROR(INDEX('RAID Log'!$1:$1048576,$B85,MATCH("RAID Response/Plan",'RAID Log'!$1:$1,0)),"")="","",IFERROR(INDEX('RAID Log'!$1:$1048576,$B85,MATCH("RAID Response/Plan",'RAID Log'!$1:$1,0)),"")))</f>
        <v/>
      </c>
    </row>
    <row r="86" spans="1:17" ht="12.75" customHeight="1">
      <c r="A86" s="91" t="str">
        <f>IF($B86="","",IF(IFERROR(INDEX('RAID Log'!$1:$1048576,$B86,MATCH("RAID ID",'RAID Log'!$1:$1,0)),"")="","",IFERROR(INDEX('RAID Log'!$1:$1048576,$B86,MATCH("RAID ID",'RAID Log'!$1:$1,0)),"")))</f>
        <v/>
      </c>
      <c r="B86" t="str">
        <f>IFERROR(MATCH(ROW()-1,'RAID Log'!$S:$S,0),"")</f>
        <v/>
      </c>
      <c r="C86" s="72" t="str">
        <f>IF($B86="","",IF(IFERROR(INDEX('RAID Log'!$1:$1048576,$B86,MATCH("Description",'RAID Log'!$1:$1,0)),"")="","",IFERROR(INDEX('RAID Log'!$1:$1048576,$B86,MATCH("Description",'RAID Log'!$1:$1,0)),"")))</f>
        <v/>
      </c>
      <c r="D86" s="72" t="str">
        <f>IF($B86="","",IF(IFERROR(INDEX('RAID Log'!$1:$1048576,$B86,MATCH("Impact/Effect of the RAID",'RAID Log'!$1:$1,0)),"")="","",IFERROR(INDEX('RAID Log'!$1:$1048576,$B86,MATCH("Impact/Effect of the RAID",'RAID Log'!$1:$1,0)),"")))</f>
        <v/>
      </c>
      <c r="E86" s="72" t="str">
        <f>IF($B86="","",IF(IFERROR(INDEX('RAID Log'!$1:$1048576,$B86,MATCH("Impact Area",'RAID Log'!$1:$1,0)),"")="","",IFERROR(INDEX('RAID Log'!$1:$1048576,$B86,MATCH("Impact Area",'RAID Log'!$1:$1,0)),"")))</f>
        <v/>
      </c>
      <c r="F86" t="str">
        <f>IF($B86="","",IF(IFERROR(INDEX('RAID Log'!$1:$1048576,$B86,MATCH("Impact Area",'RAID Log'!$1:$1,0)),"")="","",IFERROR(INDEX('RAID Log'!$1:$1048576,$B86,MATCH("Impact Area",'RAID Log'!$1:$1,0)),"")))</f>
        <v/>
      </c>
      <c r="G86" t="str">
        <f>IF($B86="","",IF(IFERROR(INDEX('RAID Log'!$1:$1048576,$B86,MATCH("Impact Rating",'RAID Log'!$1:$1,0)),"")="","",IFERROR(INDEX('RAID Log'!$1:$1048576,$B86,MATCH("Impact Rating",'RAID Log'!$1:$1,0)),"")))</f>
        <v/>
      </c>
      <c r="H86" t="str">
        <f>IF($B86="","",IF(IFERROR(INDEX('RAID Log'!$1:$1048576,$B86,MATCH("Initial Probability",'RAID Log'!$1:$1,0)),"")="","",IFERROR(INDEX('RAID Log'!$1:$1048576,$B86,MATCH("Initial Probability",'RAID Log'!$1:$1,0)),"")))</f>
        <v/>
      </c>
      <c r="I86" s="91" t="str">
        <f t="shared" si="3"/>
        <v/>
      </c>
      <c r="J86" t="str">
        <f t="shared" si="4"/>
        <v/>
      </c>
      <c r="K86" s="91" t="str">
        <f t="shared" si="5"/>
        <v/>
      </c>
      <c r="L86" t="str">
        <f>IF($B86="","",IF(IFERROR(INDEX('RAID Log'!$1:$1048576,$B86,MATCH("Status",'RAID Log'!$1:$1,0)),"")="","",IFERROR(INDEX('RAID Log'!$1:$1048576,$B86,MATCH("Status",'RAID Log'!$1:$1,0)),"")))</f>
        <v/>
      </c>
      <c r="M86" s="73" t="str">
        <f>IF($B86="","",IF(IFERROR(INDEX('RAID Log'!$1:$1048576,$B86,MATCH("RAID Owner",'RAID Log'!$1:$1,0)),"")="","",IFERROR(INDEX('RAID Log'!$1:$1048576,$B86,MATCH("RAID Owner",'RAID Log'!$1:$1,0)),"")))</f>
        <v/>
      </c>
      <c r="N86" s="92" t="str">
        <f>IF($B86="","",IF(IFERROR(INDEX('RAID Log'!$1:$1048576,$B86,MATCH("Date Raised",'RAID Log'!$1:$1,0)),"")="","",IFERROR(INDEX('RAID Log'!$1:$1048576,$B86,MATCH("Date Raised",'RAID Log'!$1:$1,0)),"")))</f>
        <v/>
      </c>
      <c r="O86" s="92" t="str">
        <f>IF($B86="","",IF(IFERROR(INDEX('RAID Log'!$1:$1048576,$B86,MATCH("Closed Date",'RAID Log'!$1:$1,0)),"")="","",IFERROR(INDEX('RAID Log'!$1:$1048576,$B86,MATCH("Closed Date",'RAID Log'!$1:$1,0)),"")))</f>
        <v/>
      </c>
      <c r="P86" s="73" t="str">
        <f>IF($B86="","",IF(IFERROR(INDEX('RAID Log'!$1:$1048576,$B86,MATCH("Mitigation Strategy",'RAID Log'!$1:$1,0)),"")="","",IFERROR(INDEX('RAID Log'!$1:$1048576,$B86,MATCH("Mitigation Strategy",'RAID Log'!$1:$1,0)),"")))</f>
        <v/>
      </c>
      <c r="Q86" t="str">
        <f>IF($B86="","",IF(IFERROR(INDEX('RAID Log'!$1:$1048576,$B86,MATCH("RAID Response/Plan",'RAID Log'!$1:$1,0)),"")="","",IFERROR(INDEX('RAID Log'!$1:$1048576,$B86,MATCH("RAID Response/Plan",'RAID Log'!$1:$1,0)),"")))</f>
        <v/>
      </c>
    </row>
    <row r="87" spans="1:17" ht="12.75" customHeight="1">
      <c r="A87" s="91" t="str">
        <f>IF($B87="","",IF(IFERROR(INDEX('RAID Log'!$1:$1048576,$B87,MATCH("RAID ID",'RAID Log'!$1:$1,0)),"")="","",IFERROR(INDEX('RAID Log'!$1:$1048576,$B87,MATCH("RAID ID",'RAID Log'!$1:$1,0)),"")))</f>
        <v/>
      </c>
      <c r="B87" t="str">
        <f>IFERROR(MATCH(ROW()-1,'RAID Log'!$S:$S,0),"")</f>
        <v/>
      </c>
      <c r="C87" s="72" t="str">
        <f>IF($B87="","",IF(IFERROR(INDEX('RAID Log'!$1:$1048576,$B87,MATCH("Description",'RAID Log'!$1:$1,0)),"")="","",IFERROR(INDEX('RAID Log'!$1:$1048576,$B87,MATCH("Description",'RAID Log'!$1:$1,0)),"")))</f>
        <v/>
      </c>
      <c r="D87" s="72" t="str">
        <f>IF($B87="","",IF(IFERROR(INDEX('RAID Log'!$1:$1048576,$B87,MATCH("Impact/Effect of the RAID",'RAID Log'!$1:$1,0)),"")="","",IFERROR(INDEX('RAID Log'!$1:$1048576,$B87,MATCH("Impact/Effect of the RAID",'RAID Log'!$1:$1,0)),"")))</f>
        <v/>
      </c>
      <c r="E87" s="72" t="str">
        <f>IF($B87="","",IF(IFERROR(INDEX('RAID Log'!$1:$1048576,$B87,MATCH("Impact Area",'RAID Log'!$1:$1,0)),"")="","",IFERROR(INDEX('RAID Log'!$1:$1048576,$B87,MATCH("Impact Area",'RAID Log'!$1:$1,0)),"")))</f>
        <v/>
      </c>
      <c r="F87" t="str">
        <f>IF($B87="","",IF(IFERROR(INDEX('RAID Log'!$1:$1048576,$B87,MATCH("Impact Area",'RAID Log'!$1:$1,0)),"")="","",IFERROR(INDEX('RAID Log'!$1:$1048576,$B87,MATCH("Impact Area",'RAID Log'!$1:$1,0)),"")))</f>
        <v/>
      </c>
      <c r="G87" t="str">
        <f>IF($B87="","",IF(IFERROR(INDEX('RAID Log'!$1:$1048576,$B87,MATCH("Impact Rating",'RAID Log'!$1:$1,0)),"")="","",IFERROR(INDEX('RAID Log'!$1:$1048576,$B87,MATCH("Impact Rating",'RAID Log'!$1:$1,0)),"")))</f>
        <v/>
      </c>
      <c r="H87" t="str">
        <f>IF($B87="","",IF(IFERROR(INDEX('RAID Log'!$1:$1048576,$B87,MATCH("Initial Probability",'RAID Log'!$1:$1,0)),"")="","",IFERROR(INDEX('RAID Log'!$1:$1048576,$B87,MATCH("Initial Probability",'RAID Log'!$1:$1,0)),"")))</f>
        <v/>
      </c>
      <c r="I87" s="91" t="str">
        <f t="shared" si="3"/>
        <v/>
      </c>
      <c r="J87" t="str">
        <f t="shared" si="4"/>
        <v/>
      </c>
      <c r="K87" s="91" t="str">
        <f t="shared" si="5"/>
        <v/>
      </c>
      <c r="L87" t="str">
        <f>IF($B87="","",IF(IFERROR(INDEX('RAID Log'!$1:$1048576,$B87,MATCH("Status",'RAID Log'!$1:$1,0)),"")="","",IFERROR(INDEX('RAID Log'!$1:$1048576,$B87,MATCH("Status",'RAID Log'!$1:$1,0)),"")))</f>
        <v/>
      </c>
      <c r="M87" s="73" t="str">
        <f>IF($B87="","",IF(IFERROR(INDEX('RAID Log'!$1:$1048576,$B87,MATCH("RAID Owner",'RAID Log'!$1:$1,0)),"")="","",IFERROR(INDEX('RAID Log'!$1:$1048576,$B87,MATCH("RAID Owner",'RAID Log'!$1:$1,0)),"")))</f>
        <v/>
      </c>
      <c r="N87" s="92" t="str">
        <f>IF($B87="","",IF(IFERROR(INDEX('RAID Log'!$1:$1048576,$B87,MATCH("Date Raised",'RAID Log'!$1:$1,0)),"")="","",IFERROR(INDEX('RAID Log'!$1:$1048576,$B87,MATCH("Date Raised",'RAID Log'!$1:$1,0)),"")))</f>
        <v/>
      </c>
      <c r="O87" s="92" t="str">
        <f>IF($B87="","",IF(IFERROR(INDEX('RAID Log'!$1:$1048576,$B87,MATCH("Closed Date",'RAID Log'!$1:$1,0)),"")="","",IFERROR(INDEX('RAID Log'!$1:$1048576,$B87,MATCH("Closed Date",'RAID Log'!$1:$1,0)),"")))</f>
        <v/>
      </c>
      <c r="P87" s="73" t="str">
        <f>IF($B87="","",IF(IFERROR(INDEX('RAID Log'!$1:$1048576,$B87,MATCH("Mitigation Strategy",'RAID Log'!$1:$1,0)),"")="","",IFERROR(INDEX('RAID Log'!$1:$1048576,$B87,MATCH("Mitigation Strategy",'RAID Log'!$1:$1,0)),"")))</f>
        <v/>
      </c>
      <c r="Q87" t="str">
        <f>IF($B87="","",IF(IFERROR(INDEX('RAID Log'!$1:$1048576,$B87,MATCH("RAID Response/Plan",'RAID Log'!$1:$1,0)),"")="","",IFERROR(INDEX('RAID Log'!$1:$1048576,$B87,MATCH("RAID Response/Plan",'RAID Log'!$1:$1,0)),"")))</f>
        <v/>
      </c>
    </row>
    <row r="88" spans="1:17" ht="12.75" customHeight="1">
      <c r="A88" s="91" t="str">
        <f>IF($B88="","",IF(IFERROR(INDEX('RAID Log'!$1:$1048576,$B88,MATCH("RAID ID",'RAID Log'!$1:$1,0)),"")="","",IFERROR(INDEX('RAID Log'!$1:$1048576,$B88,MATCH("RAID ID",'RAID Log'!$1:$1,0)),"")))</f>
        <v/>
      </c>
      <c r="B88" t="str">
        <f>IFERROR(MATCH(ROW()-1,'RAID Log'!$S:$S,0),"")</f>
        <v/>
      </c>
      <c r="C88" s="72" t="str">
        <f>IF($B88="","",IF(IFERROR(INDEX('RAID Log'!$1:$1048576,$B88,MATCH("Description",'RAID Log'!$1:$1,0)),"")="","",IFERROR(INDEX('RAID Log'!$1:$1048576,$B88,MATCH("Description",'RAID Log'!$1:$1,0)),"")))</f>
        <v/>
      </c>
      <c r="D88" s="72" t="str">
        <f>IF($B88="","",IF(IFERROR(INDEX('RAID Log'!$1:$1048576,$B88,MATCH("Impact/Effect of the RAID",'RAID Log'!$1:$1,0)),"")="","",IFERROR(INDEX('RAID Log'!$1:$1048576,$B88,MATCH("Impact/Effect of the RAID",'RAID Log'!$1:$1,0)),"")))</f>
        <v/>
      </c>
      <c r="E88" s="72" t="str">
        <f>IF($B88="","",IF(IFERROR(INDEX('RAID Log'!$1:$1048576,$B88,MATCH("Impact Area",'RAID Log'!$1:$1,0)),"")="","",IFERROR(INDEX('RAID Log'!$1:$1048576,$B88,MATCH("Impact Area",'RAID Log'!$1:$1,0)),"")))</f>
        <v/>
      </c>
      <c r="F88" t="str">
        <f>IF($B88="","",IF(IFERROR(INDEX('RAID Log'!$1:$1048576,$B88,MATCH("Impact Area",'RAID Log'!$1:$1,0)),"")="","",IFERROR(INDEX('RAID Log'!$1:$1048576,$B88,MATCH("Impact Area",'RAID Log'!$1:$1,0)),"")))</f>
        <v/>
      </c>
      <c r="G88" t="str">
        <f>IF($B88="","",IF(IFERROR(INDEX('RAID Log'!$1:$1048576,$B88,MATCH("Impact Rating",'RAID Log'!$1:$1,0)),"")="","",IFERROR(INDEX('RAID Log'!$1:$1048576,$B88,MATCH("Impact Rating",'RAID Log'!$1:$1,0)),"")))</f>
        <v/>
      </c>
      <c r="H88" t="str">
        <f>IF($B88="","",IF(IFERROR(INDEX('RAID Log'!$1:$1048576,$B88,MATCH("Initial Probability",'RAID Log'!$1:$1,0)),"")="","",IFERROR(INDEX('RAID Log'!$1:$1048576,$B88,MATCH("Initial Probability",'RAID Log'!$1:$1,0)),"")))</f>
        <v/>
      </c>
      <c r="I88" s="91" t="str">
        <f t="shared" si="3"/>
        <v/>
      </c>
      <c r="J88" t="str">
        <f t="shared" si="4"/>
        <v/>
      </c>
      <c r="K88" s="91" t="str">
        <f t="shared" si="5"/>
        <v/>
      </c>
      <c r="L88" t="str">
        <f>IF($B88="","",IF(IFERROR(INDEX('RAID Log'!$1:$1048576,$B88,MATCH("Status",'RAID Log'!$1:$1,0)),"")="","",IFERROR(INDEX('RAID Log'!$1:$1048576,$B88,MATCH("Status",'RAID Log'!$1:$1,0)),"")))</f>
        <v/>
      </c>
      <c r="M88" s="73" t="str">
        <f>IF($B88="","",IF(IFERROR(INDEX('RAID Log'!$1:$1048576,$B88,MATCH("RAID Owner",'RAID Log'!$1:$1,0)),"")="","",IFERROR(INDEX('RAID Log'!$1:$1048576,$B88,MATCH("RAID Owner",'RAID Log'!$1:$1,0)),"")))</f>
        <v/>
      </c>
      <c r="N88" s="92" t="str">
        <f>IF($B88="","",IF(IFERROR(INDEX('RAID Log'!$1:$1048576,$B88,MATCH("Date Raised",'RAID Log'!$1:$1,0)),"")="","",IFERROR(INDEX('RAID Log'!$1:$1048576,$B88,MATCH("Date Raised",'RAID Log'!$1:$1,0)),"")))</f>
        <v/>
      </c>
      <c r="O88" s="92" t="str">
        <f>IF($B88="","",IF(IFERROR(INDEX('RAID Log'!$1:$1048576,$B88,MATCH("Closed Date",'RAID Log'!$1:$1,0)),"")="","",IFERROR(INDEX('RAID Log'!$1:$1048576,$B88,MATCH("Closed Date",'RAID Log'!$1:$1,0)),"")))</f>
        <v/>
      </c>
      <c r="P88" s="73" t="str">
        <f>IF($B88="","",IF(IFERROR(INDEX('RAID Log'!$1:$1048576,$B88,MATCH("Mitigation Strategy",'RAID Log'!$1:$1,0)),"")="","",IFERROR(INDEX('RAID Log'!$1:$1048576,$B88,MATCH("Mitigation Strategy",'RAID Log'!$1:$1,0)),"")))</f>
        <v/>
      </c>
      <c r="Q88" t="str">
        <f>IF($B88="","",IF(IFERROR(INDEX('RAID Log'!$1:$1048576,$B88,MATCH("RAID Response/Plan",'RAID Log'!$1:$1,0)),"")="","",IFERROR(INDEX('RAID Log'!$1:$1048576,$B88,MATCH("RAID Response/Plan",'RAID Log'!$1:$1,0)),"")))</f>
        <v/>
      </c>
    </row>
    <row r="89" spans="1:17" ht="12.75" customHeight="1">
      <c r="A89" s="91" t="str">
        <f>IF($B89="","",IF(IFERROR(INDEX('RAID Log'!$1:$1048576,$B89,MATCH("RAID ID",'RAID Log'!$1:$1,0)),"")="","",IFERROR(INDEX('RAID Log'!$1:$1048576,$B89,MATCH("RAID ID",'RAID Log'!$1:$1,0)),"")))</f>
        <v/>
      </c>
      <c r="B89" t="str">
        <f>IFERROR(MATCH(ROW()-1,'RAID Log'!$S:$S,0),"")</f>
        <v/>
      </c>
      <c r="C89" s="72" t="str">
        <f>IF($B89="","",IF(IFERROR(INDEX('RAID Log'!$1:$1048576,$B89,MATCH("Description",'RAID Log'!$1:$1,0)),"")="","",IFERROR(INDEX('RAID Log'!$1:$1048576,$B89,MATCH("Description",'RAID Log'!$1:$1,0)),"")))</f>
        <v/>
      </c>
      <c r="D89" s="72" t="str">
        <f>IF($B89="","",IF(IFERROR(INDEX('RAID Log'!$1:$1048576,$B89,MATCH("Impact/Effect of the RAID",'RAID Log'!$1:$1,0)),"")="","",IFERROR(INDEX('RAID Log'!$1:$1048576,$B89,MATCH("Impact/Effect of the RAID",'RAID Log'!$1:$1,0)),"")))</f>
        <v/>
      </c>
      <c r="E89" s="72" t="str">
        <f>IF($B89="","",IF(IFERROR(INDEX('RAID Log'!$1:$1048576,$B89,MATCH("Impact Area",'RAID Log'!$1:$1,0)),"")="","",IFERROR(INDEX('RAID Log'!$1:$1048576,$B89,MATCH("Impact Area",'RAID Log'!$1:$1,0)),"")))</f>
        <v/>
      </c>
      <c r="F89" t="str">
        <f>IF($B89="","",IF(IFERROR(INDEX('RAID Log'!$1:$1048576,$B89,MATCH("Impact Area",'RAID Log'!$1:$1,0)),"")="","",IFERROR(INDEX('RAID Log'!$1:$1048576,$B89,MATCH("Impact Area",'RAID Log'!$1:$1,0)),"")))</f>
        <v/>
      </c>
      <c r="G89" t="str">
        <f>IF($B89="","",IF(IFERROR(INDEX('RAID Log'!$1:$1048576,$B89,MATCH("Impact Rating",'RAID Log'!$1:$1,0)),"")="","",IFERROR(INDEX('RAID Log'!$1:$1048576,$B89,MATCH("Impact Rating",'RAID Log'!$1:$1,0)),"")))</f>
        <v/>
      </c>
      <c r="H89" t="str">
        <f>IF($B89="","",IF(IFERROR(INDEX('RAID Log'!$1:$1048576,$B89,MATCH("Initial Probability",'RAID Log'!$1:$1,0)),"")="","",IFERROR(INDEX('RAID Log'!$1:$1048576,$B89,MATCH("Initial Probability",'RAID Log'!$1:$1,0)),"")))</f>
        <v/>
      </c>
      <c r="I89" s="91" t="str">
        <f t="shared" si="3"/>
        <v/>
      </c>
      <c r="J89" t="str">
        <f t="shared" si="4"/>
        <v/>
      </c>
      <c r="K89" s="91" t="str">
        <f t="shared" si="5"/>
        <v/>
      </c>
      <c r="L89" t="str">
        <f>IF($B89="","",IF(IFERROR(INDEX('RAID Log'!$1:$1048576,$B89,MATCH("Status",'RAID Log'!$1:$1,0)),"")="","",IFERROR(INDEX('RAID Log'!$1:$1048576,$B89,MATCH("Status",'RAID Log'!$1:$1,0)),"")))</f>
        <v/>
      </c>
      <c r="M89" s="73" t="str">
        <f>IF($B89="","",IF(IFERROR(INDEX('RAID Log'!$1:$1048576,$B89,MATCH("RAID Owner",'RAID Log'!$1:$1,0)),"")="","",IFERROR(INDEX('RAID Log'!$1:$1048576,$B89,MATCH("RAID Owner",'RAID Log'!$1:$1,0)),"")))</f>
        <v/>
      </c>
      <c r="N89" s="92" t="str">
        <f>IF($B89="","",IF(IFERROR(INDEX('RAID Log'!$1:$1048576,$B89,MATCH("Date Raised",'RAID Log'!$1:$1,0)),"")="","",IFERROR(INDEX('RAID Log'!$1:$1048576,$B89,MATCH("Date Raised",'RAID Log'!$1:$1,0)),"")))</f>
        <v/>
      </c>
      <c r="O89" s="92" t="str">
        <f>IF($B89="","",IF(IFERROR(INDEX('RAID Log'!$1:$1048576,$B89,MATCH("Closed Date",'RAID Log'!$1:$1,0)),"")="","",IFERROR(INDEX('RAID Log'!$1:$1048576,$B89,MATCH("Closed Date",'RAID Log'!$1:$1,0)),"")))</f>
        <v/>
      </c>
      <c r="P89" s="73" t="str">
        <f>IF($B89="","",IF(IFERROR(INDEX('RAID Log'!$1:$1048576,$B89,MATCH("Mitigation Strategy",'RAID Log'!$1:$1,0)),"")="","",IFERROR(INDEX('RAID Log'!$1:$1048576,$B89,MATCH("Mitigation Strategy",'RAID Log'!$1:$1,0)),"")))</f>
        <v/>
      </c>
      <c r="Q89" t="str">
        <f>IF($B89="","",IF(IFERROR(INDEX('RAID Log'!$1:$1048576,$B89,MATCH("RAID Response/Plan",'RAID Log'!$1:$1,0)),"")="","",IFERROR(INDEX('RAID Log'!$1:$1048576,$B89,MATCH("RAID Response/Plan",'RAID Log'!$1:$1,0)),"")))</f>
        <v/>
      </c>
    </row>
    <row r="90" spans="1:17" ht="12.75" customHeight="1">
      <c r="A90" s="91" t="str">
        <f>IF($B90="","",IF(IFERROR(INDEX('RAID Log'!$1:$1048576,$B90,MATCH("RAID ID",'RAID Log'!$1:$1,0)),"")="","",IFERROR(INDEX('RAID Log'!$1:$1048576,$B90,MATCH("RAID ID",'RAID Log'!$1:$1,0)),"")))</f>
        <v/>
      </c>
      <c r="B90" t="str">
        <f>IFERROR(MATCH(ROW()-1,'RAID Log'!$S:$S,0),"")</f>
        <v/>
      </c>
      <c r="C90" s="72" t="str">
        <f>IF($B90="","",IF(IFERROR(INDEX('RAID Log'!$1:$1048576,$B90,MATCH("Description",'RAID Log'!$1:$1,0)),"")="","",IFERROR(INDEX('RAID Log'!$1:$1048576,$B90,MATCH("Description",'RAID Log'!$1:$1,0)),"")))</f>
        <v/>
      </c>
      <c r="D90" s="72" t="str">
        <f>IF($B90="","",IF(IFERROR(INDEX('RAID Log'!$1:$1048576,$B90,MATCH("Impact/Effect of the RAID",'RAID Log'!$1:$1,0)),"")="","",IFERROR(INDEX('RAID Log'!$1:$1048576,$B90,MATCH("Impact/Effect of the RAID",'RAID Log'!$1:$1,0)),"")))</f>
        <v/>
      </c>
      <c r="E90" s="72" t="str">
        <f>IF($B90="","",IF(IFERROR(INDEX('RAID Log'!$1:$1048576,$B90,MATCH("Impact Area",'RAID Log'!$1:$1,0)),"")="","",IFERROR(INDEX('RAID Log'!$1:$1048576,$B90,MATCH("Impact Area",'RAID Log'!$1:$1,0)),"")))</f>
        <v/>
      </c>
      <c r="F90" t="str">
        <f>IF($B90="","",IF(IFERROR(INDEX('RAID Log'!$1:$1048576,$B90,MATCH("Impact Area",'RAID Log'!$1:$1,0)),"")="","",IFERROR(INDEX('RAID Log'!$1:$1048576,$B90,MATCH("Impact Area",'RAID Log'!$1:$1,0)),"")))</f>
        <v/>
      </c>
      <c r="G90" t="str">
        <f>IF($B90="","",IF(IFERROR(INDEX('RAID Log'!$1:$1048576,$B90,MATCH("Impact Rating",'RAID Log'!$1:$1,0)),"")="","",IFERROR(INDEX('RAID Log'!$1:$1048576,$B90,MATCH("Impact Rating",'RAID Log'!$1:$1,0)),"")))</f>
        <v/>
      </c>
      <c r="H90" t="str">
        <f>IF($B90="","",IF(IFERROR(INDEX('RAID Log'!$1:$1048576,$B90,MATCH("Initial Probability",'RAID Log'!$1:$1,0)),"")="","",IFERROR(INDEX('RAID Log'!$1:$1048576,$B90,MATCH("Initial Probability",'RAID Log'!$1:$1,0)),"")))</f>
        <v/>
      </c>
      <c r="I90" s="91" t="str">
        <f t="shared" si="3"/>
        <v/>
      </c>
      <c r="J90" t="str">
        <f t="shared" si="4"/>
        <v/>
      </c>
      <c r="K90" s="91" t="str">
        <f t="shared" si="5"/>
        <v/>
      </c>
      <c r="L90" t="str">
        <f>IF($B90="","",IF(IFERROR(INDEX('RAID Log'!$1:$1048576,$B90,MATCH("Status",'RAID Log'!$1:$1,0)),"")="","",IFERROR(INDEX('RAID Log'!$1:$1048576,$B90,MATCH("Status",'RAID Log'!$1:$1,0)),"")))</f>
        <v/>
      </c>
      <c r="M90" s="73" t="str">
        <f>IF($B90="","",IF(IFERROR(INDEX('RAID Log'!$1:$1048576,$B90,MATCH("RAID Owner",'RAID Log'!$1:$1,0)),"")="","",IFERROR(INDEX('RAID Log'!$1:$1048576,$B90,MATCH("RAID Owner",'RAID Log'!$1:$1,0)),"")))</f>
        <v/>
      </c>
      <c r="N90" s="92" t="str">
        <f>IF($B90="","",IF(IFERROR(INDEX('RAID Log'!$1:$1048576,$B90,MATCH("Date Raised",'RAID Log'!$1:$1,0)),"")="","",IFERROR(INDEX('RAID Log'!$1:$1048576,$B90,MATCH("Date Raised",'RAID Log'!$1:$1,0)),"")))</f>
        <v/>
      </c>
      <c r="O90" s="92" t="str">
        <f>IF($B90="","",IF(IFERROR(INDEX('RAID Log'!$1:$1048576,$B90,MATCH("Closed Date",'RAID Log'!$1:$1,0)),"")="","",IFERROR(INDEX('RAID Log'!$1:$1048576,$B90,MATCH("Closed Date",'RAID Log'!$1:$1,0)),"")))</f>
        <v/>
      </c>
      <c r="P90" s="73" t="str">
        <f>IF($B90="","",IF(IFERROR(INDEX('RAID Log'!$1:$1048576,$B90,MATCH("Mitigation Strategy",'RAID Log'!$1:$1,0)),"")="","",IFERROR(INDEX('RAID Log'!$1:$1048576,$B90,MATCH("Mitigation Strategy",'RAID Log'!$1:$1,0)),"")))</f>
        <v/>
      </c>
      <c r="Q90" t="str">
        <f>IF($B90="","",IF(IFERROR(INDEX('RAID Log'!$1:$1048576,$B90,MATCH("RAID Response/Plan",'RAID Log'!$1:$1,0)),"")="","",IFERROR(INDEX('RAID Log'!$1:$1048576,$B90,MATCH("RAID Response/Plan",'RAID Log'!$1:$1,0)),"")))</f>
        <v/>
      </c>
    </row>
    <row r="91" spans="1:17" ht="12.75" customHeight="1">
      <c r="A91" s="91" t="str">
        <f>IF($B91="","",IF(IFERROR(INDEX('RAID Log'!$1:$1048576,$B91,MATCH("RAID ID",'RAID Log'!$1:$1,0)),"")="","",IFERROR(INDEX('RAID Log'!$1:$1048576,$B91,MATCH("RAID ID",'RAID Log'!$1:$1,0)),"")))</f>
        <v/>
      </c>
      <c r="B91" t="str">
        <f>IFERROR(MATCH(ROW()-1,'RAID Log'!$S:$S,0),"")</f>
        <v/>
      </c>
      <c r="C91" s="72" t="str">
        <f>IF($B91="","",IF(IFERROR(INDEX('RAID Log'!$1:$1048576,$B91,MATCH("Description",'RAID Log'!$1:$1,0)),"")="","",IFERROR(INDEX('RAID Log'!$1:$1048576,$B91,MATCH("Description",'RAID Log'!$1:$1,0)),"")))</f>
        <v/>
      </c>
      <c r="D91" s="72" t="str">
        <f>IF($B91="","",IF(IFERROR(INDEX('RAID Log'!$1:$1048576,$B91,MATCH("Impact/Effect of the RAID",'RAID Log'!$1:$1,0)),"")="","",IFERROR(INDEX('RAID Log'!$1:$1048576,$B91,MATCH("Impact/Effect of the RAID",'RAID Log'!$1:$1,0)),"")))</f>
        <v/>
      </c>
      <c r="E91" s="72" t="str">
        <f>IF($B91="","",IF(IFERROR(INDEX('RAID Log'!$1:$1048576,$B91,MATCH("Impact Area",'RAID Log'!$1:$1,0)),"")="","",IFERROR(INDEX('RAID Log'!$1:$1048576,$B91,MATCH("Impact Area",'RAID Log'!$1:$1,0)),"")))</f>
        <v/>
      </c>
      <c r="F91" t="str">
        <f>IF($B91="","",IF(IFERROR(INDEX('RAID Log'!$1:$1048576,$B91,MATCH("Impact Area",'RAID Log'!$1:$1,0)),"")="","",IFERROR(INDEX('RAID Log'!$1:$1048576,$B91,MATCH("Impact Area",'RAID Log'!$1:$1,0)),"")))</f>
        <v/>
      </c>
      <c r="G91" t="str">
        <f>IF($B91="","",IF(IFERROR(INDEX('RAID Log'!$1:$1048576,$B91,MATCH("Impact Rating",'RAID Log'!$1:$1,0)),"")="","",IFERROR(INDEX('RAID Log'!$1:$1048576,$B91,MATCH("Impact Rating",'RAID Log'!$1:$1,0)),"")))</f>
        <v/>
      </c>
      <c r="H91" t="str">
        <f>IF($B91="","",IF(IFERROR(INDEX('RAID Log'!$1:$1048576,$B91,MATCH("Initial Probability",'RAID Log'!$1:$1,0)),"")="","",IFERROR(INDEX('RAID Log'!$1:$1048576,$B91,MATCH("Initial Probability",'RAID Log'!$1:$1,0)),"")))</f>
        <v/>
      </c>
      <c r="I91" s="91" t="str">
        <f t="shared" si="3"/>
        <v/>
      </c>
      <c r="J91" t="str">
        <f t="shared" si="4"/>
        <v/>
      </c>
      <c r="K91" s="91" t="str">
        <f t="shared" si="5"/>
        <v/>
      </c>
      <c r="L91" t="str">
        <f>IF($B91="","",IF(IFERROR(INDEX('RAID Log'!$1:$1048576,$B91,MATCH("Status",'RAID Log'!$1:$1,0)),"")="","",IFERROR(INDEX('RAID Log'!$1:$1048576,$B91,MATCH("Status",'RAID Log'!$1:$1,0)),"")))</f>
        <v/>
      </c>
      <c r="M91" s="73" t="str">
        <f>IF($B91="","",IF(IFERROR(INDEX('RAID Log'!$1:$1048576,$B91,MATCH("RAID Owner",'RAID Log'!$1:$1,0)),"")="","",IFERROR(INDEX('RAID Log'!$1:$1048576,$B91,MATCH("RAID Owner",'RAID Log'!$1:$1,0)),"")))</f>
        <v/>
      </c>
      <c r="N91" s="92" t="str">
        <f>IF($B91="","",IF(IFERROR(INDEX('RAID Log'!$1:$1048576,$B91,MATCH("Date Raised",'RAID Log'!$1:$1,0)),"")="","",IFERROR(INDEX('RAID Log'!$1:$1048576,$B91,MATCH("Date Raised",'RAID Log'!$1:$1,0)),"")))</f>
        <v/>
      </c>
      <c r="O91" s="92" t="str">
        <f>IF($B91="","",IF(IFERROR(INDEX('RAID Log'!$1:$1048576,$B91,MATCH("Closed Date",'RAID Log'!$1:$1,0)),"")="","",IFERROR(INDEX('RAID Log'!$1:$1048576,$B91,MATCH("Closed Date",'RAID Log'!$1:$1,0)),"")))</f>
        <v/>
      </c>
      <c r="P91" s="73" t="str">
        <f>IF($B91="","",IF(IFERROR(INDEX('RAID Log'!$1:$1048576,$B91,MATCH("Mitigation Strategy",'RAID Log'!$1:$1,0)),"")="","",IFERROR(INDEX('RAID Log'!$1:$1048576,$B91,MATCH("Mitigation Strategy",'RAID Log'!$1:$1,0)),"")))</f>
        <v/>
      </c>
      <c r="Q91" t="str">
        <f>IF($B91="","",IF(IFERROR(INDEX('RAID Log'!$1:$1048576,$B91,MATCH("RAID Response/Plan",'RAID Log'!$1:$1,0)),"")="","",IFERROR(INDEX('RAID Log'!$1:$1048576,$B91,MATCH("RAID Response/Plan",'RAID Log'!$1:$1,0)),"")))</f>
        <v/>
      </c>
    </row>
    <row r="92" spans="1:17" ht="12.75" customHeight="1">
      <c r="A92" s="91" t="str">
        <f>IF($B92="","",IF(IFERROR(INDEX('RAID Log'!$1:$1048576,$B92,MATCH("RAID ID",'RAID Log'!$1:$1,0)),"")="","",IFERROR(INDEX('RAID Log'!$1:$1048576,$B92,MATCH("RAID ID",'RAID Log'!$1:$1,0)),"")))</f>
        <v/>
      </c>
      <c r="B92" t="str">
        <f>IFERROR(MATCH(ROW()-1,'RAID Log'!$S:$S,0),"")</f>
        <v/>
      </c>
      <c r="C92" s="72" t="str">
        <f>IF($B92="","",IF(IFERROR(INDEX('RAID Log'!$1:$1048576,$B92,MATCH("Description",'RAID Log'!$1:$1,0)),"")="","",IFERROR(INDEX('RAID Log'!$1:$1048576,$B92,MATCH("Description",'RAID Log'!$1:$1,0)),"")))</f>
        <v/>
      </c>
      <c r="D92" s="72" t="str">
        <f>IF($B92="","",IF(IFERROR(INDEX('RAID Log'!$1:$1048576,$B92,MATCH("Impact/Effect of the RAID",'RAID Log'!$1:$1,0)),"")="","",IFERROR(INDEX('RAID Log'!$1:$1048576,$B92,MATCH("Impact/Effect of the RAID",'RAID Log'!$1:$1,0)),"")))</f>
        <v/>
      </c>
      <c r="E92" s="72" t="str">
        <f>IF($B92="","",IF(IFERROR(INDEX('RAID Log'!$1:$1048576,$B92,MATCH("Impact Area",'RAID Log'!$1:$1,0)),"")="","",IFERROR(INDEX('RAID Log'!$1:$1048576,$B92,MATCH("Impact Area",'RAID Log'!$1:$1,0)),"")))</f>
        <v/>
      </c>
      <c r="F92" t="str">
        <f>IF($B92="","",IF(IFERROR(INDEX('RAID Log'!$1:$1048576,$B92,MATCH("Impact Area",'RAID Log'!$1:$1,0)),"")="","",IFERROR(INDEX('RAID Log'!$1:$1048576,$B92,MATCH("Impact Area",'RAID Log'!$1:$1,0)),"")))</f>
        <v/>
      </c>
      <c r="G92" t="str">
        <f>IF($B92="","",IF(IFERROR(INDEX('RAID Log'!$1:$1048576,$B92,MATCH("Impact Rating",'RAID Log'!$1:$1,0)),"")="","",IFERROR(INDEX('RAID Log'!$1:$1048576,$B92,MATCH("Impact Rating",'RAID Log'!$1:$1,0)),"")))</f>
        <v/>
      </c>
      <c r="H92" t="str">
        <f>IF($B92="","",IF(IFERROR(INDEX('RAID Log'!$1:$1048576,$B92,MATCH("Initial Probability",'RAID Log'!$1:$1,0)),"")="","",IFERROR(INDEX('RAID Log'!$1:$1048576,$B92,MATCH("Initial Probability",'RAID Log'!$1:$1,0)),"")))</f>
        <v/>
      </c>
      <c r="I92" s="91" t="str">
        <f t="shared" si="3"/>
        <v/>
      </c>
      <c r="J92" t="str">
        <f t="shared" si="4"/>
        <v/>
      </c>
      <c r="K92" s="91" t="str">
        <f t="shared" si="5"/>
        <v/>
      </c>
      <c r="L92" t="str">
        <f>IF($B92="","",IF(IFERROR(INDEX('RAID Log'!$1:$1048576,$B92,MATCH("Status",'RAID Log'!$1:$1,0)),"")="","",IFERROR(INDEX('RAID Log'!$1:$1048576,$B92,MATCH("Status",'RAID Log'!$1:$1,0)),"")))</f>
        <v/>
      </c>
      <c r="M92" s="73" t="str">
        <f>IF($B92="","",IF(IFERROR(INDEX('RAID Log'!$1:$1048576,$B92,MATCH("RAID Owner",'RAID Log'!$1:$1,0)),"")="","",IFERROR(INDEX('RAID Log'!$1:$1048576,$B92,MATCH("RAID Owner",'RAID Log'!$1:$1,0)),"")))</f>
        <v/>
      </c>
      <c r="N92" s="92" t="str">
        <f>IF($B92="","",IF(IFERROR(INDEX('RAID Log'!$1:$1048576,$B92,MATCH("Date Raised",'RAID Log'!$1:$1,0)),"")="","",IFERROR(INDEX('RAID Log'!$1:$1048576,$B92,MATCH("Date Raised",'RAID Log'!$1:$1,0)),"")))</f>
        <v/>
      </c>
      <c r="O92" s="92" t="str">
        <f>IF($B92="","",IF(IFERROR(INDEX('RAID Log'!$1:$1048576,$B92,MATCH("Closed Date",'RAID Log'!$1:$1,0)),"")="","",IFERROR(INDEX('RAID Log'!$1:$1048576,$B92,MATCH("Closed Date",'RAID Log'!$1:$1,0)),"")))</f>
        <v/>
      </c>
      <c r="P92" s="73" t="str">
        <f>IF($B92="","",IF(IFERROR(INDEX('RAID Log'!$1:$1048576,$B92,MATCH("Mitigation Strategy",'RAID Log'!$1:$1,0)),"")="","",IFERROR(INDEX('RAID Log'!$1:$1048576,$B92,MATCH("Mitigation Strategy",'RAID Log'!$1:$1,0)),"")))</f>
        <v/>
      </c>
      <c r="Q92" t="str">
        <f>IF($B92="","",IF(IFERROR(INDEX('RAID Log'!$1:$1048576,$B92,MATCH("RAID Response/Plan",'RAID Log'!$1:$1,0)),"")="","",IFERROR(INDEX('RAID Log'!$1:$1048576,$B92,MATCH("RAID Response/Plan",'RAID Log'!$1:$1,0)),"")))</f>
        <v/>
      </c>
    </row>
    <row r="93" spans="1:17" ht="12.75" customHeight="1">
      <c r="A93" s="91" t="str">
        <f>IF($B93="","",IF(IFERROR(INDEX('RAID Log'!$1:$1048576,$B93,MATCH("RAID ID",'RAID Log'!$1:$1,0)),"")="","",IFERROR(INDEX('RAID Log'!$1:$1048576,$B93,MATCH("RAID ID",'RAID Log'!$1:$1,0)),"")))</f>
        <v/>
      </c>
      <c r="B93" t="str">
        <f>IFERROR(MATCH(ROW()-1,'RAID Log'!$S:$S,0),"")</f>
        <v/>
      </c>
      <c r="C93" s="72" t="str">
        <f>IF($B93="","",IF(IFERROR(INDEX('RAID Log'!$1:$1048576,$B93,MATCH("Description",'RAID Log'!$1:$1,0)),"")="","",IFERROR(INDEX('RAID Log'!$1:$1048576,$B93,MATCH("Description",'RAID Log'!$1:$1,0)),"")))</f>
        <v/>
      </c>
      <c r="D93" s="72" t="str">
        <f>IF($B93="","",IF(IFERROR(INDEX('RAID Log'!$1:$1048576,$B93,MATCH("Impact/Effect of the RAID",'RAID Log'!$1:$1,0)),"")="","",IFERROR(INDEX('RAID Log'!$1:$1048576,$B93,MATCH("Impact/Effect of the RAID",'RAID Log'!$1:$1,0)),"")))</f>
        <v/>
      </c>
      <c r="E93" s="72" t="str">
        <f>IF($B93="","",IF(IFERROR(INDEX('RAID Log'!$1:$1048576,$B93,MATCH("Impact Area",'RAID Log'!$1:$1,0)),"")="","",IFERROR(INDEX('RAID Log'!$1:$1048576,$B93,MATCH("Impact Area",'RAID Log'!$1:$1,0)),"")))</f>
        <v/>
      </c>
      <c r="F93" t="str">
        <f>IF($B93="","",IF(IFERROR(INDEX('RAID Log'!$1:$1048576,$B93,MATCH("Impact Area",'RAID Log'!$1:$1,0)),"")="","",IFERROR(INDEX('RAID Log'!$1:$1048576,$B93,MATCH("Impact Area",'RAID Log'!$1:$1,0)),"")))</f>
        <v/>
      </c>
      <c r="G93" t="str">
        <f>IF($B93="","",IF(IFERROR(INDEX('RAID Log'!$1:$1048576,$B93,MATCH("Impact Rating",'RAID Log'!$1:$1,0)),"")="","",IFERROR(INDEX('RAID Log'!$1:$1048576,$B93,MATCH("Impact Rating",'RAID Log'!$1:$1,0)),"")))</f>
        <v/>
      </c>
      <c r="H93" t="str">
        <f>IF($B93="","",IF(IFERROR(INDEX('RAID Log'!$1:$1048576,$B93,MATCH("Initial Probability",'RAID Log'!$1:$1,0)),"")="","",IFERROR(INDEX('RAID Log'!$1:$1048576,$B93,MATCH("Initial Probability",'RAID Log'!$1:$1,0)),"")))</f>
        <v/>
      </c>
      <c r="I93" s="91" t="str">
        <f t="shared" si="3"/>
        <v/>
      </c>
      <c r="J93" t="str">
        <f t="shared" si="4"/>
        <v/>
      </c>
      <c r="K93" s="91" t="str">
        <f t="shared" si="5"/>
        <v/>
      </c>
      <c r="L93" t="str">
        <f>IF($B93="","",IF(IFERROR(INDEX('RAID Log'!$1:$1048576,$B93,MATCH("Status",'RAID Log'!$1:$1,0)),"")="","",IFERROR(INDEX('RAID Log'!$1:$1048576,$B93,MATCH("Status",'RAID Log'!$1:$1,0)),"")))</f>
        <v/>
      </c>
      <c r="M93" s="73" t="str">
        <f>IF($B93="","",IF(IFERROR(INDEX('RAID Log'!$1:$1048576,$B93,MATCH("RAID Owner",'RAID Log'!$1:$1,0)),"")="","",IFERROR(INDEX('RAID Log'!$1:$1048576,$B93,MATCH("RAID Owner",'RAID Log'!$1:$1,0)),"")))</f>
        <v/>
      </c>
      <c r="N93" s="92" t="str">
        <f>IF($B93="","",IF(IFERROR(INDEX('RAID Log'!$1:$1048576,$B93,MATCH("Date Raised",'RAID Log'!$1:$1,0)),"")="","",IFERROR(INDEX('RAID Log'!$1:$1048576,$B93,MATCH("Date Raised",'RAID Log'!$1:$1,0)),"")))</f>
        <v/>
      </c>
      <c r="O93" s="92" t="str">
        <f>IF($B93="","",IF(IFERROR(INDEX('RAID Log'!$1:$1048576,$B93,MATCH("Closed Date",'RAID Log'!$1:$1,0)),"")="","",IFERROR(INDEX('RAID Log'!$1:$1048576,$B93,MATCH("Closed Date",'RAID Log'!$1:$1,0)),"")))</f>
        <v/>
      </c>
      <c r="P93" s="73" t="str">
        <f>IF($B93="","",IF(IFERROR(INDEX('RAID Log'!$1:$1048576,$B93,MATCH("Mitigation Strategy",'RAID Log'!$1:$1,0)),"")="","",IFERROR(INDEX('RAID Log'!$1:$1048576,$B93,MATCH("Mitigation Strategy",'RAID Log'!$1:$1,0)),"")))</f>
        <v/>
      </c>
      <c r="Q93" t="str">
        <f>IF($B93="","",IF(IFERROR(INDEX('RAID Log'!$1:$1048576,$B93,MATCH("RAID Response/Plan",'RAID Log'!$1:$1,0)),"")="","",IFERROR(INDEX('RAID Log'!$1:$1048576,$B93,MATCH("RAID Response/Plan",'RAID Log'!$1:$1,0)),"")))</f>
        <v/>
      </c>
    </row>
    <row r="94" spans="1:17" ht="12.75" customHeight="1">
      <c r="A94" s="91" t="str">
        <f>IF($B94="","",IF(IFERROR(INDEX('RAID Log'!$1:$1048576,$B94,MATCH("RAID ID",'RAID Log'!$1:$1,0)),"")="","",IFERROR(INDEX('RAID Log'!$1:$1048576,$B94,MATCH("RAID ID",'RAID Log'!$1:$1,0)),"")))</f>
        <v/>
      </c>
      <c r="B94" t="str">
        <f>IFERROR(MATCH(ROW()-1,'RAID Log'!$S:$S,0),"")</f>
        <v/>
      </c>
      <c r="C94" s="72" t="str">
        <f>IF($B94="","",IF(IFERROR(INDEX('RAID Log'!$1:$1048576,$B94,MATCH("Description",'RAID Log'!$1:$1,0)),"")="","",IFERROR(INDEX('RAID Log'!$1:$1048576,$B94,MATCH("Description",'RAID Log'!$1:$1,0)),"")))</f>
        <v/>
      </c>
      <c r="D94" s="72" t="str">
        <f>IF($B94="","",IF(IFERROR(INDEX('RAID Log'!$1:$1048576,$B94,MATCH("Impact/Effect of the RAID",'RAID Log'!$1:$1,0)),"")="","",IFERROR(INDEX('RAID Log'!$1:$1048576,$B94,MATCH("Impact/Effect of the RAID",'RAID Log'!$1:$1,0)),"")))</f>
        <v/>
      </c>
      <c r="E94" s="72" t="str">
        <f>IF($B94="","",IF(IFERROR(INDEX('RAID Log'!$1:$1048576,$B94,MATCH("Impact Area",'RAID Log'!$1:$1,0)),"")="","",IFERROR(INDEX('RAID Log'!$1:$1048576,$B94,MATCH("Impact Area",'RAID Log'!$1:$1,0)),"")))</f>
        <v/>
      </c>
      <c r="F94" t="str">
        <f>IF($B94="","",IF(IFERROR(INDEX('RAID Log'!$1:$1048576,$B94,MATCH("Impact Area",'RAID Log'!$1:$1,0)),"")="","",IFERROR(INDEX('RAID Log'!$1:$1048576,$B94,MATCH("Impact Area",'RAID Log'!$1:$1,0)),"")))</f>
        <v/>
      </c>
      <c r="G94" t="str">
        <f>IF($B94="","",IF(IFERROR(INDEX('RAID Log'!$1:$1048576,$B94,MATCH("Impact Rating",'RAID Log'!$1:$1,0)),"")="","",IFERROR(INDEX('RAID Log'!$1:$1048576,$B94,MATCH("Impact Rating",'RAID Log'!$1:$1,0)),"")))</f>
        <v/>
      </c>
      <c r="H94" t="str">
        <f>IF($B94="","",IF(IFERROR(INDEX('RAID Log'!$1:$1048576,$B94,MATCH("Initial Probability",'RAID Log'!$1:$1,0)),"")="","",IFERROR(INDEX('RAID Log'!$1:$1048576,$B94,MATCH("Initial Probability",'RAID Log'!$1:$1,0)),"")))</f>
        <v/>
      </c>
      <c r="I94" s="91" t="str">
        <f t="shared" si="3"/>
        <v/>
      </c>
      <c r="J94" t="str">
        <f t="shared" si="4"/>
        <v/>
      </c>
      <c r="K94" s="91" t="str">
        <f t="shared" si="5"/>
        <v/>
      </c>
      <c r="L94" t="str">
        <f>IF($B94="","",IF(IFERROR(INDEX('RAID Log'!$1:$1048576,$B94,MATCH("Status",'RAID Log'!$1:$1,0)),"")="","",IFERROR(INDEX('RAID Log'!$1:$1048576,$B94,MATCH("Status",'RAID Log'!$1:$1,0)),"")))</f>
        <v/>
      </c>
      <c r="M94" s="73" t="str">
        <f>IF($B94="","",IF(IFERROR(INDEX('RAID Log'!$1:$1048576,$B94,MATCH("RAID Owner",'RAID Log'!$1:$1,0)),"")="","",IFERROR(INDEX('RAID Log'!$1:$1048576,$B94,MATCH("RAID Owner",'RAID Log'!$1:$1,0)),"")))</f>
        <v/>
      </c>
      <c r="N94" s="92" t="str">
        <f>IF($B94="","",IF(IFERROR(INDEX('RAID Log'!$1:$1048576,$B94,MATCH("Date Raised",'RAID Log'!$1:$1,0)),"")="","",IFERROR(INDEX('RAID Log'!$1:$1048576,$B94,MATCH("Date Raised",'RAID Log'!$1:$1,0)),"")))</f>
        <v/>
      </c>
      <c r="O94" s="92" t="str">
        <f>IF($B94="","",IF(IFERROR(INDEX('RAID Log'!$1:$1048576,$B94,MATCH("Closed Date",'RAID Log'!$1:$1,0)),"")="","",IFERROR(INDEX('RAID Log'!$1:$1048576,$B94,MATCH("Closed Date",'RAID Log'!$1:$1,0)),"")))</f>
        <v/>
      </c>
      <c r="P94" s="73" t="str">
        <f>IF($B94="","",IF(IFERROR(INDEX('RAID Log'!$1:$1048576,$B94,MATCH("Mitigation Strategy",'RAID Log'!$1:$1,0)),"")="","",IFERROR(INDEX('RAID Log'!$1:$1048576,$B94,MATCH("Mitigation Strategy",'RAID Log'!$1:$1,0)),"")))</f>
        <v/>
      </c>
      <c r="Q94" t="str">
        <f>IF($B94="","",IF(IFERROR(INDEX('RAID Log'!$1:$1048576,$B94,MATCH("RAID Response/Plan",'RAID Log'!$1:$1,0)),"")="","",IFERROR(INDEX('RAID Log'!$1:$1048576,$B94,MATCH("RAID Response/Plan",'RAID Log'!$1:$1,0)),"")))</f>
        <v/>
      </c>
    </row>
    <row r="95" spans="1:17" ht="12.75" customHeight="1">
      <c r="A95" s="91" t="str">
        <f>IF($B95="","",IF(IFERROR(INDEX('RAID Log'!$1:$1048576,$B95,MATCH("RAID ID",'RAID Log'!$1:$1,0)),"")="","",IFERROR(INDEX('RAID Log'!$1:$1048576,$B95,MATCH("RAID ID",'RAID Log'!$1:$1,0)),"")))</f>
        <v/>
      </c>
      <c r="B95" t="str">
        <f>IFERROR(MATCH(ROW()-1,'RAID Log'!$S:$S,0),"")</f>
        <v/>
      </c>
      <c r="C95" s="72" t="str">
        <f>IF($B95="","",IF(IFERROR(INDEX('RAID Log'!$1:$1048576,$B95,MATCH("Description",'RAID Log'!$1:$1,0)),"")="","",IFERROR(INDEX('RAID Log'!$1:$1048576,$B95,MATCH("Description",'RAID Log'!$1:$1,0)),"")))</f>
        <v/>
      </c>
      <c r="D95" s="72" t="str">
        <f>IF($B95="","",IF(IFERROR(INDEX('RAID Log'!$1:$1048576,$B95,MATCH("Impact/Effect of the RAID",'RAID Log'!$1:$1,0)),"")="","",IFERROR(INDEX('RAID Log'!$1:$1048576,$B95,MATCH("Impact/Effect of the RAID",'RAID Log'!$1:$1,0)),"")))</f>
        <v/>
      </c>
      <c r="E95" s="72" t="str">
        <f>IF($B95="","",IF(IFERROR(INDEX('RAID Log'!$1:$1048576,$B95,MATCH("Impact Area",'RAID Log'!$1:$1,0)),"")="","",IFERROR(INDEX('RAID Log'!$1:$1048576,$B95,MATCH("Impact Area",'RAID Log'!$1:$1,0)),"")))</f>
        <v/>
      </c>
      <c r="F95" t="str">
        <f>IF($B95="","",IF(IFERROR(INDEX('RAID Log'!$1:$1048576,$B95,MATCH("Impact Area",'RAID Log'!$1:$1,0)),"")="","",IFERROR(INDEX('RAID Log'!$1:$1048576,$B95,MATCH("Impact Area",'RAID Log'!$1:$1,0)),"")))</f>
        <v/>
      </c>
      <c r="G95" t="str">
        <f>IF($B95="","",IF(IFERROR(INDEX('RAID Log'!$1:$1048576,$B95,MATCH("Impact Rating",'RAID Log'!$1:$1,0)),"")="","",IFERROR(INDEX('RAID Log'!$1:$1048576,$B95,MATCH("Impact Rating",'RAID Log'!$1:$1,0)),"")))</f>
        <v/>
      </c>
      <c r="H95" t="str">
        <f>IF($B95="","",IF(IFERROR(INDEX('RAID Log'!$1:$1048576,$B95,MATCH("Initial Probability",'RAID Log'!$1:$1,0)),"")="","",IFERROR(INDEX('RAID Log'!$1:$1048576,$B95,MATCH("Initial Probability",'RAID Log'!$1:$1,0)),"")))</f>
        <v/>
      </c>
      <c r="I95" s="91" t="str">
        <f t="shared" si="3"/>
        <v/>
      </c>
      <c r="J95" t="str">
        <f t="shared" si="4"/>
        <v/>
      </c>
      <c r="K95" s="91" t="str">
        <f t="shared" si="5"/>
        <v/>
      </c>
      <c r="L95" t="str">
        <f>IF($B95="","",IF(IFERROR(INDEX('RAID Log'!$1:$1048576,$B95,MATCH("Status",'RAID Log'!$1:$1,0)),"")="","",IFERROR(INDEX('RAID Log'!$1:$1048576,$B95,MATCH("Status",'RAID Log'!$1:$1,0)),"")))</f>
        <v/>
      </c>
      <c r="M95" s="73" t="str">
        <f>IF($B95="","",IF(IFERROR(INDEX('RAID Log'!$1:$1048576,$B95,MATCH("RAID Owner",'RAID Log'!$1:$1,0)),"")="","",IFERROR(INDEX('RAID Log'!$1:$1048576,$B95,MATCH("RAID Owner",'RAID Log'!$1:$1,0)),"")))</f>
        <v/>
      </c>
      <c r="N95" s="92" t="str">
        <f>IF($B95="","",IF(IFERROR(INDEX('RAID Log'!$1:$1048576,$B95,MATCH("Date Raised",'RAID Log'!$1:$1,0)),"")="","",IFERROR(INDEX('RAID Log'!$1:$1048576,$B95,MATCH("Date Raised",'RAID Log'!$1:$1,0)),"")))</f>
        <v/>
      </c>
      <c r="O95" s="92" t="str">
        <f>IF($B95="","",IF(IFERROR(INDEX('RAID Log'!$1:$1048576,$B95,MATCH("Closed Date",'RAID Log'!$1:$1,0)),"")="","",IFERROR(INDEX('RAID Log'!$1:$1048576,$B95,MATCH("Closed Date",'RAID Log'!$1:$1,0)),"")))</f>
        <v/>
      </c>
      <c r="P95" s="73" t="str">
        <f>IF($B95="","",IF(IFERROR(INDEX('RAID Log'!$1:$1048576,$B95,MATCH("Mitigation Strategy",'RAID Log'!$1:$1,0)),"")="","",IFERROR(INDEX('RAID Log'!$1:$1048576,$B95,MATCH("Mitigation Strategy",'RAID Log'!$1:$1,0)),"")))</f>
        <v/>
      </c>
      <c r="Q95" t="str">
        <f>IF($B95="","",IF(IFERROR(INDEX('RAID Log'!$1:$1048576,$B95,MATCH("RAID Response/Plan",'RAID Log'!$1:$1,0)),"")="","",IFERROR(INDEX('RAID Log'!$1:$1048576,$B95,MATCH("RAID Response/Plan",'RAID Log'!$1:$1,0)),"")))</f>
        <v/>
      </c>
    </row>
    <row r="96" spans="1:17" ht="12.75" customHeight="1">
      <c r="A96" s="91" t="str">
        <f>IF($B96="","",IF(IFERROR(INDEX('RAID Log'!$1:$1048576,$B96,MATCH("RAID ID",'RAID Log'!$1:$1,0)),"")="","",IFERROR(INDEX('RAID Log'!$1:$1048576,$B96,MATCH("RAID ID",'RAID Log'!$1:$1,0)),"")))</f>
        <v/>
      </c>
      <c r="B96" t="str">
        <f>IFERROR(MATCH(ROW()-1,'RAID Log'!$S:$S,0),"")</f>
        <v/>
      </c>
      <c r="C96" s="72" t="str">
        <f>IF($B96="","",IF(IFERROR(INDEX('RAID Log'!$1:$1048576,$B96,MATCH("Description",'RAID Log'!$1:$1,0)),"")="","",IFERROR(INDEX('RAID Log'!$1:$1048576,$B96,MATCH("Description",'RAID Log'!$1:$1,0)),"")))</f>
        <v/>
      </c>
      <c r="D96" s="72" t="str">
        <f>IF($B96="","",IF(IFERROR(INDEX('RAID Log'!$1:$1048576,$B96,MATCH("Impact/Effect of the RAID",'RAID Log'!$1:$1,0)),"")="","",IFERROR(INDEX('RAID Log'!$1:$1048576,$B96,MATCH("Impact/Effect of the RAID",'RAID Log'!$1:$1,0)),"")))</f>
        <v/>
      </c>
      <c r="E96" s="72" t="str">
        <f>IF($B96="","",IF(IFERROR(INDEX('RAID Log'!$1:$1048576,$B96,MATCH("Impact Area",'RAID Log'!$1:$1,0)),"")="","",IFERROR(INDEX('RAID Log'!$1:$1048576,$B96,MATCH("Impact Area",'RAID Log'!$1:$1,0)),"")))</f>
        <v/>
      </c>
      <c r="F96" t="str">
        <f>IF($B96="","",IF(IFERROR(INDEX('RAID Log'!$1:$1048576,$B96,MATCH("Impact Area",'RAID Log'!$1:$1,0)),"")="","",IFERROR(INDEX('RAID Log'!$1:$1048576,$B96,MATCH("Impact Area",'RAID Log'!$1:$1,0)),"")))</f>
        <v/>
      </c>
      <c r="G96" t="str">
        <f>IF($B96="","",IF(IFERROR(INDEX('RAID Log'!$1:$1048576,$B96,MATCH("Impact Rating",'RAID Log'!$1:$1,0)),"")="","",IFERROR(INDEX('RAID Log'!$1:$1048576,$B96,MATCH("Impact Rating",'RAID Log'!$1:$1,0)),"")))</f>
        <v/>
      </c>
      <c r="H96" t="str">
        <f>IF($B96="","",IF(IFERROR(INDEX('RAID Log'!$1:$1048576,$B96,MATCH("Initial Probability",'RAID Log'!$1:$1,0)),"")="","",IFERROR(INDEX('RAID Log'!$1:$1048576,$B96,MATCH("Initial Probability",'RAID Log'!$1:$1,0)),"")))</f>
        <v/>
      </c>
      <c r="I96" s="91" t="str">
        <f t="shared" si="3"/>
        <v/>
      </c>
      <c r="J96" t="str">
        <f t="shared" si="4"/>
        <v/>
      </c>
      <c r="K96" s="91" t="str">
        <f t="shared" si="5"/>
        <v/>
      </c>
      <c r="L96" t="str">
        <f>IF($B96="","",IF(IFERROR(INDEX('RAID Log'!$1:$1048576,$B96,MATCH("Status",'RAID Log'!$1:$1,0)),"")="","",IFERROR(INDEX('RAID Log'!$1:$1048576,$B96,MATCH("Status",'RAID Log'!$1:$1,0)),"")))</f>
        <v/>
      </c>
      <c r="M96" s="73" t="str">
        <f>IF($B96="","",IF(IFERROR(INDEX('RAID Log'!$1:$1048576,$B96,MATCH("RAID Owner",'RAID Log'!$1:$1,0)),"")="","",IFERROR(INDEX('RAID Log'!$1:$1048576,$B96,MATCH("RAID Owner",'RAID Log'!$1:$1,0)),"")))</f>
        <v/>
      </c>
      <c r="N96" s="92" t="str">
        <f>IF($B96="","",IF(IFERROR(INDEX('RAID Log'!$1:$1048576,$B96,MATCH("Date Raised",'RAID Log'!$1:$1,0)),"")="","",IFERROR(INDEX('RAID Log'!$1:$1048576,$B96,MATCH("Date Raised",'RAID Log'!$1:$1,0)),"")))</f>
        <v/>
      </c>
      <c r="O96" s="92" t="str">
        <f>IF($B96="","",IF(IFERROR(INDEX('RAID Log'!$1:$1048576,$B96,MATCH("Closed Date",'RAID Log'!$1:$1,0)),"")="","",IFERROR(INDEX('RAID Log'!$1:$1048576,$B96,MATCH("Closed Date",'RAID Log'!$1:$1,0)),"")))</f>
        <v/>
      </c>
      <c r="P96" s="73" t="str">
        <f>IF($B96="","",IF(IFERROR(INDEX('RAID Log'!$1:$1048576,$B96,MATCH("Mitigation Strategy",'RAID Log'!$1:$1,0)),"")="","",IFERROR(INDEX('RAID Log'!$1:$1048576,$B96,MATCH("Mitigation Strategy",'RAID Log'!$1:$1,0)),"")))</f>
        <v/>
      </c>
      <c r="Q96" t="str">
        <f>IF($B96="","",IF(IFERROR(INDEX('RAID Log'!$1:$1048576,$B96,MATCH("RAID Response/Plan",'RAID Log'!$1:$1,0)),"")="","",IFERROR(INDEX('RAID Log'!$1:$1048576,$B96,MATCH("RAID Response/Plan",'RAID Log'!$1:$1,0)),"")))</f>
        <v/>
      </c>
    </row>
    <row r="97" spans="1:17" ht="12.75" customHeight="1">
      <c r="A97" s="91" t="str">
        <f>IF($B97="","",IF(IFERROR(INDEX('RAID Log'!$1:$1048576,$B97,MATCH("RAID ID",'RAID Log'!$1:$1,0)),"")="","",IFERROR(INDEX('RAID Log'!$1:$1048576,$B97,MATCH("RAID ID",'RAID Log'!$1:$1,0)),"")))</f>
        <v/>
      </c>
      <c r="B97" t="str">
        <f>IFERROR(MATCH(ROW()-1,'RAID Log'!$S:$S,0),"")</f>
        <v/>
      </c>
      <c r="C97" s="72" t="str">
        <f>IF($B97="","",IF(IFERROR(INDEX('RAID Log'!$1:$1048576,$B97,MATCH("Description",'RAID Log'!$1:$1,0)),"")="","",IFERROR(INDEX('RAID Log'!$1:$1048576,$B97,MATCH("Description",'RAID Log'!$1:$1,0)),"")))</f>
        <v/>
      </c>
      <c r="D97" s="72" t="str">
        <f>IF($B97="","",IF(IFERROR(INDEX('RAID Log'!$1:$1048576,$B97,MATCH("Impact/Effect of the RAID",'RAID Log'!$1:$1,0)),"")="","",IFERROR(INDEX('RAID Log'!$1:$1048576,$B97,MATCH("Impact/Effect of the RAID",'RAID Log'!$1:$1,0)),"")))</f>
        <v/>
      </c>
      <c r="E97" s="72" t="str">
        <f>IF($B97="","",IF(IFERROR(INDEX('RAID Log'!$1:$1048576,$B97,MATCH("Impact Area",'RAID Log'!$1:$1,0)),"")="","",IFERROR(INDEX('RAID Log'!$1:$1048576,$B97,MATCH("Impact Area",'RAID Log'!$1:$1,0)),"")))</f>
        <v/>
      </c>
      <c r="F97" t="str">
        <f>IF($B97="","",IF(IFERROR(INDEX('RAID Log'!$1:$1048576,$B97,MATCH("Impact Area",'RAID Log'!$1:$1,0)),"")="","",IFERROR(INDEX('RAID Log'!$1:$1048576,$B97,MATCH("Impact Area",'RAID Log'!$1:$1,0)),"")))</f>
        <v/>
      </c>
      <c r="G97" t="str">
        <f>IF($B97="","",IF(IFERROR(INDEX('RAID Log'!$1:$1048576,$B97,MATCH("Impact Rating",'RAID Log'!$1:$1,0)),"")="","",IFERROR(INDEX('RAID Log'!$1:$1048576,$B97,MATCH("Impact Rating",'RAID Log'!$1:$1,0)),"")))</f>
        <v/>
      </c>
      <c r="H97" t="str">
        <f>IF($B97="","",IF(IFERROR(INDEX('RAID Log'!$1:$1048576,$B97,MATCH("Initial Probability",'RAID Log'!$1:$1,0)),"")="","",IFERROR(INDEX('RAID Log'!$1:$1048576,$B97,MATCH("Initial Probability",'RAID Log'!$1:$1,0)),"")))</f>
        <v/>
      </c>
      <c r="I97" s="91" t="str">
        <f t="shared" si="3"/>
        <v/>
      </c>
      <c r="J97" t="str">
        <f t="shared" si="4"/>
        <v/>
      </c>
      <c r="K97" s="91" t="str">
        <f t="shared" si="5"/>
        <v/>
      </c>
      <c r="L97" t="str">
        <f>IF($B97="","",IF(IFERROR(INDEX('RAID Log'!$1:$1048576,$B97,MATCH("Status",'RAID Log'!$1:$1,0)),"")="","",IFERROR(INDEX('RAID Log'!$1:$1048576,$B97,MATCH("Status",'RAID Log'!$1:$1,0)),"")))</f>
        <v/>
      </c>
      <c r="M97" s="73" t="str">
        <f>IF($B97="","",IF(IFERROR(INDEX('RAID Log'!$1:$1048576,$B97,MATCH("RAID Owner",'RAID Log'!$1:$1,0)),"")="","",IFERROR(INDEX('RAID Log'!$1:$1048576,$B97,MATCH("RAID Owner",'RAID Log'!$1:$1,0)),"")))</f>
        <v/>
      </c>
      <c r="N97" s="92" t="str">
        <f>IF($B97="","",IF(IFERROR(INDEX('RAID Log'!$1:$1048576,$B97,MATCH("Date Raised",'RAID Log'!$1:$1,0)),"")="","",IFERROR(INDEX('RAID Log'!$1:$1048576,$B97,MATCH("Date Raised",'RAID Log'!$1:$1,0)),"")))</f>
        <v/>
      </c>
      <c r="O97" s="92" t="str">
        <f>IF($B97="","",IF(IFERROR(INDEX('RAID Log'!$1:$1048576,$B97,MATCH("Closed Date",'RAID Log'!$1:$1,0)),"")="","",IFERROR(INDEX('RAID Log'!$1:$1048576,$B97,MATCH("Closed Date",'RAID Log'!$1:$1,0)),"")))</f>
        <v/>
      </c>
      <c r="P97" s="73" t="str">
        <f>IF($B97="","",IF(IFERROR(INDEX('RAID Log'!$1:$1048576,$B97,MATCH("Mitigation Strategy",'RAID Log'!$1:$1,0)),"")="","",IFERROR(INDEX('RAID Log'!$1:$1048576,$B97,MATCH("Mitigation Strategy",'RAID Log'!$1:$1,0)),"")))</f>
        <v/>
      </c>
      <c r="Q97" t="str">
        <f>IF($B97="","",IF(IFERROR(INDEX('RAID Log'!$1:$1048576,$B97,MATCH("RAID Response/Plan",'RAID Log'!$1:$1,0)),"")="","",IFERROR(INDEX('RAID Log'!$1:$1048576,$B97,MATCH("RAID Response/Plan",'RAID Log'!$1:$1,0)),"")))</f>
        <v/>
      </c>
    </row>
    <row r="98" spans="1:17" ht="14.25" customHeight="1">
      <c r="A98" s="82" t="str">
        <f>IF($B98="","",IF(IFERROR(INDEX('RAID Log'!$1:$1048576,$B98,MATCH("RAID ID",'RAID Log'!$1:$1,0)),"")="","",IFERROR(INDEX('RAID Log'!$1:$1048576,$B98,MATCH("RAID ID",'RAID Log'!$1:$1,0)),"")))</f>
        <v/>
      </c>
      <c r="B98" s="83" t="str">
        <f>IFERROR(MATCH(ROW()-1,'RAID Log'!$S:$S,0),"")</f>
        <v/>
      </c>
      <c r="C98" s="84" t="str">
        <f>IF($B98="","",IF(IFERROR(INDEX('RAID Log'!$1:$1048576,$B98,MATCH("Description",'RAID Log'!$1:$1,0)),"")="","",IFERROR(INDEX('RAID Log'!$1:$1048576,$B98,MATCH("Description",'RAID Log'!$1:$1,0)),"")))</f>
        <v/>
      </c>
      <c r="D98" s="84" t="str">
        <f>IF($B98="","",IF(IFERROR(INDEX('RAID Log'!$1:$1048576,$B98,MATCH("Impact/Effect of the RAID",'RAID Log'!$1:$1,0)),"")="","",IFERROR(INDEX('RAID Log'!$1:$1048576,$B98,MATCH("Impact/Effect of the RAID",'RAID Log'!$1:$1,0)),"")))</f>
        <v/>
      </c>
      <c r="E98" s="85" t="str">
        <f>IF($B98="","",IF(IFERROR(INDEX('RAID Log'!$1:$1048576,$B98,MATCH("Impact Area",'RAID Log'!$1:$1,0)),"")="","",IFERROR(INDEX('RAID Log'!$1:$1048576,$B98,MATCH("Impact Area",'RAID Log'!$1:$1,0)),"")))</f>
        <v/>
      </c>
      <c r="F98" s="85" t="str">
        <f>IF($B98="","",IF(IFERROR(INDEX('RAID Log'!$1:$1048576,$B98,MATCH("Impact Area",'RAID Log'!$1:$1,0)),"")="","",IFERROR(INDEX('RAID Log'!$1:$1048576,$B98,MATCH("Impact Area",'RAID Log'!$1:$1,0)),"")))</f>
        <v/>
      </c>
      <c r="G98" s="85" t="str">
        <f>IF($B98="","",IF(IFERROR(INDEX('RAID Log'!$1:$1048576,$B98,MATCH("Impact Rating",'RAID Log'!$1:$1,0)),"")="","",IFERROR(INDEX('RAID Log'!$1:$1048576,$B98,MATCH("Impact Rating",'RAID Log'!$1:$1,0)),"")))</f>
        <v/>
      </c>
      <c r="H98" s="85" t="str">
        <f>IF($B98="","",IF(IFERROR(INDEX('RAID Log'!$1:$1048576,$B98,MATCH("Initial Probability",'RAID Log'!$1:$1,0)),"")="","",IFERROR(INDEX('RAID Log'!$1:$1048576,$B98,MATCH("Initial Probability",'RAID Log'!$1:$1,0)),"")))</f>
        <v/>
      </c>
      <c r="I98" s="86" t="str">
        <f t="shared" si="3"/>
        <v/>
      </c>
      <c r="J98" s="85" t="str">
        <f t="shared" si="4"/>
        <v/>
      </c>
      <c r="K98" s="86" t="str">
        <f t="shared" si="5"/>
        <v/>
      </c>
      <c r="L98" s="85" t="str">
        <f>IF($B98="","",IF(IFERROR(INDEX('RAID Log'!$1:$1048576,$B98,MATCH("Status",'RAID Log'!$1:$1,0)),"")="","",IFERROR(INDEX('RAID Log'!$1:$1048576,$B98,MATCH("Status",'RAID Log'!$1:$1,0)),"")))</f>
        <v/>
      </c>
      <c r="M98" s="85" t="str">
        <f>IF($B98="","",IF(IFERROR(INDEX('RAID Log'!$1:$1048576,$B98,MATCH("RAID Owner",'RAID Log'!$1:$1,0)),"")="","",IFERROR(INDEX('RAID Log'!$1:$1048576,$B98,MATCH("RAID Owner",'RAID Log'!$1:$1,0)),"")))</f>
        <v/>
      </c>
      <c r="N98" s="87" t="str">
        <f>IF($B98="","",IF(IFERROR(INDEX('RAID Log'!$1:$1048576,$B98,MATCH("Date Raised",'RAID Log'!$1:$1,0)),"")="","",IFERROR(INDEX('RAID Log'!$1:$1048576,$B98,MATCH("Date Raised",'RAID Log'!$1:$1,0)),"")))</f>
        <v/>
      </c>
      <c r="O98" s="87" t="str">
        <f>IF($B98="","",IF(IFERROR(INDEX('RAID Log'!$1:$1048576,$B98,MATCH("Closed Date",'RAID Log'!$1:$1,0)),"")="","",IFERROR(INDEX('RAID Log'!$1:$1048576,$B98,MATCH("Closed Date",'RAID Log'!$1:$1,0)),"")))</f>
        <v/>
      </c>
      <c r="P98" s="85" t="str">
        <f>IF($B98="","",IF(IFERROR(INDEX('RAID Log'!$1:$1048576,$B98,MATCH("Mitigation Strategy",'RAID Log'!$1:$1,0)),"")="","",IFERROR(INDEX('RAID Log'!$1:$1048576,$B98,MATCH("Mitigation Strategy",'RAID Log'!$1:$1,0)),"")))</f>
        <v/>
      </c>
      <c r="Q98" s="88" t="str">
        <f>IF($B98="","",IF(IFERROR(INDEX('RAID Log'!$1:$1048576,$B98,MATCH("RAID Response/Plan",'RAID Log'!$1:$1,0)),"")="","",IFERROR(INDEX('RAID Log'!$1:$1048576,$B98,MATCH("RAID Response/Plan",'RAID Log'!$1:$1,0)),"")))</f>
        <v/>
      </c>
    </row>
    <row r="99" spans="1:17" ht="14.25" customHeight="1">
      <c r="A99" s="82" t="str">
        <f>IF($B99="","",IF(IFERROR(INDEX('RAID Log'!$1:$1048576,$B99,MATCH("RAID ID",'RAID Log'!$1:$1,0)),"")="","",IFERROR(INDEX('RAID Log'!$1:$1048576,$B99,MATCH("RAID ID",'RAID Log'!$1:$1,0)),"")))</f>
        <v/>
      </c>
      <c r="B99" s="83" t="str">
        <f>IFERROR(MATCH(ROW()-1,'RAID Log'!$S:$S,0),"")</f>
        <v/>
      </c>
      <c r="C99" s="84" t="str">
        <f>IF($B99="","",IF(IFERROR(INDEX('RAID Log'!$1:$1048576,$B99,MATCH("Description",'RAID Log'!$1:$1,0)),"")="","",IFERROR(INDEX('RAID Log'!$1:$1048576,$B99,MATCH("Description",'RAID Log'!$1:$1,0)),"")))</f>
        <v/>
      </c>
      <c r="D99" s="84" t="str">
        <f>IF($B99="","",IF(IFERROR(INDEX('RAID Log'!$1:$1048576,$B99,MATCH("Impact/Effect of the RAID",'RAID Log'!$1:$1,0)),"")="","",IFERROR(INDEX('RAID Log'!$1:$1048576,$B99,MATCH("Impact/Effect of the RAID",'RAID Log'!$1:$1,0)),"")))</f>
        <v/>
      </c>
      <c r="E99" s="85" t="str">
        <f>IF($B99="","",IF(IFERROR(INDEX('RAID Log'!$1:$1048576,$B99,MATCH("Impact Area",'RAID Log'!$1:$1,0)),"")="","",IFERROR(INDEX('RAID Log'!$1:$1048576,$B99,MATCH("Impact Area",'RAID Log'!$1:$1,0)),"")))</f>
        <v/>
      </c>
      <c r="F99" s="85" t="str">
        <f>IF($B99="","",IF(IFERROR(INDEX('RAID Log'!$1:$1048576,$B99,MATCH("Impact Area",'RAID Log'!$1:$1,0)),"")="","",IFERROR(INDEX('RAID Log'!$1:$1048576,$B99,MATCH("Impact Area",'RAID Log'!$1:$1,0)),"")))</f>
        <v/>
      </c>
      <c r="G99" s="85" t="str">
        <f>IF($B99="","",IF(IFERROR(INDEX('RAID Log'!$1:$1048576,$B99,MATCH("Impact Rating",'RAID Log'!$1:$1,0)),"")="","",IFERROR(INDEX('RAID Log'!$1:$1048576,$B99,MATCH("Impact Rating",'RAID Log'!$1:$1,0)),"")))</f>
        <v/>
      </c>
      <c r="H99" s="85" t="str">
        <f>IF($B99="","",IF(IFERROR(INDEX('RAID Log'!$1:$1048576,$B99,MATCH("Initial Probability",'RAID Log'!$1:$1,0)),"")="","",IFERROR(INDEX('RAID Log'!$1:$1048576,$B99,MATCH("Initial Probability",'RAID Log'!$1:$1,0)),"")))</f>
        <v/>
      </c>
      <c r="I99" s="86" t="str">
        <f t="shared" si="3"/>
        <v/>
      </c>
      <c r="J99" s="85" t="str">
        <f t="shared" si="4"/>
        <v/>
      </c>
      <c r="K99" s="86" t="str">
        <f t="shared" si="5"/>
        <v/>
      </c>
      <c r="L99" s="85" t="str">
        <f>IF($B99="","",IF(IFERROR(INDEX('RAID Log'!$1:$1048576,$B99,MATCH("Status",'RAID Log'!$1:$1,0)),"")="","",IFERROR(INDEX('RAID Log'!$1:$1048576,$B99,MATCH("Status",'RAID Log'!$1:$1,0)),"")))</f>
        <v/>
      </c>
      <c r="M99" s="85" t="str">
        <f>IF($B99="","",IF(IFERROR(INDEX('RAID Log'!$1:$1048576,$B99,MATCH("RAID Owner",'RAID Log'!$1:$1,0)),"")="","",IFERROR(INDEX('RAID Log'!$1:$1048576,$B99,MATCH("RAID Owner",'RAID Log'!$1:$1,0)),"")))</f>
        <v/>
      </c>
      <c r="N99" s="87" t="str">
        <f>IF($B99="","",IF(IFERROR(INDEX('RAID Log'!$1:$1048576,$B99,MATCH("Date Raised",'RAID Log'!$1:$1,0)),"")="","",IFERROR(INDEX('RAID Log'!$1:$1048576,$B99,MATCH("Date Raised",'RAID Log'!$1:$1,0)),"")))</f>
        <v/>
      </c>
      <c r="O99" s="87" t="str">
        <f>IF($B99="","",IF(IFERROR(INDEX('RAID Log'!$1:$1048576,$B99,MATCH("Closed Date",'RAID Log'!$1:$1,0)),"")="","",IFERROR(INDEX('RAID Log'!$1:$1048576,$B99,MATCH("Closed Date",'RAID Log'!$1:$1,0)),"")))</f>
        <v/>
      </c>
      <c r="P99" s="85" t="str">
        <f>IF($B99="","",IF(IFERROR(INDEX('RAID Log'!$1:$1048576,$B99,MATCH("Mitigation Strategy",'RAID Log'!$1:$1,0)),"")="","",IFERROR(INDEX('RAID Log'!$1:$1048576,$B99,MATCH("Mitigation Strategy",'RAID Log'!$1:$1,0)),"")))</f>
        <v/>
      </c>
      <c r="Q99" s="88" t="str">
        <f>IF($B99="","",IF(IFERROR(INDEX('RAID Log'!$1:$1048576,$B99,MATCH("RAID Response/Plan",'RAID Log'!$1:$1,0)),"")="","",IFERROR(INDEX('RAID Log'!$1:$1048576,$B99,MATCH("RAID Response/Plan",'RAID Log'!$1:$1,0)),"")))</f>
        <v/>
      </c>
    </row>
    <row r="100" spans="1:17" ht="14.25" customHeight="1">
      <c r="A100" s="82" t="str">
        <f>IF($B100="","",IF(IFERROR(INDEX('RAID Log'!$1:$1048576,$B100,MATCH("RAID ID",'RAID Log'!$1:$1,0)),"")="","",IFERROR(INDEX('RAID Log'!$1:$1048576,$B100,MATCH("RAID ID",'RAID Log'!$1:$1,0)),"")))</f>
        <v/>
      </c>
      <c r="B100" s="83" t="str">
        <f>IFERROR(MATCH(ROW()-1,'RAID Log'!$S:$S,0),"")</f>
        <v/>
      </c>
      <c r="C100" s="84" t="str">
        <f>IF($B100="","",IF(IFERROR(INDEX('RAID Log'!$1:$1048576,$B100,MATCH("Description",'RAID Log'!$1:$1,0)),"")="","",IFERROR(INDEX('RAID Log'!$1:$1048576,$B100,MATCH("Description",'RAID Log'!$1:$1,0)),"")))</f>
        <v/>
      </c>
      <c r="D100" s="84" t="str">
        <f>IF($B100="","",IF(IFERROR(INDEX('RAID Log'!$1:$1048576,$B100,MATCH("Impact/Effect of the RAID",'RAID Log'!$1:$1,0)),"")="","",IFERROR(INDEX('RAID Log'!$1:$1048576,$B100,MATCH("Impact/Effect of the RAID",'RAID Log'!$1:$1,0)),"")))</f>
        <v/>
      </c>
      <c r="E100" s="85" t="str">
        <f>IF($B100="","",IF(IFERROR(INDEX('RAID Log'!$1:$1048576,$B100,MATCH("Impact Area",'RAID Log'!$1:$1,0)),"")="","",IFERROR(INDEX('RAID Log'!$1:$1048576,$B100,MATCH("Impact Area",'RAID Log'!$1:$1,0)),"")))</f>
        <v/>
      </c>
      <c r="F100" s="85" t="str">
        <f>IF($B100="","",IF(IFERROR(INDEX('RAID Log'!$1:$1048576,$B100,MATCH("Impact Area",'RAID Log'!$1:$1,0)),"")="","",IFERROR(INDEX('RAID Log'!$1:$1048576,$B100,MATCH("Impact Area",'RAID Log'!$1:$1,0)),"")))</f>
        <v/>
      </c>
      <c r="G100" s="85" t="str">
        <f>IF($B100="","",IF(IFERROR(INDEX('RAID Log'!$1:$1048576,$B100,MATCH("Impact Rating",'RAID Log'!$1:$1,0)),"")="","",IFERROR(INDEX('RAID Log'!$1:$1048576,$B100,MATCH("Impact Rating",'RAID Log'!$1:$1,0)),"")))</f>
        <v/>
      </c>
      <c r="H100" s="85" t="str">
        <f>IF($B100="","",IF(IFERROR(INDEX('RAID Log'!$1:$1048576,$B100,MATCH("Initial Probability",'RAID Log'!$1:$1,0)),"")="","",IFERROR(INDEX('RAID Log'!$1:$1048576,$B100,MATCH("Initial Probability",'RAID Log'!$1:$1,0)),"")))</f>
        <v/>
      </c>
      <c r="I100" s="86" t="str">
        <f t="shared" si="3"/>
        <v/>
      </c>
      <c r="J100" s="85" t="str">
        <f t="shared" si="4"/>
        <v/>
      </c>
      <c r="K100" s="86" t="str">
        <f t="shared" si="5"/>
        <v/>
      </c>
      <c r="L100" s="85" t="str">
        <f>IF($B100="","",IF(IFERROR(INDEX('RAID Log'!$1:$1048576,$B100,MATCH("Status",'RAID Log'!$1:$1,0)),"")="","",IFERROR(INDEX('RAID Log'!$1:$1048576,$B100,MATCH("Status",'RAID Log'!$1:$1,0)),"")))</f>
        <v/>
      </c>
      <c r="M100" s="85" t="str">
        <f>IF($B100="","",IF(IFERROR(INDEX('RAID Log'!$1:$1048576,$B100,MATCH("RAID Owner",'RAID Log'!$1:$1,0)),"")="","",IFERROR(INDEX('RAID Log'!$1:$1048576,$B100,MATCH("RAID Owner",'RAID Log'!$1:$1,0)),"")))</f>
        <v/>
      </c>
      <c r="N100" s="87" t="str">
        <f>IF($B100="","",IF(IFERROR(INDEX('RAID Log'!$1:$1048576,$B100,MATCH("Date Raised",'RAID Log'!$1:$1,0)),"")="","",IFERROR(INDEX('RAID Log'!$1:$1048576,$B100,MATCH("Date Raised",'RAID Log'!$1:$1,0)),"")))</f>
        <v/>
      </c>
      <c r="O100" s="87" t="str">
        <f>IF($B100="","",IF(IFERROR(INDEX('RAID Log'!$1:$1048576,$B100,MATCH("Closed Date",'RAID Log'!$1:$1,0)),"")="","",IFERROR(INDEX('RAID Log'!$1:$1048576,$B100,MATCH("Closed Date",'RAID Log'!$1:$1,0)),"")))</f>
        <v/>
      </c>
      <c r="P100" s="85" t="str">
        <f>IF($B100="","",IF(IFERROR(INDEX('RAID Log'!$1:$1048576,$B100,MATCH("Mitigation Strategy",'RAID Log'!$1:$1,0)),"")="","",IFERROR(INDEX('RAID Log'!$1:$1048576,$B100,MATCH("Mitigation Strategy",'RAID Log'!$1:$1,0)),"")))</f>
        <v/>
      </c>
      <c r="Q100" s="88" t="str">
        <f>IF($B100="","",IF(IFERROR(INDEX('RAID Log'!$1:$1048576,$B100,MATCH("RAID Response/Plan",'RAID Log'!$1:$1,0)),"")="","",IFERROR(INDEX('RAID Log'!$1:$1048576,$B100,MATCH("RAID Response/Plan",'RAID Log'!$1:$1,0)),"")))</f>
        <v/>
      </c>
    </row>
    <row r="101" spans="1:17" ht="14.25" customHeight="1">
      <c r="A101" s="82" t="str">
        <f>IF($B101="","",IF(IFERROR(INDEX('RAID Log'!$1:$1048576,$B101,MATCH("RAID ID",'RAID Log'!$1:$1,0)),"")="","",IFERROR(INDEX('RAID Log'!$1:$1048576,$B101,MATCH("RAID ID",'RAID Log'!$1:$1,0)),"")))</f>
        <v/>
      </c>
      <c r="B101" s="83" t="str">
        <f>IFERROR(MATCH(ROW()-1,'RAID Log'!$S:$S,0),"")</f>
        <v/>
      </c>
      <c r="C101" s="84" t="str">
        <f>IF($B101="","",IF(IFERROR(INDEX('RAID Log'!$1:$1048576,$B101,MATCH("Description",'RAID Log'!$1:$1,0)),"")="","",IFERROR(INDEX('RAID Log'!$1:$1048576,$B101,MATCH("Description",'RAID Log'!$1:$1,0)),"")))</f>
        <v/>
      </c>
      <c r="D101" s="84" t="str">
        <f>IF($B101="","",IF(IFERROR(INDEX('RAID Log'!$1:$1048576,$B101,MATCH("Impact/Effect of the RAID",'RAID Log'!$1:$1,0)),"")="","",IFERROR(INDEX('RAID Log'!$1:$1048576,$B101,MATCH("Impact/Effect of the RAID",'RAID Log'!$1:$1,0)),"")))</f>
        <v/>
      </c>
      <c r="E101" s="85" t="str">
        <f>IF($B101="","",IF(IFERROR(INDEX('RAID Log'!$1:$1048576,$B101,MATCH("Impact Area",'RAID Log'!$1:$1,0)),"")="","",IFERROR(INDEX('RAID Log'!$1:$1048576,$B101,MATCH("Impact Area",'RAID Log'!$1:$1,0)),"")))</f>
        <v/>
      </c>
      <c r="F101" s="85" t="str">
        <f>IF($B101="","",IF(IFERROR(INDEX('RAID Log'!$1:$1048576,$B101,MATCH("Impact Area",'RAID Log'!$1:$1,0)),"")="","",IFERROR(INDEX('RAID Log'!$1:$1048576,$B101,MATCH("Impact Area",'RAID Log'!$1:$1,0)),"")))</f>
        <v/>
      </c>
      <c r="G101" s="85" t="str">
        <f>IF($B101="","",IF(IFERROR(INDEX('RAID Log'!$1:$1048576,$B101,MATCH("Impact Rating",'RAID Log'!$1:$1,0)),"")="","",IFERROR(INDEX('RAID Log'!$1:$1048576,$B101,MATCH("Impact Rating",'RAID Log'!$1:$1,0)),"")))</f>
        <v/>
      </c>
      <c r="H101" s="85" t="str">
        <f>IF($B101="","",IF(IFERROR(INDEX('RAID Log'!$1:$1048576,$B101,MATCH("Initial Probability",'RAID Log'!$1:$1,0)),"")="","",IFERROR(INDEX('RAID Log'!$1:$1048576,$B101,MATCH("Initial Probability",'RAID Log'!$1:$1,0)),"")))</f>
        <v/>
      </c>
      <c r="I101" s="86" t="str">
        <f t="shared" si="3"/>
        <v/>
      </c>
      <c r="J101" s="85" t="str">
        <f t="shared" si="4"/>
        <v/>
      </c>
      <c r="K101" s="86" t="str">
        <f t="shared" si="5"/>
        <v/>
      </c>
      <c r="L101" s="85" t="str">
        <f>IF($B101="","",IF(IFERROR(INDEX('RAID Log'!$1:$1048576,$B101,MATCH("Status",'RAID Log'!$1:$1,0)),"")="","",IFERROR(INDEX('RAID Log'!$1:$1048576,$B101,MATCH("Status",'RAID Log'!$1:$1,0)),"")))</f>
        <v/>
      </c>
      <c r="M101" s="85" t="str">
        <f>IF($B101="","",IF(IFERROR(INDEX('RAID Log'!$1:$1048576,$B101,MATCH("RAID Owner",'RAID Log'!$1:$1,0)),"")="","",IFERROR(INDEX('RAID Log'!$1:$1048576,$B101,MATCH("RAID Owner",'RAID Log'!$1:$1,0)),"")))</f>
        <v/>
      </c>
      <c r="N101" s="87" t="str">
        <f>IF($B101="","",IF(IFERROR(INDEX('RAID Log'!$1:$1048576,$B101,MATCH("Date Raised",'RAID Log'!$1:$1,0)),"")="","",IFERROR(INDEX('RAID Log'!$1:$1048576,$B101,MATCH("Date Raised",'RAID Log'!$1:$1,0)),"")))</f>
        <v/>
      </c>
      <c r="O101" s="87" t="str">
        <f>IF($B101="","",IF(IFERROR(INDEX('RAID Log'!$1:$1048576,$B101,MATCH("Closed Date",'RAID Log'!$1:$1,0)),"")="","",IFERROR(INDEX('RAID Log'!$1:$1048576,$B101,MATCH("Closed Date",'RAID Log'!$1:$1,0)),"")))</f>
        <v/>
      </c>
      <c r="P101" s="85" t="str">
        <f>IF($B101="","",IF(IFERROR(INDEX('RAID Log'!$1:$1048576,$B101,MATCH("Mitigation Strategy",'RAID Log'!$1:$1,0)),"")="","",IFERROR(INDEX('RAID Log'!$1:$1048576,$B101,MATCH("Mitigation Strategy",'RAID Log'!$1:$1,0)),"")))</f>
        <v/>
      </c>
      <c r="Q101" s="88" t="str">
        <f>IF($B101="","",IF(IFERROR(INDEX('RAID Log'!$1:$1048576,$B101,MATCH("RAID Response/Plan",'RAID Log'!$1:$1,0)),"")="","",IFERROR(INDEX('RAID Log'!$1:$1048576,$B101,MATCH("RAID Response/Plan",'RAID Log'!$1:$1,0)),"")))</f>
        <v/>
      </c>
    </row>
    <row r="102" spans="1:17" ht="14.25" customHeight="1">
      <c r="A102" s="82" t="str">
        <f>IF($B102="","",IF(IFERROR(INDEX('RAID Log'!$1:$1048576,$B102,MATCH("RAID ID",'RAID Log'!$1:$1,0)),"")="","",IFERROR(INDEX('RAID Log'!$1:$1048576,$B102,MATCH("RAID ID",'RAID Log'!$1:$1,0)),"")))</f>
        <v/>
      </c>
      <c r="B102" s="83" t="str">
        <f>IFERROR(MATCH(ROW()-1,'RAID Log'!$S:$S,0),"")</f>
        <v/>
      </c>
      <c r="C102" s="84" t="str">
        <f>IF($B102="","",IF(IFERROR(INDEX('RAID Log'!$1:$1048576,$B102,MATCH("Description",'RAID Log'!$1:$1,0)),"")="","",IFERROR(INDEX('RAID Log'!$1:$1048576,$B102,MATCH("Description",'RAID Log'!$1:$1,0)),"")))</f>
        <v/>
      </c>
      <c r="D102" s="84" t="str">
        <f>IF($B102="","",IF(IFERROR(INDEX('RAID Log'!$1:$1048576,$B102,MATCH("Impact/Effect of the RAID",'RAID Log'!$1:$1,0)),"")="","",IFERROR(INDEX('RAID Log'!$1:$1048576,$B102,MATCH("Impact/Effect of the RAID",'RAID Log'!$1:$1,0)),"")))</f>
        <v/>
      </c>
      <c r="E102" s="85" t="str">
        <f>IF($B102="","",IF(IFERROR(INDEX('RAID Log'!$1:$1048576,$B102,MATCH("Impact Area",'RAID Log'!$1:$1,0)),"")="","",IFERROR(INDEX('RAID Log'!$1:$1048576,$B102,MATCH("Impact Area",'RAID Log'!$1:$1,0)),"")))</f>
        <v/>
      </c>
      <c r="F102" s="85" t="str">
        <f>IF($B102="","",IF(IFERROR(INDEX('RAID Log'!$1:$1048576,$B102,MATCH("Impact Area",'RAID Log'!$1:$1,0)),"")="","",IFERROR(INDEX('RAID Log'!$1:$1048576,$B102,MATCH("Impact Area",'RAID Log'!$1:$1,0)),"")))</f>
        <v/>
      </c>
      <c r="G102" s="85" t="str">
        <f>IF($B102="","",IF(IFERROR(INDEX('RAID Log'!$1:$1048576,$B102,MATCH("Impact Rating",'RAID Log'!$1:$1,0)),"")="","",IFERROR(INDEX('RAID Log'!$1:$1048576,$B102,MATCH("Impact Rating",'RAID Log'!$1:$1,0)),"")))</f>
        <v/>
      </c>
      <c r="H102" s="85" t="str">
        <f>IF($B102="","",IF(IFERROR(INDEX('RAID Log'!$1:$1048576,$B102,MATCH("Initial Probability",'RAID Log'!$1:$1,0)),"")="","",IFERROR(INDEX('RAID Log'!$1:$1048576,$B102,MATCH("Initial Probability",'RAID Log'!$1:$1,0)),"")))</f>
        <v/>
      </c>
      <c r="I102" s="86" t="str">
        <f t="shared" si="3"/>
        <v/>
      </c>
      <c r="J102" s="85" t="str">
        <f t="shared" si="4"/>
        <v/>
      </c>
      <c r="K102" s="86" t="str">
        <f t="shared" si="5"/>
        <v/>
      </c>
      <c r="L102" s="85" t="str">
        <f>IF($B102="","",IF(IFERROR(INDEX('RAID Log'!$1:$1048576,$B102,MATCH("Status",'RAID Log'!$1:$1,0)),"")="","",IFERROR(INDEX('RAID Log'!$1:$1048576,$B102,MATCH("Status",'RAID Log'!$1:$1,0)),"")))</f>
        <v/>
      </c>
      <c r="M102" s="85" t="str">
        <f>IF($B102="","",IF(IFERROR(INDEX('RAID Log'!$1:$1048576,$B102,MATCH("RAID Owner",'RAID Log'!$1:$1,0)),"")="","",IFERROR(INDEX('RAID Log'!$1:$1048576,$B102,MATCH("RAID Owner",'RAID Log'!$1:$1,0)),"")))</f>
        <v/>
      </c>
      <c r="N102" s="87" t="str">
        <f>IF($B102="","",IF(IFERROR(INDEX('RAID Log'!$1:$1048576,$B102,MATCH("Date Raised",'RAID Log'!$1:$1,0)),"")="","",IFERROR(INDEX('RAID Log'!$1:$1048576,$B102,MATCH("Date Raised",'RAID Log'!$1:$1,0)),"")))</f>
        <v/>
      </c>
      <c r="O102" s="87" t="str">
        <f>IF($B102="","",IF(IFERROR(INDEX('RAID Log'!$1:$1048576,$B102,MATCH("Closed Date",'RAID Log'!$1:$1,0)),"")="","",IFERROR(INDEX('RAID Log'!$1:$1048576,$B102,MATCH("Closed Date",'RAID Log'!$1:$1,0)),"")))</f>
        <v/>
      </c>
      <c r="P102" s="85" t="str">
        <f>IF($B102="","",IF(IFERROR(INDEX('RAID Log'!$1:$1048576,$B102,MATCH("Mitigation Strategy",'RAID Log'!$1:$1,0)),"")="","",IFERROR(INDEX('RAID Log'!$1:$1048576,$B102,MATCH("Mitigation Strategy",'RAID Log'!$1:$1,0)),"")))</f>
        <v/>
      </c>
      <c r="Q102" s="88" t="str">
        <f>IF($B102="","",IF(IFERROR(INDEX('RAID Log'!$1:$1048576,$B102,MATCH("RAID Response/Plan",'RAID Log'!$1:$1,0)),"")="","",IFERROR(INDEX('RAID Log'!$1:$1048576,$B102,MATCH("RAID Response/Plan",'RAID Log'!$1:$1,0)),"")))</f>
        <v/>
      </c>
    </row>
    <row r="103" spans="1:17" ht="14.25" customHeight="1">
      <c r="A103" s="82" t="str">
        <f>IF($B103="","",IF(IFERROR(INDEX('RAID Log'!$1:$1048576,$B103,MATCH("RAID ID",'RAID Log'!$1:$1,0)),"")="","",IFERROR(INDEX('RAID Log'!$1:$1048576,$B103,MATCH("RAID ID",'RAID Log'!$1:$1,0)),"")))</f>
        <v/>
      </c>
      <c r="B103" s="83" t="str">
        <f>IFERROR(MATCH(ROW()-1,'RAID Log'!$S:$S,0),"")</f>
        <v/>
      </c>
      <c r="C103" s="84" t="str">
        <f>IF($B103="","",IF(IFERROR(INDEX('RAID Log'!$1:$1048576,$B103,MATCH("Description",'RAID Log'!$1:$1,0)),"")="","",IFERROR(INDEX('RAID Log'!$1:$1048576,$B103,MATCH("Description",'RAID Log'!$1:$1,0)),"")))</f>
        <v/>
      </c>
      <c r="D103" s="84" t="str">
        <f>IF($B103="","",IF(IFERROR(INDEX('RAID Log'!$1:$1048576,$B103,MATCH("Impact/Effect of the RAID",'RAID Log'!$1:$1,0)),"")="","",IFERROR(INDEX('RAID Log'!$1:$1048576,$B103,MATCH("Impact/Effect of the RAID",'RAID Log'!$1:$1,0)),"")))</f>
        <v/>
      </c>
      <c r="E103" s="85" t="str">
        <f>IF($B103="","",IF(IFERROR(INDEX('RAID Log'!$1:$1048576,$B103,MATCH("Impact Area",'RAID Log'!$1:$1,0)),"")="","",IFERROR(INDEX('RAID Log'!$1:$1048576,$B103,MATCH("Impact Area",'RAID Log'!$1:$1,0)),"")))</f>
        <v/>
      </c>
      <c r="F103" s="85" t="str">
        <f>IF($B103="","",IF(IFERROR(INDEX('RAID Log'!$1:$1048576,$B103,MATCH("Impact Area",'RAID Log'!$1:$1,0)),"")="","",IFERROR(INDEX('RAID Log'!$1:$1048576,$B103,MATCH("Impact Area",'RAID Log'!$1:$1,0)),"")))</f>
        <v/>
      </c>
      <c r="G103" s="85" t="str">
        <f>IF($B103="","",IF(IFERROR(INDEX('RAID Log'!$1:$1048576,$B103,MATCH("Impact Rating",'RAID Log'!$1:$1,0)),"")="","",IFERROR(INDEX('RAID Log'!$1:$1048576,$B103,MATCH("Impact Rating",'RAID Log'!$1:$1,0)),"")))</f>
        <v/>
      </c>
      <c r="H103" s="85" t="str">
        <f>IF($B103="","",IF(IFERROR(INDEX('RAID Log'!$1:$1048576,$B103,MATCH("Initial Probability",'RAID Log'!$1:$1,0)),"")="","",IFERROR(INDEX('RAID Log'!$1:$1048576,$B103,MATCH("Initial Probability",'RAID Log'!$1:$1,0)),"")))</f>
        <v/>
      </c>
      <c r="I103" s="86" t="str">
        <f t="shared" si="3"/>
        <v/>
      </c>
      <c r="J103" s="85" t="str">
        <f t="shared" si="4"/>
        <v/>
      </c>
      <c r="K103" s="86" t="str">
        <f t="shared" si="5"/>
        <v/>
      </c>
      <c r="L103" s="85" t="str">
        <f>IF($B103="","",IF(IFERROR(INDEX('RAID Log'!$1:$1048576,$B103,MATCH("Status",'RAID Log'!$1:$1,0)),"")="","",IFERROR(INDEX('RAID Log'!$1:$1048576,$B103,MATCH("Status",'RAID Log'!$1:$1,0)),"")))</f>
        <v/>
      </c>
      <c r="M103" s="85" t="str">
        <f>IF($B103="","",IF(IFERROR(INDEX('RAID Log'!$1:$1048576,$B103,MATCH("RAID Owner",'RAID Log'!$1:$1,0)),"")="","",IFERROR(INDEX('RAID Log'!$1:$1048576,$B103,MATCH("RAID Owner",'RAID Log'!$1:$1,0)),"")))</f>
        <v/>
      </c>
      <c r="N103" s="87" t="str">
        <f>IF($B103="","",IF(IFERROR(INDEX('RAID Log'!$1:$1048576,$B103,MATCH("Date Raised",'RAID Log'!$1:$1,0)),"")="","",IFERROR(INDEX('RAID Log'!$1:$1048576,$B103,MATCH("Date Raised",'RAID Log'!$1:$1,0)),"")))</f>
        <v/>
      </c>
      <c r="O103" s="87" t="str">
        <f>IF($B103="","",IF(IFERROR(INDEX('RAID Log'!$1:$1048576,$B103,MATCH("Closed Date",'RAID Log'!$1:$1,0)),"")="","",IFERROR(INDEX('RAID Log'!$1:$1048576,$B103,MATCH("Closed Date",'RAID Log'!$1:$1,0)),"")))</f>
        <v/>
      </c>
      <c r="P103" s="85" t="str">
        <f>IF($B103="","",IF(IFERROR(INDEX('RAID Log'!$1:$1048576,$B103,MATCH("Mitigation Strategy",'RAID Log'!$1:$1,0)),"")="","",IFERROR(INDEX('RAID Log'!$1:$1048576,$B103,MATCH("Mitigation Strategy",'RAID Log'!$1:$1,0)),"")))</f>
        <v/>
      </c>
      <c r="Q103" s="88" t="str">
        <f>IF($B103="","",IF(IFERROR(INDEX('RAID Log'!$1:$1048576,$B103,MATCH("RAID Response/Plan",'RAID Log'!$1:$1,0)),"")="","",IFERROR(INDEX('RAID Log'!$1:$1048576,$B103,MATCH("RAID Response/Plan",'RAID Log'!$1:$1,0)),"")))</f>
        <v/>
      </c>
    </row>
    <row r="104" spans="1:17" ht="14.25" customHeight="1">
      <c r="A104" s="82" t="str">
        <f>IF($B104="","",IF(IFERROR(INDEX('RAID Log'!$1:$1048576,$B104,MATCH("RAID ID",'RAID Log'!$1:$1,0)),"")="","",IFERROR(INDEX('RAID Log'!$1:$1048576,$B104,MATCH("RAID ID",'RAID Log'!$1:$1,0)),"")))</f>
        <v/>
      </c>
      <c r="B104" s="83" t="str">
        <f>IFERROR(MATCH(ROW()-1,'RAID Log'!$S:$S,0),"")</f>
        <v/>
      </c>
      <c r="C104" s="84" t="str">
        <f>IF($B104="","",IF(IFERROR(INDEX('RAID Log'!$1:$1048576,$B104,MATCH("Description",'RAID Log'!$1:$1,0)),"")="","",IFERROR(INDEX('RAID Log'!$1:$1048576,$B104,MATCH("Description",'RAID Log'!$1:$1,0)),"")))</f>
        <v/>
      </c>
      <c r="D104" s="84" t="str">
        <f>IF($B104="","",IF(IFERROR(INDEX('RAID Log'!$1:$1048576,$B104,MATCH("Impact/Effect of the RAID",'RAID Log'!$1:$1,0)),"")="","",IFERROR(INDEX('RAID Log'!$1:$1048576,$B104,MATCH("Impact/Effect of the RAID",'RAID Log'!$1:$1,0)),"")))</f>
        <v/>
      </c>
      <c r="E104" s="85" t="str">
        <f>IF($B104="","",IF(IFERROR(INDEX('RAID Log'!$1:$1048576,$B104,MATCH("Impact Area",'RAID Log'!$1:$1,0)),"")="","",IFERROR(INDEX('RAID Log'!$1:$1048576,$B104,MATCH("Impact Area",'RAID Log'!$1:$1,0)),"")))</f>
        <v/>
      </c>
      <c r="F104" s="85" t="str">
        <f>IF($B104="","",IF(IFERROR(INDEX('RAID Log'!$1:$1048576,$B104,MATCH("Impact Area",'RAID Log'!$1:$1,0)),"")="","",IFERROR(INDEX('RAID Log'!$1:$1048576,$B104,MATCH("Impact Area",'RAID Log'!$1:$1,0)),"")))</f>
        <v/>
      </c>
      <c r="G104" s="85" t="str">
        <f>IF($B104="","",IF(IFERROR(INDEX('RAID Log'!$1:$1048576,$B104,MATCH("Impact Rating",'RAID Log'!$1:$1,0)),"")="","",IFERROR(INDEX('RAID Log'!$1:$1048576,$B104,MATCH("Impact Rating",'RAID Log'!$1:$1,0)),"")))</f>
        <v/>
      </c>
      <c r="H104" s="85" t="str">
        <f>IF($B104="","",IF(IFERROR(INDEX('RAID Log'!$1:$1048576,$B104,MATCH("Initial Probability",'RAID Log'!$1:$1,0)),"")="","",IFERROR(INDEX('RAID Log'!$1:$1048576,$B104,MATCH("Initial Probability",'RAID Log'!$1:$1,0)),"")))</f>
        <v/>
      </c>
      <c r="I104" s="86" t="str">
        <f t="shared" si="3"/>
        <v/>
      </c>
      <c r="J104" s="85" t="str">
        <f t="shared" si="4"/>
        <v/>
      </c>
      <c r="K104" s="86" t="str">
        <f t="shared" si="5"/>
        <v/>
      </c>
      <c r="L104" s="85" t="str">
        <f>IF($B104="","",IF(IFERROR(INDEX('RAID Log'!$1:$1048576,$B104,MATCH("Status",'RAID Log'!$1:$1,0)),"")="","",IFERROR(INDEX('RAID Log'!$1:$1048576,$B104,MATCH("Status",'RAID Log'!$1:$1,0)),"")))</f>
        <v/>
      </c>
      <c r="M104" s="85" t="str">
        <f>IF($B104="","",IF(IFERROR(INDEX('RAID Log'!$1:$1048576,$B104,MATCH("RAID Owner",'RAID Log'!$1:$1,0)),"")="","",IFERROR(INDEX('RAID Log'!$1:$1048576,$B104,MATCH("RAID Owner",'RAID Log'!$1:$1,0)),"")))</f>
        <v/>
      </c>
      <c r="N104" s="87" t="str">
        <f>IF($B104="","",IF(IFERROR(INDEX('RAID Log'!$1:$1048576,$B104,MATCH("Date Raised",'RAID Log'!$1:$1,0)),"")="","",IFERROR(INDEX('RAID Log'!$1:$1048576,$B104,MATCH("Date Raised",'RAID Log'!$1:$1,0)),"")))</f>
        <v/>
      </c>
      <c r="O104" s="87" t="str">
        <f>IF($B104="","",IF(IFERROR(INDEX('RAID Log'!$1:$1048576,$B104,MATCH("Closed Date",'RAID Log'!$1:$1,0)),"")="","",IFERROR(INDEX('RAID Log'!$1:$1048576,$B104,MATCH("Closed Date",'RAID Log'!$1:$1,0)),"")))</f>
        <v/>
      </c>
      <c r="P104" s="85" t="str">
        <f>IF($B104="","",IF(IFERROR(INDEX('RAID Log'!$1:$1048576,$B104,MATCH("Mitigation Strategy",'RAID Log'!$1:$1,0)),"")="","",IFERROR(INDEX('RAID Log'!$1:$1048576,$B104,MATCH("Mitigation Strategy",'RAID Log'!$1:$1,0)),"")))</f>
        <v/>
      </c>
      <c r="Q104" s="88" t="str">
        <f>IF($B104="","",IF(IFERROR(INDEX('RAID Log'!$1:$1048576,$B104,MATCH("RAID Response/Plan",'RAID Log'!$1:$1,0)),"")="","",IFERROR(INDEX('RAID Log'!$1:$1048576,$B104,MATCH("RAID Response/Plan",'RAID Log'!$1:$1,0)),"")))</f>
        <v/>
      </c>
    </row>
    <row r="105" spans="1:17" ht="14.25" customHeight="1">
      <c r="A105" s="82" t="str">
        <f>IF($B105="","",IF(IFERROR(INDEX('RAID Log'!$1:$1048576,$B105,MATCH("RAID ID",'RAID Log'!$1:$1,0)),"")="","",IFERROR(INDEX('RAID Log'!$1:$1048576,$B105,MATCH("RAID ID",'RAID Log'!$1:$1,0)),"")))</f>
        <v/>
      </c>
      <c r="B105" s="83" t="str">
        <f>IFERROR(MATCH(ROW()-1,'RAID Log'!$S:$S,0),"")</f>
        <v/>
      </c>
      <c r="C105" s="84" t="str">
        <f>IF($B105="","",IF(IFERROR(INDEX('RAID Log'!$1:$1048576,$B105,MATCH("Description",'RAID Log'!$1:$1,0)),"")="","",IFERROR(INDEX('RAID Log'!$1:$1048576,$B105,MATCH("Description",'RAID Log'!$1:$1,0)),"")))</f>
        <v/>
      </c>
      <c r="D105" s="84" t="str">
        <f>IF($B105="","",IF(IFERROR(INDEX('RAID Log'!$1:$1048576,$B105,MATCH("Impact/Effect of the RAID",'RAID Log'!$1:$1,0)),"")="","",IFERROR(INDEX('RAID Log'!$1:$1048576,$B105,MATCH("Impact/Effect of the RAID",'RAID Log'!$1:$1,0)),"")))</f>
        <v/>
      </c>
      <c r="E105" s="85" t="str">
        <f>IF($B105="","",IF(IFERROR(INDEX('RAID Log'!$1:$1048576,$B105,MATCH("Impact Area",'RAID Log'!$1:$1,0)),"")="","",IFERROR(INDEX('RAID Log'!$1:$1048576,$B105,MATCH("Impact Area",'RAID Log'!$1:$1,0)),"")))</f>
        <v/>
      </c>
      <c r="F105" s="85" t="str">
        <f>IF($B105="","",IF(IFERROR(INDEX('RAID Log'!$1:$1048576,$B105,MATCH("Impact Area",'RAID Log'!$1:$1,0)),"")="","",IFERROR(INDEX('RAID Log'!$1:$1048576,$B105,MATCH("Impact Area",'RAID Log'!$1:$1,0)),"")))</f>
        <v/>
      </c>
      <c r="G105" s="85" t="str">
        <f>IF($B105="","",IF(IFERROR(INDEX('RAID Log'!$1:$1048576,$B105,MATCH("Impact Rating",'RAID Log'!$1:$1,0)),"")="","",IFERROR(INDEX('RAID Log'!$1:$1048576,$B105,MATCH("Impact Rating",'RAID Log'!$1:$1,0)),"")))</f>
        <v/>
      </c>
      <c r="H105" s="85" t="str">
        <f>IF($B105="","",IF(IFERROR(INDEX('RAID Log'!$1:$1048576,$B105,MATCH("Initial Probability",'RAID Log'!$1:$1,0)),"")="","",IFERROR(INDEX('RAID Log'!$1:$1048576,$B105,MATCH("Initial Probability",'RAID Log'!$1:$1,0)),"")))</f>
        <v/>
      </c>
      <c r="I105" s="86" t="str">
        <f t="shared" si="3"/>
        <v/>
      </c>
      <c r="J105" s="85" t="str">
        <f t="shared" si="4"/>
        <v/>
      </c>
      <c r="K105" s="86" t="str">
        <f t="shared" si="5"/>
        <v/>
      </c>
      <c r="L105" s="85" t="str">
        <f>IF($B105="","",IF(IFERROR(INDEX('RAID Log'!$1:$1048576,$B105,MATCH("Status",'RAID Log'!$1:$1,0)),"")="","",IFERROR(INDEX('RAID Log'!$1:$1048576,$B105,MATCH("Status",'RAID Log'!$1:$1,0)),"")))</f>
        <v/>
      </c>
      <c r="M105" s="85" t="str">
        <f>IF($B105="","",IF(IFERROR(INDEX('RAID Log'!$1:$1048576,$B105,MATCH("RAID Owner",'RAID Log'!$1:$1,0)),"")="","",IFERROR(INDEX('RAID Log'!$1:$1048576,$B105,MATCH("RAID Owner",'RAID Log'!$1:$1,0)),"")))</f>
        <v/>
      </c>
      <c r="N105" s="87" t="str">
        <f>IF($B105="","",IF(IFERROR(INDEX('RAID Log'!$1:$1048576,$B105,MATCH("Date Raised",'RAID Log'!$1:$1,0)),"")="","",IFERROR(INDEX('RAID Log'!$1:$1048576,$B105,MATCH("Date Raised",'RAID Log'!$1:$1,0)),"")))</f>
        <v/>
      </c>
      <c r="O105" s="87" t="str">
        <f>IF($B105="","",IF(IFERROR(INDEX('RAID Log'!$1:$1048576,$B105,MATCH("Closed Date",'RAID Log'!$1:$1,0)),"")="","",IFERROR(INDEX('RAID Log'!$1:$1048576,$B105,MATCH("Closed Date",'RAID Log'!$1:$1,0)),"")))</f>
        <v/>
      </c>
      <c r="P105" s="85" t="str">
        <f>IF($B105="","",IF(IFERROR(INDEX('RAID Log'!$1:$1048576,$B105,MATCH("Mitigation Strategy",'RAID Log'!$1:$1,0)),"")="","",IFERROR(INDEX('RAID Log'!$1:$1048576,$B105,MATCH("Mitigation Strategy",'RAID Log'!$1:$1,0)),"")))</f>
        <v/>
      </c>
      <c r="Q105" s="88" t="str">
        <f>IF($B105="","",IF(IFERROR(INDEX('RAID Log'!$1:$1048576,$B105,MATCH("RAID Response/Plan",'RAID Log'!$1:$1,0)),"")="","",IFERROR(INDEX('RAID Log'!$1:$1048576,$B105,MATCH("RAID Response/Plan",'RAID Log'!$1:$1,0)),"")))</f>
        <v/>
      </c>
    </row>
    <row r="106" spans="1:17" ht="14.25" customHeight="1">
      <c r="A106" s="82" t="str">
        <f>IF($B106="","",IF(IFERROR(INDEX('RAID Log'!$1:$1048576,$B106,MATCH("RAID ID",'RAID Log'!$1:$1,0)),"")="","",IFERROR(INDEX('RAID Log'!$1:$1048576,$B106,MATCH("RAID ID",'RAID Log'!$1:$1,0)),"")))</f>
        <v/>
      </c>
      <c r="B106" s="83" t="str">
        <f>IFERROR(MATCH(ROW()-1,'RAID Log'!$S:$S,0),"")</f>
        <v/>
      </c>
      <c r="C106" s="84" t="str">
        <f>IF($B106="","",IF(IFERROR(INDEX('RAID Log'!$1:$1048576,$B106,MATCH("Description",'RAID Log'!$1:$1,0)),"")="","",IFERROR(INDEX('RAID Log'!$1:$1048576,$B106,MATCH("Description",'RAID Log'!$1:$1,0)),"")))</f>
        <v/>
      </c>
      <c r="D106" s="84" t="str">
        <f>IF($B106="","",IF(IFERROR(INDEX('RAID Log'!$1:$1048576,$B106,MATCH("Impact/Effect of the RAID",'RAID Log'!$1:$1,0)),"")="","",IFERROR(INDEX('RAID Log'!$1:$1048576,$B106,MATCH("Impact/Effect of the RAID",'RAID Log'!$1:$1,0)),"")))</f>
        <v/>
      </c>
      <c r="E106" s="85" t="str">
        <f>IF($B106="","",IF(IFERROR(INDEX('RAID Log'!$1:$1048576,$B106,MATCH("Impact Area",'RAID Log'!$1:$1,0)),"")="","",IFERROR(INDEX('RAID Log'!$1:$1048576,$B106,MATCH("Impact Area",'RAID Log'!$1:$1,0)),"")))</f>
        <v/>
      </c>
      <c r="F106" s="85" t="str">
        <f>IF($B106="","",IF(IFERROR(INDEX('RAID Log'!$1:$1048576,$B106,MATCH("Impact Area",'RAID Log'!$1:$1,0)),"")="","",IFERROR(INDEX('RAID Log'!$1:$1048576,$B106,MATCH("Impact Area",'RAID Log'!$1:$1,0)),"")))</f>
        <v/>
      </c>
      <c r="G106" s="85" t="str">
        <f>IF($B106="","",IF(IFERROR(INDEX('RAID Log'!$1:$1048576,$B106,MATCH("Impact Rating",'RAID Log'!$1:$1,0)),"")="","",IFERROR(INDEX('RAID Log'!$1:$1048576,$B106,MATCH("Impact Rating",'RAID Log'!$1:$1,0)),"")))</f>
        <v/>
      </c>
      <c r="H106" s="85" t="str">
        <f>IF($B106="","",IF(IFERROR(INDEX('RAID Log'!$1:$1048576,$B106,MATCH("Initial Probability",'RAID Log'!$1:$1,0)),"")="","",IFERROR(INDEX('RAID Log'!$1:$1048576,$B106,MATCH("Initial Probability",'RAID Log'!$1:$1,0)),"")))</f>
        <v/>
      </c>
      <c r="I106" s="86" t="str">
        <f t="shared" si="3"/>
        <v/>
      </c>
      <c r="J106" s="85" t="str">
        <f t="shared" si="4"/>
        <v/>
      </c>
      <c r="K106" s="86" t="str">
        <f t="shared" si="5"/>
        <v/>
      </c>
      <c r="L106" s="85" t="str">
        <f>IF($B106="","",IF(IFERROR(INDEX('RAID Log'!$1:$1048576,$B106,MATCH("Status",'RAID Log'!$1:$1,0)),"")="","",IFERROR(INDEX('RAID Log'!$1:$1048576,$B106,MATCH("Status",'RAID Log'!$1:$1,0)),"")))</f>
        <v/>
      </c>
      <c r="M106" s="85" t="str">
        <f>IF($B106="","",IF(IFERROR(INDEX('RAID Log'!$1:$1048576,$B106,MATCH("RAID Owner",'RAID Log'!$1:$1,0)),"")="","",IFERROR(INDEX('RAID Log'!$1:$1048576,$B106,MATCH("RAID Owner",'RAID Log'!$1:$1,0)),"")))</f>
        <v/>
      </c>
      <c r="N106" s="87" t="str">
        <f>IF($B106="","",IF(IFERROR(INDEX('RAID Log'!$1:$1048576,$B106,MATCH("Date Raised",'RAID Log'!$1:$1,0)),"")="","",IFERROR(INDEX('RAID Log'!$1:$1048576,$B106,MATCH("Date Raised",'RAID Log'!$1:$1,0)),"")))</f>
        <v/>
      </c>
      <c r="O106" s="87" t="str">
        <f>IF($B106="","",IF(IFERROR(INDEX('RAID Log'!$1:$1048576,$B106,MATCH("Closed Date",'RAID Log'!$1:$1,0)),"")="","",IFERROR(INDEX('RAID Log'!$1:$1048576,$B106,MATCH("Closed Date",'RAID Log'!$1:$1,0)),"")))</f>
        <v/>
      </c>
      <c r="P106" s="85" t="str">
        <f>IF($B106="","",IF(IFERROR(INDEX('RAID Log'!$1:$1048576,$B106,MATCH("Mitigation Strategy",'RAID Log'!$1:$1,0)),"")="","",IFERROR(INDEX('RAID Log'!$1:$1048576,$B106,MATCH("Mitigation Strategy",'RAID Log'!$1:$1,0)),"")))</f>
        <v/>
      </c>
      <c r="Q106" s="88" t="str">
        <f>IF($B106="","",IF(IFERROR(INDEX('RAID Log'!$1:$1048576,$B106,MATCH("RAID Response/Plan",'RAID Log'!$1:$1,0)),"")="","",IFERROR(INDEX('RAID Log'!$1:$1048576,$B106,MATCH("RAID Response/Plan",'RAID Log'!$1:$1,0)),"")))</f>
        <v/>
      </c>
    </row>
    <row r="107" spans="1:17" ht="14.25" customHeight="1">
      <c r="A107" s="82" t="str">
        <f>IF($B107="","",IF(IFERROR(INDEX('RAID Log'!$1:$1048576,$B107,MATCH("RAID ID",'RAID Log'!$1:$1,0)),"")="","",IFERROR(INDEX('RAID Log'!$1:$1048576,$B107,MATCH("RAID ID",'RAID Log'!$1:$1,0)),"")))</f>
        <v/>
      </c>
      <c r="B107" s="83" t="str">
        <f>IFERROR(MATCH(ROW()-1,'RAID Log'!$S:$S,0),"")</f>
        <v/>
      </c>
      <c r="C107" s="84" t="str">
        <f>IF($B107="","",IF(IFERROR(INDEX('RAID Log'!$1:$1048576,$B107,MATCH("Description",'RAID Log'!$1:$1,0)),"")="","",IFERROR(INDEX('RAID Log'!$1:$1048576,$B107,MATCH("Description",'RAID Log'!$1:$1,0)),"")))</f>
        <v/>
      </c>
      <c r="D107" s="84" t="str">
        <f>IF($B107="","",IF(IFERROR(INDEX('RAID Log'!$1:$1048576,$B107,MATCH("Impact/Effect of the RAID",'RAID Log'!$1:$1,0)),"")="","",IFERROR(INDEX('RAID Log'!$1:$1048576,$B107,MATCH("Impact/Effect of the RAID",'RAID Log'!$1:$1,0)),"")))</f>
        <v/>
      </c>
      <c r="E107" s="85" t="str">
        <f>IF($B107="","",IF(IFERROR(INDEX('RAID Log'!$1:$1048576,$B107,MATCH("Impact Area",'RAID Log'!$1:$1,0)),"")="","",IFERROR(INDEX('RAID Log'!$1:$1048576,$B107,MATCH("Impact Area",'RAID Log'!$1:$1,0)),"")))</f>
        <v/>
      </c>
      <c r="F107" s="85" t="str">
        <f>IF($B107="","",IF(IFERROR(INDEX('RAID Log'!$1:$1048576,$B107,MATCH("Impact Area",'RAID Log'!$1:$1,0)),"")="","",IFERROR(INDEX('RAID Log'!$1:$1048576,$B107,MATCH("Impact Area",'RAID Log'!$1:$1,0)),"")))</f>
        <v/>
      </c>
      <c r="G107" s="85" t="str">
        <f>IF($B107="","",IF(IFERROR(INDEX('RAID Log'!$1:$1048576,$B107,MATCH("Impact Rating",'RAID Log'!$1:$1,0)),"")="","",IFERROR(INDEX('RAID Log'!$1:$1048576,$B107,MATCH("Impact Rating",'RAID Log'!$1:$1,0)),"")))</f>
        <v/>
      </c>
      <c r="H107" s="85" t="str">
        <f>IF($B107="","",IF(IFERROR(INDEX('RAID Log'!$1:$1048576,$B107,MATCH("Initial Probability",'RAID Log'!$1:$1,0)),"")="","",IFERROR(INDEX('RAID Log'!$1:$1048576,$B107,MATCH("Initial Probability",'RAID Log'!$1:$1,0)),"")))</f>
        <v/>
      </c>
      <c r="I107" s="86" t="str">
        <f t="shared" si="3"/>
        <v/>
      </c>
      <c r="J107" s="85" t="str">
        <f t="shared" si="4"/>
        <v/>
      </c>
      <c r="K107" s="86" t="str">
        <f t="shared" si="5"/>
        <v/>
      </c>
      <c r="L107" s="85" t="str">
        <f>IF($B107="","",IF(IFERROR(INDEX('RAID Log'!$1:$1048576,$B107,MATCH("Status",'RAID Log'!$1:$1,0)),"")="","",IFERROR(INDEX('RAID Log'!$1:$1048576,$B107,MATCH("Status",'RAID Log'!$1:$1,0)),"")))</f>
        <v/>
      </c>
      <c r="M107" s="85" t="str">
        <f>IF($B107="","",IF(IFERROR(INDEX('RAID Log'!$1:$1048576,$B107,MATCH("RAID Owner",'RAID Log'!$1:$1,0)),"")="","",IFERROR(INDEX('RAID Log'!$1:$1048576,$B107,MATCH("RAID Owner",'RAID Log'!$1:$1,0)),"")))</f>
        <v/>
      </c>
      <c r="N107" s="87" t="str">
        <f>IF($B107="","",IF(IFERROR(INDEX('RAID Log'!$1:$1048576,$B107,MATCH("Date Raised",'RAID Log'!$1:$1,0)),"")="","",IFERROR(INDEX('RAID Log'!$1:$1048576,$B107,MATCH("Date Raised",'RAID Log'!$1:$1,0)),"")))</f>
        <v/>
      </c>
      <c r="O107" s="87" t="str">
        <f>IF($B107="","",IF(IFERROR(INDEX('RAID Log'!$1:$1048576,$B107,MATCH("Closed Date",'RAID Log'!$1:$1,0)),"")="","",IFERROR(INDEX('RAID Log'!$1:$1048576,$B107,MATCH("Closed Date",'RAID Log'!$1:$1,0)),"")))</f>
        <v/>
      </c>
      <c r="P107" s="85" t="str">
        <f>IF($B107="","",IF(IFERROR(INDEX('RAID Log'!$1:$1048576,$B107,MATCH("Mitigation Strategy",'RAID Log'!$1:$1,0)),"")="","",IFERROR(INDEX('RAID Log'!$1:$1048576,$B107,MATCH("Mitigation Strategy",'RAID Log'!$1:$1,0)),"")))</f>
        <v/>
      </c>
      <c r="Q107" s="88" t="str">
        <f>IF($B107="","",IF(IFERROR(INDEX('RAID Log'!$1:$1048576,$B107,MATCH("RAID Response/Plan",'RAID Log'!$1:$1,0)),"")="","",IFERROR(INDEX('RAID Log'!$1:$1048576,$B107,MATCH("RAID Response/Plan",'RAID Log'!$1:$1,0)),"")))</f>
        <v/>
      </c>
    </row>
    <row r="108" spans="1:17" ht="14.25" customHeight="1">
      <c r="A108" s="82" t="str">
        <f>IF($B108="","",IF(IFERROR(INDEX('RAID Log'!$1:$1048576,$B108,MATCH("RAID ID",'RAID Log'!$1:$1,0)),"")="","",IFERROR(INDEX('RAID Log'!$1:$1048576,$B108,MATCH("RAID ID",'RAID Log'!$1:$1,0)),"")))</f>
        <v/>
      </c>
      <c r="B108" s="83" t="str">
        <f>IFERROR(MATCH(ROW()-1,'RAID Log'!$S:$S,0),"")</f>
        <v/>
      </c>
      <c r="C108" s="84" t="str">
        <f>IF($B108="","",IF(IFERROR(INDEX('RAID Log'!$1:$1048576,$B108,MATCH("Description",'RAID Log'!$1:$1,0)),"")="","",IFERROR(INDEX('RAID Log'!$1:$1048576,$B108,MATCH("Description",'RAID Log'!$1:$1,0)),"")))</f>
        <v/>
      </c>
      <c r="D108" s="84" t="str">
        <f>IF($B108="","",IF(IFERROR(INDEX('RAID Log'!$1:$1048576,$B108,MATCH("Impact/Effect of the RAID",'RAID Log'!$1:$1,0)),"")="","",IFERROR(INDEX('RAID Log'!$1:$1048576,$B108,MATCH("Impact/Effect of the RAID",'RAID Log'!$1:$1,0)),"")))</f>
        <v/>
      </c>
      <c r="E108" s="85" t="str">
        <f>IF($B108="","",IF(IFERROR(INDEX('RAID Log'!$1:$1048576,$B108,MATCH("Impact Area",'RAID Log'!$1:$1,0)),"")="","",IFERROR(INDEX('RAID Log'!$1:$1048576,$B108,MATCH("Impact Area",'RAID Log'!$1:$1,0)),"")))</f>
        <v/>
      </c>
      <c r="F108" s="85" t="str">
        <f>IF($B108="","",IF(IFERROR(INDEX('RAID Log'!$1:$1048576,$B108,MATCH("Impact Area",'RAID Log'!$1:$1,0)),"")="","",IFERROR(INDEX('RAID Log'!$1:$1048576,$B108,MATCH("Impact Area",'RAID Log'!$1:$1,0)),"")))</f>
        <v/>
      </c>
      <c r="G108" s="85" t="str">
        <f>IF($B108="","",IF(IFERROR(INDEX('RAID Log'!$1:$1048576,$B108,MATCH("Impact Rating",'RAID Log'!$1:$1,0)),"")="","",IFERROR(INDEX('RAID Log'!$1:$1048576,$B108,MATCH("Impact Rating",'RAID Log'!$1:$1,0)),"")))</f>
        <v/>
      </c>
      <c r="H108" s="85" t="str">
        <f>IF($B108="","",IF(IFERROR(INDEX('RAID Log'!$1:$1048576,$B108,MATCH("Initial Probability",'RAID Log'!$1:$1,0)),"")="","",IFERROR(INDEX('RAID Log'!$1:$1048576,$B108,MATCH("Initial Probability",'RAID Log'!$1:$1,0)),"")))</f>
        <v/>
      </c>
      <c r="I108" s="86" t="str">
        <f t="shared" si="3"/>
        <v/>
      </c>
      <c r="J108" s="85" t="str">
        <f t="shared" si="4"/>
        <v/>
      </c>
      <c r="K108" s="86" t="str">
        <f t="shared" si="5"/>
        <v/>
      </c>
      <c r="L108" s="85" t="str">
        <f>IF($B108="","",IF(IFERROR(INDEX('RAID Log'!$1:$1048576,$B108,MATCH("Status",'RAID Log'!$1:$1,0)),"")="","",IFERROR(INDEX('RAID Log'!$1:$1048576,$B108,MATCH("Status",'RAID Log'!$1:$1,0)),"")))</f>
        <v/>
      </c>
      <c r="M108" s="85" t="str">
        <f>IF($B108="","",IF(IFERROR(INDEX('RAID Log'!$1:$1048576,$B108,MATCH("RAID Owner",'RAID Log'!$1:$1,0)),"")="","",IFERROR(INDEX('RAID Log'!$1:$1048576,$B108,MATCH("RAID Owner",'RAID Log'!$1:$1,0)),"")))</f>
        <v/>
      </c>
      <c r="N108" s="87" t="str">
        <f>IF($B108="","",IF(IFERROR(INDEX('RAID Log'!$1:$1048576,$B108,MATCH("Date Raised",'RAID Log'!$1:$1,0)),"")="","",IFERROR(INDEX('RAID Log'!$1:$1048576,$B108,MATCH("Date Raised",'RAID Log'!$1:$1,0)),"")))</f>
        <v/>
      </c>
      <c r="O108" s="87" t="str">
        <f>IF($B108="","",IF(IFERROR(INDEX('RAID Log'!$1:$1048576,$B108,MATCH("Closed Date",'RAID Log'!$1:$1,0)),"")="","",IFERROR(INDEX('RAID Log'!$1:$1048576,$B108,MATCH("Closed Date",'RAID Log'!$1:$1,0)),"")))</f>
        <v/>
      </c>
      <c r="P108" s="85" t="str">
        <f>IF($B108="","",IF(IFERROR(INDEX('RAID Log'!$1:$1048576,$B108,MATCH("Mitigation Strategy",'RAID Log'!$1:$1,0)),"")="","",IFERROR(INDEX('RAID Log'!$1:$1048576,$B108,MATCH("Mitigation Strategy",'RAID Log'!$1:$1,0)),"")))</f>
        <v/>
      </c>
      <c r="Q108" s="88" t="str">
        <f>IF($B108="","",IF(IFERROR(INDEX('RAID Log'!$1:$1048576,$B108,MATCH("RAID Response/Plan",'RAID Log'!$1:$1,0)),"")="","",IFERROR(INDEX('RAID Log'!$1:$1048576,$B108,MATCH("RAID Response/Plan",'RAID Log'!$1:$1,0)),"")))</f>
        <v/>
      </c>
    </row>
    <row r="109" spans="1:17" ht="14.25" customHeight="1">
      <c r="A109" s="82" t="str">
        <f>IF($B109="","",IF(IFERROR(INDEX('RAID Log'!$1:$1048576,$B109,MATCH("RAID ID",'RAID Log'!$1:$1,0)),"")="","",IFERROR(INDEX('RAID Log'!$1:$1048576,$B109,MATCH("RAID ID",'RAID Log'!$1:$1,0)),"")))</f>
        <v/>
      </c>
      <c r="B109" s="83" t="str">
        <f>IFERROR(MATCH(ROW()-1,'RAID Log'!$S:$S,0),"")</f>
        <v/>
      </c>
      <c r="C109" s="84" t="str">
        <f>IF($B109="","",IF(IFERROR(INDEX('RAID Log'!$1:$1048576,$B109,MATCH("Description",'RAID Log'!$1:$1,0)),"")="","",IFERROR(INDEX('RAID Log'!$1:$1048576,$B109,MATCH("Description",'RAID Log'!$1:$1,0)),"")))</f>
        <v/>
      </c>
      <c r="D109" s="84" t="str">
        <f>IF($B109="","",IF(IFERROR(INDEX('RAID Log'!$1:$1048576,$B109,MATCH("Impact/Effect of the RAID",'RAID Log'!$1:$1,0)),"")="","",IFERROR(INDEX('RAID Log'!$1:$1048576,$B109,MATCH("Impact/Effect of the RAID",'RAID Log'!$1:$1,0)),"")))</f>
        <v/>
      </c>
      <c r="E109" s="85" t="str">
        <f>IF($B109="","",IF(IFERROR(INDEX('RAID Log'!$1:$1048576,$B109,MATCH("Impact Area",'RAID Log'!$1:$1,0)),"")="","",IFERROR(INDEX('RAID Log'!$1:$1048576,$B109,MATCH("Impact Area",'RAID Log'!$1:$1,0)),"")))</f>
        <v/>
      </c>
      <c r="F109" s="85" t="str">
        <f>IF($B109="","",IF(IFERROR(INDEX('RAID Log'!$1:$1048576,$B109,MATCH("Impact Area",'RAID Log'!$1:$1,0)),"")="","",IFERROR(INDEX('RAID Log'!$1:$1048576,$B109,MATCH("Impact Area",'RAID Log'!$1:$1,0)),"")))</f>
        <v/>
      </c>
      <c r="G109" s="85" t="str">
        <f>IF($B109="","",IF(IFERROR(INDEX('RAID Log'!$1:$1048576,$B109,MATCH("Impact Rating",'RAID Log'!$1:$1,0)),"")="","",IFERROR(INDEX('RAID Log'!$1:$1048576,$B109,MATCH("Impact Rating",'RAID Log'!$1:$1,0)),"")))</f>
        <v/>
      </c>
      <c r="H109" s="85" t="str">
        <f>IF($B109="","",IF(IFERROR(INDEX('RAID Log'!$1:$1048576,$B109,MATCH("Initial Probability",'RAID Log'!$1:$1,0)),"")="","",IFERROR(INDEX('RAID Log'!$1:$1048576,$B109,MATCH("Initial Probability",'RAID Log'!$1:$1,0)),"")))</f>
        <v/>
      </c>
      <c r="I109" s="86" t="str">
        <f t="shared" si="3"/>
        <v/>
      </c>
      <c r="J109" s="85" t="str">
        <f t="shared" si="4"/>
        <v/>
      </c>
      <c r="K109" s="86" t="str">
        <f t="shared" si="5"/>
        <v/>
      </c>
      <c r="L109" s="85" t="str">
        <f>IF($B109="","",IF(IFERROR(INDEX('RAID Log'!$1:$1048576,$B109,MATCH("Status",'RAID Log'!$1:$1,0)),"")="","",IFERROR(INDEX('RAID Log'!$1:$1048576,$B109,MATCH("Status",'RAID Log'!$1:$1,0)),"")))</f>
        <v/>
      </c>
      <c r="M109" s="85" t="str">
        <f>IF($B109="","",IF(IFERROR(INDEX('RAID Log'!$1:$1048576,$B109,MATCH("RAID Owner",'RAID Log'!$1:$1,0)),"")="","",IFERROR(INDEX('RAID Log'!$1:$1048576,$B109,MATCH("RAID Owner",'RAID Log'!$1:$1,0)),"")))</f>
        <v/>
      </c>
      <c r="N109" s="87" t="str">
        <f>IF($B109="","",IF(IFERROR(INDEX('RAID Log'!$1:$1048576,$B109,MATCH("Date Raised",'RAID Log'!$1:$1,0)),"")="","",IFERROR(INDEX('RAID Log'!$1:$1048576,$B109,MATCH("Date Raised",'RAID Log'!$1:$1,0)),"")))</f>
        <v/>
      </c>
      <c r="O109" s="87" t="str">
        <f>IF($B109="","",IF(IFERROR(INDEX('RAID Log'!$1:$1048576,$B109,MATCH("Closed Date",'RAID Log'!$1:$1,0)),"")="","",IFERROR(INDEX('RAID Log'!$1:$1048576,$B109,MATCH("Closed Date",'RAID Log'!$1:$1,0)),"")))</f>
        <v/>
      </c>
      <c r="P109" s="85" t="str">
        <f>IF($B109="","",IF(IFERROR(INDEX('RAID Log'!$1:$1048576,$B109,MATCH("Mitigation Strategy",'RAID Log'!$1:$1,0)),"")="","",IFERROR(INDEX('RAID Log'!$1:$1048576,$B109,MATCH("Mitigation Strategy",'RAID Log'!$1:$1,0)),"")))</f>
        <v/>
      </c>
      <c r="Q109" s="88" t="str">
        <f>IF($B109="","",IF(IFERROR(INDEX('RAID Log'!$1:$1048576,$B109,MATCH("RAID Response/Plan",'RAID Log'!$1:$1,0)),"")="","",IFERROR(INDEX('RAID Log'!$1:$1048576,$B109,MATCH("RAID Response/Plan",'RAID Log'!$1:$1,0)),"")))</f>
        <v/>
      </c>
    </row>
    <row r="110" spans="1:17" ht="14.25" customHeight="1">
      <c r="A110" s="82" t="str">
        <f>IF($B110="","",IF(IFERROR(INDEX('RAID Log'!$1:$1048576,$B110,MATCH("RAID ID",'RAID Log'!$1:$1,0)),"")="","",IFERROR(INDEX('RAID Log'!$1:$1048576,$B110,MATCH("RAID ID",'RAID Log'!$1:$1,0)),"")))</f>
        <v/>
      </c>
      <c r="B110" s="83" t="str">
        <f>IFERROR(MATCH(ROW()-1,'RAID Log'!$S:$S,0),"")</f>
        <v/>
      </c>
      <c r="C110" s="84" t="str">
        <f>IF($B110="","",IF(IFERROR(INDEX('RAID Log'!$1:$1048576,$B110,MATCH("Description",'RAID Log'!$1:$1,0)),"")="","",IFERROR(INDEX('RAID Log'!$1:$1048576,$B110,MATCH("Description",'RAID Log'!$1:$1,0)),"")))</f>
        <v/>
      </c>
      <c r="D110" s="84" t="str">
        <f>IF($B110="","",IF(IFERROR(INDEX('RAID Log'!$1:$1048576,$B110,MATCH("Impact/Effect of the RAID",'RAID Log'!$1:$1,0)),"")="","",IFERROR(INDEX('RAID Log'!$1:$1048576,$B110,MATCH("Impact/Effect of the RAID",'RAID Log'!$1:$1,0)),"")))</f>
        <v/>
      </c>
      <c r="E110" s="85" t="str">
        <f>IF($B110="","",IF(IFERROR(INDEX('RAID Log'!$1:$1048576,$B110,MATCH("Impact Area",'RAID Log'!$1:$1,0)),"")="","",IFERROR(INDEX('RAID Log'!$1:$1048576,$B110,MATCH("Impact Area",'RAID Log'!$1:$1,0)),"")))</f>
        <v/>
      </c>
      <c r="F110" s="85" t="str">
        <f>IF($B110="","",IF(IFERROR(INDEX('RAID Log'!$1:$1048576,$B110,MATCH("Impact Area",'RAID Log'!$1:$1,0)),"")="","",IFERROR(INDEX('RAID Log'!$1:$1048576,$B110,MATCH("Impact Area",'RAID Log'!$1:$1,0)),"")))</f>
        <v/>
      </c>
      <c r="G110" s="85" t="str">
        <f>IF($B110="","",IF(IFERROR(INDEX('RAID Log'!$1:$1048576,$B110,MATCH("Impact Rating",'RAID Log'!$1:$1,0)),"")="","",IFERROR(INDEX('RAID Log'!$1:$1048576,$B110,MATCH("Impact Rating",'RAID Log'!$1:$1,0)),"")))</f>
        <v/>
      </c>
      <c r="H110" s="85" t="str">
        <f>IF($B110="","",IF(IFERROR(INDEX('RAID Log'!$1:$1048576,$B110,MATCH("Initial Probability",'RAID Log'!$1:$1,0)),"")="","",IFERROR(INDEX('RAID Log'!$1:$1048576,$B110,MATCH("Initial Probability",'RAID Log'!$1:$1,0)),"")))</f>
        <v/>
      </c>
      <c r="I110" s="86" t="str">
        <f t="shared" si="3"/>
        <v/>
      </c>
      <c r="J110" s="85" t="str">
        <f t="shared" si="4"/>
        <v/>
      </c>
      <c r="K110" s="86" t="str">
        <f t="shared" si="5"/>
        <v/>
      </c>
      <c r="L110" s="85" t="str">
        <f>IF($B110="","",IF(IFERROR(INDEX('RAID Log'!$1:$1048576,$B110,MATCH("Status",'RAID Log'!$1:$1,0)),"")="","",IFERROR(INDEX('RAID Log'!$1:$1048576,$B110,MATCH("Status",'RAID Log'!$1:$1,0)),"")))</f>
        <v/>
      </c>
      <c r="M110" s="85" t="str">
        <f>IF($B110="","",IF(IFERROR(INDEX('RAID Log'!$1:$1048576,$B110,MATCH("RAID Owner",'RAID Log'!$1:$1,0)),"")="","",IFERROR(INDEX('RAID Log'!$1:$1048576,$B110,MATCH("RAID Owner",'RAID Log'!$1:$1,0)),"")))</f>
        <v/>
      </c>
      <c r="N110" s="87" t="str">
        <f>IF($B110="","",IF(IFERROR(INDEX('RAID Log'!$1:$1048576,$B110,MATCH("Date Raised",'RAID Log'!$1:$1,0)),"")="","",IFERROR(INDEX('RAID Log'!$1:$1048576,$B110,MATCH("Date Raised",'RAID Log'!$1:$1,0)),"")))</f>
        <v/>
      </c>
      <c r="O110" s="87" t="str">
        <f>IF($B110="","",IF(IFERROR(INDEX('RAID Log'!$1:$1048576,$B110,MATCH("Closed Date",'RAID Log'!$1:$1,0)),"")="","",IFERROR(INDEX('RAID Log'!$1:$1048576,$B110,MATCH("Closed Date",'RAID Log'!$1:$1,0)),"")))</f>
        <v/>
      </c>
      <c r="P110" s="85" t="str">
        <f>IF($B110="","",IF(IFERROR(INDEX('RAID Log'!$1:$1048576,$B110,MATCH("Mitigation Strategy",'RAID Log'!$1:$1,0)),"")="","",IFERROR(INDEX('RAID Log'!$1:$1048576,$B110,MATCH("Mitigation Strategy",'RAID Log'!$1:$1,0)),"")))</f>
        <v/>
      </c>
      <c r="Q110" s="88" t="str">
        <f>IF($B110="","",IF(IFERROR(INDEX('RAID Log'!$1:$1048576,$B110,MATCH("RAID Response/Plan",'RAID Log'!$1:$1,0)),"")="","",IFERROR(INDEX('RAID Log'!$1:$1048576,$B110,MATCH("RAID Response/Plan",'RAID Log'!$1:$1,0)),"")))</f>
        <v/>
      </c>
    </row>
    <row r="111" spans="1:17" ht="14.25" customHeight="1">
      <c r="A111" s="82" t="str">
        <f>IF($B111="","",IF(IFERROR(INDEX('RAID Log'!$1:$1048576,$B111,MATCH("RAID ID",'RAID Log'!$1:$1,0)),"")="","",IFERROR(INDEX('RAID Log'!$1:$1048576,$B111,MATCH("RAID ID",'RAID Log'!$1:$1,0)),"")))</f>
        <v/>
      </c>
      <c r="B111" s="83" t="str">
        <f>IFERROR(MATCH(ROW()-1,'RAID Log'!$S:$S,0),"")</f>
        <v/>
      </c>
      <c r="C111" s="84" t="str">
        <f>IF($B111="","",IF(IFERROR(INDEX('RAID Log'!$1:$1048576,$B111,MATCH("Description",'RAID Log'!$1:$1,0)),"")="","",IFERROR(INDEX('RAID Log'!$1:$1048576,$B111,MATCH("Description",'RAID Log'!$1:$1,0)),"")))</f>
        <v/>
      </c>
      <c r="D111" s="84" t="str">
        <f>IF($B111="","",IF(IFERROR(INDEX('RAID Log'!$1:$1048576,$B111,MATCH("Impact/Effect of the RAID",'RAID Log'!$1:$1,0)),"")="","",IFERROR(INDEX('RAID Log'!$1:$1048576,$B111,MATCH("Impact/Effect of the RAID",'RAID Log'!$1:$1,0)),"")))</f>
        <v/>
      </c>
      <c r="E111" s="85" t="str">
        <f>IF($B111="","",IF(IFERROR(INDEX('RAID Log'!$1:$1048576,$B111,MATCH("Impact Area",'RAID Log'!$1:$1,0)),"")="","",IFERROR(INDEX('RAID Log'!$1:$1048576,$B111,MATCH("Impact Area",'RAID Log'!$1:$1,0)),"")))</f>
        <v/>
      </c>
      <c r="F111" s="85" t="str">
        <f>IF($B111="","",IF(IFERROR(INDEX('RAID Log'!$1:$1048576,$B111,MATCH("Impact Area",'RAID Log'!$1:$1,0)),"")="","",IFERROR(INDEX('RAID Log'!$1:$1048576,$B111,MATCH("Impact Area",'RAID Log'!$1:$1,0)),"")))</f>
        <v/>
      </c>
      <c r="G111" s="85" t="str">
        <f>IF($B111="","",IF(IFERROR(INDEX('RAID Log'!$1:$1048576,$B111,MATCH("Impact Rating",'RAID Log'!$1:$1,0)),"")="","",IFERROR(INDEX('RAID Log'!$1:$1048576,$B111,MATCH("Impact Rating",'RAID Log'!$1:$1,0)),"")))</f>
        <v/>
      </c>
      <c r="H111" s="85" t="str">
        <f>IF($B111="","",IF(IFERROR(INDEX('RAID Log'!$1:$1048576,$B111,MATCH("Initial Probability",'RAID Log'!$1:$1,0)),"")="","",IFERROR(INDEX('RAID Log'!$1:$1048576,$B111,MATCH("Initial Probability",'RAID Log'!$1:$1,0)),"")))</f>
        <v/>
      </c>
      <c r="I111" s="86" t="str">
        <f t="shared" si="3"/>
        <v/>
      </c>
      <c r="J111" s="85" t="str">
        <f t="shared" si="4"/>
        <v/>
      </c>
      <c r="K111" s="86" t="str">
        <f t="shared" si="5"/>
        <v/>
      </c>
      <c r="L111" s="85" t="str">
        <f>IF($B111="","",IF(IFERROR(INDEX('RAID Log'!$1:$1048576,$B111,MATCH("Status",'RAID Log'!$1:$1,0)),"")="","",IFERROR(INDEX('RAID Log'!$1:$1048576,$B111,MATCH("Status",'RAID Log'!$1:$1,0)),"")))</f>
        <v/>
      </c>
      <c r="M111" s="85" t="str">
        <f>IF($B111="","",IF(IFERROR(INDEX('RAID Log'!$1:$1048576,$B111,MATCH("RAID Owner",'RAID Log'!$1:$1,0)),"")="","",IFERROR(INDEX('RAID Log'!$1:$1048576,$B111,MATCH("RAID Owner",'RAID Log'!$1:$1,0)),"")))</f>
        <v/>
      </c>
      <c r="N111" s="87" t="str">
        <f>IF($B111="","",IF(IFERROR(INDEX('RAID Log'!$1:$1048576,$B111,MATCH("Date Raised",'RAID Log'!$1:$1,0)),"")="","",IFERROR(INDEX('RAID Log'!$1:$1048576,$B111,MATCH("Date Raised",'RAID Log'!$1:$1,0)),"")))</f>
        <v/>
      </c>
      <c r="O111" s="87" t="str">
        <f>IF($B111="","",IF(IFERROR(INDEX('RAID Log'!$1:$1048576,$B111,MATCH("Closed Date",'RAID Log'!$1:$1,0)),"")="","",IFERROR(INDEX('RAID Log'!$1:$1048576,$B111,MATCH("Closed Date",'RAID Log'!$1:$1,0)),"")))</f>
        <v/>
      </c>
      <c r="P111" s="85" t="str">
        <f>IF($B111="","",IF(IFERROR(INDEX('RAID Log'!$1:$1048576,$B111,MATCH("Mitigation Strategy",'RAID Log'!$1:$1,0)),"")="","",IFERROR(INDEX('RAID Log'!$1:$1048576,$B111,MATCH("Mitigation Strategy",'RAID Log'!$1:$1,0)),"")))</f>
        <v/>
      </c>
      <c r="Q111" s="88" t="str">
        <f>IF($B111="","",IF(IFERROR(INDEX('RAID Log'!$1:$1048576,$B111,MATCH("RAID Response/Plan",'RAID Log'!$1:$1,0)),"")="","",IFERROR(INDEX('RAID Log'!$1:$1048576,$B111,MATCH("RAID Response/Plan",'RAID Log'!$1:$1,0)),"")))</f>
        <v/>
      </c>
    </row>
    <row r="112" spans="1:17" ht="14.25" customHeight="1">
      <c r="A112" s="82" t="str">
        <f>IF($B112="","",IF(IFERROR(INDEX('RAID Log'!$1:$1048576,$B112,MATCH("RAID ID",'RAID Log'!$1:$1,0)),"")="","",IFERROR(INDEX('RAID Log'!$1:$1048576,$B112,MATCH("RAID ID",'RAID Log'!$1:$1,0)),"")))</f>
        <v/>
      </c>
      <c r="B112" s="83" t="str">
        <f>IFERROR(MATCH(ROW()-1,'RAID Log'!$S:$S,0),"")</f>
        <v/>
      </c>
      <c r="C112" s="84" t="str">
        <f>IF($B112="","",IF(IFERROR(INDEX('RAID Log'!$1:$1048576,$B112,MATCH("Description",'RAID Log'!$1:$1,0)),"")="","",IFERROR(INDEX('RAID Log'!$1:$1048576,$B112,MATCH("Description",'RAID Log'!$1:$1,0)),"")))</f>
        <v/>
      </c>
      <c r="D112" s="84" t="str">
        <f>IF($B112="","",IF(IFERROR(INDEX('RAID Log'!$1:$1048576,$B112,MATCH("Impact/Effect of the RAID",'RAID Log'!$1:$1,0)),"")="","",IFERROR(INDEX('RAID Log'!$1:$1048576,$B112,MATCH("Impact/Effect of the RAID",'RAID Log'!$1:$1,0)),"")))</f>
        <v/>
      </c>
      <c r="E112" s="85" t="str">
        <f>IF($B112="","",IF(IFERROR(INDEX('RAID Log'!$1:$1048576,$B112,MATCH("Impact Area",'RAID Log'!$1:$1,0)),"")="","",IFERROR(INDEX('RAID Log'!$1:$1048576,$B112,MATCH("Impact Area",'RAID Log'!$1:$1,0)),"")))</f>
        <v/>
      </c>
      <c r="F112" s="85" t="str">
        <f>IF($B112="","",IF(IFERROR(INDEX('RAID Log'!$1:$1048576,$B112,MATCH("Impact Area",'RAID Log'!$1:$1,0)),"")="","",IFERROR(INDEX('RAID Log'!$1:$1048576,$B112,MATCH("Impact Area",'RAID Log'!$1:$1,0)),"")))</f>
        <v/>
      </c>
      <c r="G112" s="85" t="str">
        <f>IF($B112="","",IF(IFERROR(INDEX('RAID Log'!$1:$1048576,$B112,MATCH("Impact Rating",'RAID Log'!$1:$1,0)),"")="","",IFERROR(INDEX('RAID Log'!$1:$1048576,$B112,MATCH("Impact Rating",'RAID Log'!$1:$1,0)),"")))</f>
        <v/>
      </c>
      <c r="H112" s="85" t="str">
        <f>IF($B112="","",IF(IFERROR(INDEX('RAID Log'!$1:$1048576,$B112,MATCH("Initial Probability",'RAID Log'!$1:$1,0)),"")="","",IFERROR(INDEX('RAID Log'!$1:$1048576,$B112,MATCH("Initial Probability",'RAID Log'!$1:$1,0)),"")))</f>
        <v/>
      </c>
      <c r="I112" s="86" t="str">
        <f t="shared" si="3"/>
        <v/>
      </c>
      <c r="J112" s="85" t="str">
        <f t="shared" si="4"/>
        <v/>
      </c>
      <c r="K112" s="86" t="str">
        <f t="shared" si="5"/>
        <v/>
      </c>
      <c r="L112" s="85" t="str">
        <f>IF($B112="","",IF(IFERROR(INDEX('RAID Log'!$1:$1048576,$B112,MATCH("Status",'RAID Log'!$1:$1,0)),"")="","",IFERROR(INDEX('RAID Log'!$1:$1048576,$B112,MATCH("Status",'RAID Log'!$1:$1,0)),"")))</f>
        <v/>
      </c>
      <c r="M112" s="85" t="str">
        <f>IF($B112="","",IF(IFERROR(INDEX('RAID Log'!$1:$1048576,$B112,MATCH("RAID Owner",'RAID Log'!$1:$1,0)),"")="","",IFERROR(INDEX('RAID Log'!$1:$1048576,$B112,MATCH("RAID Owner",'RAID Log'!$1:$1,0)),"")))</f>
        <v/>
      </c>
      <c r="N112" s="87" t="str">
        <f>IF($B112="","",IF(IFERROR(INDEX('RAID Log'!$1:$1048576,$B112,MATCH("Date Raised",'RAID Log'!$1:$1,0)),"")="","",IFERROR(INDEX('RAID Log'!$1:$1048576,$B112,MATCH("Date Raised",'RAID Log'!$1:$1,0)),"")))</f>
        <v/>
      </c>
      <c r="O112" s="87" t="str">
        <f>IF($B112="","",IF(IFERROR(INDEX('RAID Log'!$1:$1048576,$B112,MATCH("Closed Date",'RAID Log'!$1:$1,0)),"")="","",IFERROR(INDEX('RAID Log'!$1:$1048576,$B112,MATCH("Closed Date",'RAID Log'!$1:$1,0)),"")))</f>
        <v/>
      </c>
      <c r="P112" s="85" t="str">
        <f>IF($B112="","",IF(IFERROR(INDEX('RAID Log'!$1:$1048576,$B112,MATCH("Mitigation Strategy",'RAID Log'!$1:$1,0)),"")="","",IFERROR(INDEX('RAID Log'!$1:$1048576,$B112,MATCH("Mitigation Strategy",'RAID Log'!$1:$1,0)),"")))</f>
        <v/>
      </c>
      <c r="Q112" s="88" t="str">
        <f>IF($B112="","",IF(IFERROR(INDEX('RAID Log'!$1:$1048576,$B112,MATCH("RAID Response/Plan",'RAID Log'!$1:$1,0)),"")="","",IFERROR(INDEX('RAID Log'!$1:$1048576,$B112,MATCH("RAID Response/Plan",'RAID Log'!$1:$1,0)),"")))</f>
        <v/>
      </c>
    </row>
    <row r="113" spans="1:17" ht="14.25" customHeight="1">
      <c r="A113" s="82" t="str">
        <f>IF($B113="","",IF(IFERROR(INDEX('RAID Log'!$1:$1048576,$B113,MATCH("RAID ID",'RAID Log'!$1:$1,0)),"")="","",IFERROR(INDEX('RAID Log'!$1:$1048576,$B113,MATCH("RAID ID",'RAID Log'!$1:$1,0)),"")))</f>
        <v/>
      </c>
      <c r="B113" s="83" t="str">
        <f>IFERROR(MATCH(ROW()-1,'RAID Log'!$S:$S,0),"")</f>
        <v/>
      </c>
      <c r="C113" s="84" t="str">
        <f>IF($B113="","",IF(IFERROR(INDEX('RAID Log'!$1:$1048576,$B113,MATCH("Description",'RAID Log'!$1:$1,0)),"")="","",IFERROR(INDEX('RAID Log'!$1:$1048576,$B113,MATCH("Description",'RAID Log'!$1:$1,0)),"")))</f>
        <v/>
      </c>
      <c r="D113" s="84" t="str">
        <f>IF($B113="","",IF(IFERROR(INDEX('RAID Log'!$1:$1048576,$B113,MATCH("Impact/Effect of the RAID",'RAID Log'!$1:$1,0)),"")="","",IFERROR(INDEX('RAID Log'!$1:$1048576,$B113,MATCH("Impact/Effect of the RAID",'RAID Log'!$1:$1,0)),"")))</f>
        <v/>
      </c>
      <c r="E113" s="85" t="str">
        <f>IF($B113="","",IF(IFERROR(INDEX('RAID Log'!$1:$1048576,$B113,MATCH("Impact Area",'RAID Log'!$1:$1,0)),"")="","",IFERROR(INDEX('RAID Log'!$1:$1048576,$B113,MATCH("Impact Area",'RAID Log'!$1:$1,0)),"")))</f>
        <v/>
      </c>
      <c r="F113" s="85" t="str">
        <f>IF($B113="","",IF(IFERROR(INDEX('RAID Log'!$1:$1048576,$B113,MATCH("Impact Area",'RAID Log'!$1:$1,0)),"")="","",IFERROR(INDEX('RAID Log'!$1:$1048576,$B113,MATCH("Impact Area",'RAID Log'!$1:$1,0)),"")))</f>
        <v/>
      </c>
      <c r="G113" s="85" t="str">
        <f>IF($B113="","",IF(IFERROR(INDEX('RAID Log'!$1:$1048576,$B113,MATCH("Impact Rating",'RAID Log'!$1:$1,0)),"")="","",IFERROR(INDEX('RAID Log'!$1:$1048576,$B113,MATCH("Impact Rating",'RAID Log'!$1:$1,0)),"")))</f>
        <v/>
      </c>
      <c r="H113" s="85" t="str">
        <f>IF($B113="","",IF(IFERROR(INDEX('RAID Log'!$1:$1048576,$B113,MATCH("Initial Probability",'RAID Log'!$1:$1,0)),"")="","",IFERROR(INDEX('RAID Log'!$1:$1048576,$B113,MATCH("Initial Probability",'RAID Log'!$1:$1,0)),"")))</f>
        <v/>
      </c>
      <c r="I113" s="86" t="str">
        <f t="shared" si="3"/>
        <v/>
      </c>
      <c r="J113" s="85" t="str">
        <f t="shared" si="4"/>
        <v/>
      </c>
      <c r="K113" s="86" t="str">
        <f t="shared" si="5"/>
        <v/>
      </c>
      <c r="L113" s="85" t="str">
        <f>IF($B113="","",IF(IFERROR(INDEX('RAID Log'!$1:$1048576,$B113,MATCH("Status",'RAID Log'!$1:$1,0)),"")="","",IFERROR(INDEX('RAID Log'!$1:$1048576,$B113,MATCH("Status",'RAID Log'!$1:$1,0)),"")))</f>
        <v/>
      </c>
      <c r="M113" s="85" t="str">
        <f>IF($B113="","",IF(IFERROR(INDEX('RAID Log'!$1:$1048576,$B113,MATCH("RAID Owner",'RAID Log'!$1:$1,0)),"")="","",IFERROR(INDEX('RAID Log'!$1:$1048576,$B113,MATCH("RAID Owner",'RAID Log'!$1:$1,0)),"")))</f>
        <v/>
      </c>
      <c r="N113" s="87" t="str">
        <f>IF($B113="","",IF(IFERROR(INDEX('RAID Log'!$1:$1048576,$B113,MATCH("Date Raised",'RAID Log'!$1:$1,0)),"")="","",IFERROR(INDEX('RAID Log'!$1:$1048576,$B113,MATCH("Date Raised",'RAID Log'!$1:$1,0)),"")))</f>
        <v/>
      </c>
      <c r="O113" s="87" t="str">
        <f>IF($B113="","",IF(IFERROR(INDEX('RAID Log'!$1:$1048576,$B113,MATCH("Closed Date",'RAID Log'!$1:$1,0)),"")="","",IFERROR(INDEX('RAID Log'!$1:$1048576,$B113,MATCH("Closed Date",'RAID Log'!$1:$1,0)),"")))</f>
        <v/>
      </c>
      <c r="P113" s="85" t="str">
        <f>IF($B113="","",IF(IFERROR(INDEX('RAID Log'!$1:$1048576,$B113,MATCH("Mitigation Strategy",'RAID Log'!$1:$1,0)),"")="","",IFERROR(INDEX('RAID Log'!$1:$1048576,$B113,MATCH("Mitigation Strategy",'RAID Log'!$1:$1,0)),"")))</f>
        <v/>
      </c>
      <c r="Q113" s="88" t="str">
        <f>IF($B113="","",IF(IFERROR(INDEX('RAID Log'!$1:$1048576,$B113,MATCH("RAID Response/Plan",'RAID Log'!$1:$1,0)),"")="","",IFERROR(INDEX('RAID Log'!$1:$1048576,$B113,MATCH("RAID Response/Plan",'RAID Log'!$1:$1,0)),"")))</f>
        <v/>
      </c>
    </row>
    <row r="114" spans="1:17" ht="14.25" customHeight="1">
      <c r="A114" s="82" t="str">
        <f>IF($B114="","",IF(IFERROR(INDEX('RAID Log'!$1:$1048576,$B114,MATCH("RAID ID",'RAID Log'!$1:$1,0)),"")="","",IFERROR(INDEX('RAID Log'!$1:$1048576,$B114,MATCH("RAID ID",'RAID Log'!$1:$1,0)),"")))</f>
        <v/>
      </c>
      <c r="B114" s="83" t="str">
        <f>IFERROR(MATCH(ROW()-1,'RAID Log'!$S:$S,0),"")</f>
        <v/>
      </c>
      <c r="C114" s="84" t="str">
        <f>IF($B114="","",IF(IFERROR(INDEX('RAID Log'!$1:$1048576,$B114,MATCH("Description",'RAID Log'!$1:$1,0)),"")="","",IFERROR(INDEX('RAID Log'!$1:$1048576,$B114,MATCH("Description",'RAID Log'!$1:$1,0)),"")))</f>
        <v/>
      </c>
      <c r="D114" s="84" t="str">
        <f>IF($B114="","",IF(IFERROR(INDEX('RAID Log'!$1:$1048576,$B114,MATCH("Impact/Effect of the RAID",'RAID Log'!$1:$1,0)),"")="","",IFERROR(INDEX('RAID Log'!$1:$1048576,$B114,MATCH("Impact/Effect of the RAID",'RAID Log'!$1:$1,0)),"")))</f>
        <v/>
      </c>
      <c r="E114" s="85" t="str">
        <f>IF($B114="","",IF(IFERROR(INDEX('RAID Log'!$1:$1048576,$B114,MATCH("Impact Area",'RAID Log'!$1:$1,0)),"")="","",IFERROR(INDEX('RAID Log'!$1:$1048576,$B114,MATCH("Impact Area",'RAID Log'!$1:$1,0)),"")))</f>
        <v/>
      </c>
      <c r="F114" s="85" t="str">
        <f>IF($B114="","",IF(IFERROR(INDEX('RAID Log'!$1:$1048576,$B114,MATCH("Impact Area",'RAID Log'!$1:$1,0)),"")="","",IFERROR(INDEX('RAID Log'!$1:$1048576,$B114,MATCH("Impact Area",'RAID Log'!$1:$1,0)),"")))</f>
        <v/>
      </c>
      <c r="G114" s="85" t="str">
        <f>IF($B114="","",IF(IFERROR(INDEX('RAID Log'!$1:$1048576,$B114,MATCH("Impact Rating",'RAID Log'!$1:$1,0)),"")="","",IFERROR(INDEX('RAID Log'!$1:$1048576,$B114,MATCH("Impact Rating",'RAID Log'!$1:$1,0)),"")))</f>
        <v/>
      </c>
      <c r="H114" s="85" t="str">
        <f>IF($B114="","",IF(IFERROR(INDEX('RAID Log'!$1:$1048576,$B114,MATCH("Initial Probability",'RAID Log'!$1:$1,0)),"")="","",IFERROR(INDEX('RAID Log'!$1:$1048576,$B114,MATCH("Initial Probability",'RAID Log'!$1:$1,0)),"")))</f>
        <v/>
      </c>
      <c r="I114" s="86" t="str">
        <f t="shared" si="3"/>
        <v/>
      </c>
      <c r="J114" s="85" t="str">
        <f t="shared" si="4"/>
        <v/>
      </c>
      <c r="K114" s="86" t="str">
        <f t="shared" si="5"/>
        <v/>
      </c>
      <c r="L114" s="85" t="str">
        <f>IF($B114="","",IF(IFERROR(INDEX('RAID Log'!$1:$1048576,$B114,MATCH("Status",'RAID Log'!$1:$1,0)),"")="","",IFERROR(INDEX('RAID Log'!$1:$1048576,$B114,MATCH("Status",'RAID Log'!$1:$1,0)),"")))</f>
        <v/>
      </c>
      <c r="M114" s="85" t="str">
        <f>IF($B114="","",IF(IFERROR(INDEX('RAID Log'!$1:$1048576,$B114,MATCH("RAID Owner",'RAID Log'!$1:$1,0)),"")="","",IFERROR(INDEX('RAID Log'!$1:$1048576,$B114,MATCH("RAID Owner",'RAID Log'!$1:$1,0)),"")))</f>
        <v/>
      </c>
      <c r="N114" s="87" t="str">
        <f>IF($B114="","",IF(IFERROR(INDEX('RAID Log'!$1:$1048576,$B114,MATCH("Date Raised",'RAID Log'!$1:$1,0)),"")="","",IFERROR(INDEX('RAID Log'!$1:$1048576,$B114,MATCH("Date Raised",'RAID Log'!$1:$1,0)),"")))</f>
        <v/>
      </c>
      <c r="O114" s="87" t="str">
        <f>IF($B114="","",IF(IFERROR(INDEX('RAID Log'!$1:$1048576,$B114,MATCH("Closed Date",'RAID Log'!$1:$1,0)),"")="","",IFERROR(INDEX('RAID Log'!$1:$1048576,$B114,MATCH("Closed Date",'RAID Log'!$1:$1,0)),"")))</f>
        <v/>
      </c>
      <c r="P114" s="85" t="str">
        <f>IF($B114="","",IF(IFERROR(INDEX('RAID Log'!$1:$1048576,$B114,MATCH("Mitigation Strategy",'RAID Log'!$1:$1,0)),"")="","",IFERROR(INDEX('RAID Log'!$1:$1048576,$B114,MATCH("Mitigation Strategy",'RAID Log'!$1:$1,0)),"")))</f>
        <v/>
      </c>
      <c r="Q114" s="88" t="str">
        <f>IF($B114="","",IF(IFERROR(INDEX('RAID Log'!$1:$1048576,$B114,MATCH("RAID Response/Plan",'RAID Log'!$1:$1,0)),"")="","",IFERROR(INDEX('RAID Log'!$1:$1048576,$B114,MATCH("RAID Response/Plan",'RAID Log'!$1:$1,0)),"")))</f>
        <v/>
      </c>
    </row>
    <row r="115" spans="1:17" ht="14.25" customHeight="1">
      <c r="A115" s="82" t="str">
        <f>IF($B115="","",IF(IFERROR(INDEX('RAID Log'!$1:$1048576,$B115,MATCH("RAID ID",'RAID Log'!$1:$1,0)),"")="","",IFERROR(INDEX('RAID Log'!$1:$1048576,$B115,MATCH("RAID ID",'RAID Log'!$1:$1,0)),"")))</f>
        <v/>
      </c>
      <c r="B115" s="83" t="str">
        <f>IFERROR(MATCH(ROW()-1,'RAID Log'!$S:$S,0),"")</f>
        <v/>
      </c>
      <c r="C115" s="84" t="str">
        <f>IF($B115="","",IF(IFERROR(INDEX('RAID Log'!$1:$1048576,$B115,MATCH("Description",'RAID Log'!$1:$1,0)),"")="","",IFERROR(INDEX('RAID Log'!$1:$1048576,$B115,MATCH("Description",'RAID Log'!$1:$1,0)),"")))</f>
        <v/>
      </c>
      <c r="D115" s="84" t="str">
        <f>IF($B115="","",IF(IFERROR(INDEX('RAID Log'!$1:$1048576,$B115,MATCH("Impact/Effect of the RAID",'RAID Log'!$1:$1,0)),"")="","",IFERROR(INDEX('RAID Log'!$1:$1048576,$B115,MATCH("Impact/Effect of the RAID",'RAID Log'!$1:$1,0)),"")))</f>
        <v/>
      </c>
      <c r="E115" s="85" t="str">
        <f>IF($B115="","",IF(IFERROR(INDEX('RAID Log'!$1:$1048576,$B115,MATCH("Impact Area",'RAID Log'!$1:$1,0)),"")="","",IFERROR(INDEX('RAID Log'!$1:$1048576,$B115,MATCH("Impact Area",'RAID Log'!$1:$1,0)),"")))</f>
        <v/>
      </c>
      <c r="F115" s="85" t="str">
        <f>IF($B115="","",IF(IFERROR(INDEX('RAID Log'!$1:$1048576,$B115,MATCH("Impact Area",'RAID Log'!$1:$1,0)),"")="","",IFERROR(INDEX('RAID Log'!$1:$1048576,$B115,MATCH("Impact Area",'RAID Log'!$1:$1,0)),"")))</f>
        <v/>
      </c>
      <c r="G115" s="85" t="str">
        <f>IF($B115="","",IF(IFERROR(INDEX('RAID Log'!$1:$1048576,$B115,MATCH("Impact Rating",'RAID Log'!$1:$1,0)),"")="","",IFERROR(INDEX('RAID Log'!$1:$1048576,$B115,MATCH("Impact Rating",'RAID Log'!$1:$1,0)),"")))</f>
        <v/>
      </c>
      <c r="H115" s="85" t="str">
        <f>IF($B115="","",IF(IFERROR(INDEX('RAID Log'!$1:$1048576,$B115,MATCH("Initial Probability",'RAID Log'!$1:$1,0)),"")="","",IFERROR(INDEX('RAID Log'!$1:$1048576,$B115,MATCH("Initial Probability",'RAID Log'!$1:$1,0)),"")))</f>
        <v/>
      </c>
      <c r="I115" s="86" t="str">
        <f t="shared" si="3"/>
        <v/>
      </c>
      <c r="J115" s="85" t="str">
        <f t="shared" si="4"/>
        <v/>
      </c>
      <c r="K115" s="86" t="str">
        <f t="shared" si="5"/>
        <v/>
      </c>
      <c r="L115" s="85" t="str">
        <f>IF($B115="","",IF(IFERROR(INDEX('RAID Log'!$1:$1048576,$B115,MATCH("Status",'RAID Log'!$1:$1,0)),"")="","",IFERROR(INDEX('RAID Log'!$1:$1048576,$B115,MATCH("Status",'RAID Log'!$1:$1,0)),"")))</f>
        <v/>
      </c>
      <c r="M115" s="85" t="str">
        <f>IF($B115="","",IF(IFERROR(INDEX('RAID Log'!$1:$1048576,$B115,MATCH("RAID Owner",'RAID Log'!$1:$1,0)),"")="","",IFERROR(INDEX('RAID Log'!$1:$1048576,$B115,MATCH("RAID Owner",'RAID Log'!$1:$1,0)),"")))</f>
        <v/>
      </c>
      <c r="N115" s="87" t="str">
        <f>IF($B115="","",IF(IFERROR(INDEX('RAID Log'!$1:$1048576,$B115,MATCH("Date Raised",'RAID Log'!$1:$1,0)),"")="","",IFERROR(INDEX('RAID Log'!$1:$1048576,$B115,MATCH("Date Raised",'RAID Log'!$1:$1,0)),"")))</f>
        <v/>
      </c>
      <c r="O115" s="87" t="str">
        <f>IF($B115="","",IF(IFERROR(INDEX('RAID Log'!$1:$1048576,$B115,MATCH("Closed Date",'RAID Log'!$1:$1,0)),"")="","",IFERROR(INDEX('RAID Log'!$1:$1048576,$B115,MATCH("Closed Date",'RAID Log'!$1:$1,0)),"")))</f>
        <v/>
      </c>
      <c r="P115" s="85" t="str">
        <f>IF($B115="","",IF(IFERROR(INDEX('RAID Log'!$1:$1048576,$B115,MATCH("Mitigation Strategy",'RAID Log'!$1:$1,0)),"")="","",IFERROR(INDEX('RAID Log'!$1:$1048576,$B115,MATCH("Mitigation Strategy",'RAID Log'!$1:$1,0)),"")))</f>
        <v/>
      </c>
      <c r="Q115" s="88" t="str">
        <f>IF($B115="","",IF(IFERROR(INDEX('RAID Log'!$1:$1048576,$B115,MATCH("RAID Response/Plan",'RAID Log'!$1:$1,0)),"")="","",IFERROR(INDEX('RAID Log'!$1:$1048576,$B115,MATCH("RAID Response/Plan",'RAID Log'!$1:$1,0)),"")))</f>
        <v/>
      </c>
    </row>
    <row r="116" spans="1:17" ht="14.25" customHeight="1">
      <c r="A116" s="82" t="str">
        <f>IF($B116="","",IF(IFERROR(INDEX('RAID Log'!$1:$1048576,$B116,MATCH("RAID ID",'RAID Log'!$1:$1,0)),"")="","",IFERROR(INDEX('RAID Log'!$1:$1048576,$B116,MATCH("RAID ID",'RAID Log'!$1:$1,0)),"")))</f>
        <v/>
      </c>
      <c r="B116" s="83" t="str">
        <f>IFERROR(MATCH(ROW()-1,'RAID Log'!$S:$S,0),"")</f>
        <v/>
      </c>
      <c r="C116" s="84" t="str">
        <f>IF($B116="","",IF(IFERROR(INDEX('RAID Log'!$1:$1048576,$B116,MATCH("Description",'RAID Log'!$1:$1,0)),"")="","",IFERROR(INDEX('RAID Log'!$1:$1048576,$B116,MATCH("Description",'RAID Log'!$1:$1,0)),"")))</f>
        <v/>
      </c>
      <c r="D116" s="84" t="str">
        <f>IF($B116="","",IF(IFERROR(INDEX('RAID Log'!$1:$1048576,$B116,MATCH("Impact/Effect of the RAID",'RAID Log'!$1:$1,0)),"")="","",IFERROR(INDEX('RAID Log'!$1:$1048576,$B116,MATCH("Impact/Effect of the RAID",'RAID Log'!$1:$1,0)),"")))</f>
        <v/>
      </c>
      <c r="E116" s="85" t="str">
        <f>IF($B116="","",IF(IFERROR(INDEX('RAID Log'!$1:$1048576,$B116,MATCH("Impact Area",'RAID Log'!$1:$1,0)),"")="","",IFERROR(INDEX('RAID Log'!$1:$1048576,$B116,MATCH("Impact Area",'RAID Log'!$1:$1,0)),"")))</f>
        <v/>
      </c>
      <c r="F116" s="85" t="str">
        <f>IF($B116="","",IF(IFERROR(INDEX('RAID Log'!$1:$1048576,$B116,MATCH("Impact Area",'RAID Log'!$1:$1,0)),"")="","",IFERROR(INDEX('RAID Log'!$1:$1048576,$B116,MATCH("Impact Area",'RAID Log'!$1:$1,0)),"")))</f>
        <v/>
      </c>
      <c r="G116" s="85" t="str">
        <f>IF($B116="","",IF(IFERROR(INDEX('RAID Log'!$1:$1048576,$B116,MATCH("Impact Rating",'RAID Log'!$1:$1,0)),"")="","",IFERROR(INDEX('RAID Log'!$1:$1048576,$B116,MATCH("Impact Rating",'RAID Log'!$1:$1,0)),"")))</f>
        <v/>
      </c>
      <c r="H116" s="85" t="str">
        <f>IF($B116="","",IF(IFERROR(INDEX('RAID Log'!$1:$1048576,$B116,MATCH("Initial Probability",'RAID Log'!$1:$1,0)),"")="","",IFERROR(INDEX('RAID Log'!$1:$1048576,$B116,MATCH("Initial Probability",'RAID Log'!$1:$1,0)),"")))</f>
        <v/>
      </c>
      <c r="I116" s="86" t="str">
        <f t="shared" si="3"/>
        <v/>
      </c>
      <c r="J116" s="85" t="str">
        <f t="shared" si="4"/>
        <v/>
      </c>
      <c r="K116" s="86" t="str">
        <f t="shared" si="5"/>
        <v/>
      </c>
      <c r="L116" s="85" t="str">
        <f>IF($B116="","",IF(IFERROR(INDEX('RAID Log'!$1:$1048576,$B116,MATCH("Status",'RAID Log'!$1:$1,0)),"")="","",IFERROR(INDEX('RAID Log'!$1:$1048576,$B116,MATCH("Status",'RAID Log'!$1:$1,0)),"")))</f>
        <v/>
      </c>
      <c r="M116" s="85" t="str">
        <f>IF($B116="","",IF(IFERROR(INDEX('RAID Log'!$1:$1048576,$B116,MATCH("RAID Owner",'RAID Log'!$1:$1,0)),"")="","",IFERROR(INDEX('RAID Log'!$1:$1048576,$B116,MATCH("RAID Owner",'RAID Log'!$1:$1,0)),"")))</f>
        <v/>
      </c>
      <c r="N116" s="87" t="str">
        <f>IF($B116="","",IF(IFERROR(INDEX('RAID Log'!$1:$1048576,$B116,MATCH("Date Raised",'RAID Log'!$1:$1,0)),"")="","",IFERROR(INDEX('RAID Log'!$1:$1048576,$B116,MATCH("Date Raised",'RAID Log'!$1:$1,0)),"")))</f>
        <v/>
      </c>
      <c r="O116" s="87" t="str">
        <f>IF($B116="","",IF(IFERROR(INDEX('RAID Log'!$1:$1048576,$B116,MATCH("Closed Date",'RAID Log'!$1:$1,0)),"")="","",IFERROR(INDEX('RAID Log'!$1:$1048576,$B116,MATCH("Closed Date",'RAID Log'!$1:$1,0)),"")))</f>
        <v/>
      </c>
      <c r="P116" s="85" t="str">
        <f>IF($B116="","",IF(IFERROR(INDEX('RAID Log'!$1:$1048576,$B116,MATCH("Mitigation Strategy",'RAID Log'!$1:$1,0)),"")="","",IFERROR(INDEX('RAID Log'!$1:$1048576,$B116,MATCH("Mitigation Strategy",'RAID Log'!$1:$1,0)),"")))</f>
        <v/>
      </c>
      <c r="Q116" s="88" t="str">
        <f>IF($B116="","",IF(IFERROR(INDEX('RAID Log'!$1:$1048576,$B116,MATCH("RAID Response/Plan",'RAID Log'!$1:$1,0)),"")="","",IFERROR(INDEX('RAID Log'!$1:$1048576,$B116,MATCH("RAID Response/Plan",'RAID Log'!$1:$1,0)),"")))</f>
        <v/>
      </c>
    </row>
    <row r="117" spans="1:17" ht="14.25" customHeight="1">
      <c r="A117" s="82" t="str">
        <f>IF($B117="","",IF(IFERROR(INDEX('RAID Log'!$1:$1048576,$B117,MATCH("RAID ID",'RAID Log'!$1:$1,0)),"")="","",IFERROR(INDEX('RAID Log'!$1:$1048576,$B117,MATCH("RAID ID",'RAID Log'!$1:$1,0)),"")))</f>
        <v/>
      </c>
      <c r="B117" s="83" t="str">
        <f>IFERROR(MATCH(ROW()-1,'RAID Log'!$S:$S,0),"")</f>
        <v/>
      </c>
      <c r="C117" s="84" t="str">
        <f>IF($B117="","",IF(IFERROR(INDEX('RAID Log'!$1:$1048576,$B117,MATCH("Description",'RAID Log'!$1:$1,0)),"")="","",IFERROR(INDEX('RAID Log'!$1:$1048576,$B117,MATCH("Description",'RAID Log'!$1:$1,0)),"")))</f>
        <v/>
      </c>
      <c r="D117" s="84" t="str">
        <f>IF($B117="","",IF(IFERROR(INDEX('RAID Log'!$1:$1048576,$B117,MATCH("Impact/Effect of the RAID",'RAID Log'!$1:$1,0)),"")="","",IFERROR(INDEX('RAID Log'!$1:$1048576,$B117,MATCH("Impact/Effect of the RAID",'RAID Log'!$1:$1,0)),"")))</f>
        <v/>
      </c>
      <c r="E117" s="85" t="str">
        <f>IF($B117="","",IF(IFERROR(INDEX('RAID Log'!$1:$1048576,$B117,MATCH("Impact Area",'RAID Log'!$1:$1,0)),"")="","",IFERROR(INDEX('RAID Log'!$1:$1048576,$B117,MATCH("Impact Area",'RAID Log'!$1:$1,0)),"")))</f>
        <v/>
      </c>
      <c r="F117" s="85" t="str">
        <f>IF($B117="","",IF(IFERROR(INDEX('RAID Log'!$1:$1048576,$B117,MATCH("Impact Area",'RAID Log'!$1:$1,0)),"")="","",IFERROR(INDEX('RAID Log'!$1:$1048576,$B117,MATCH("Impact Area",'RAID Log'!$1:$1,0)),"")))</f>
        <v/>
      </c>
      <c r="G117" s="85" t="str">
        <f>IF($B117="","",IF(IFERROR(INDEX('RAID Log'!$1:$1048576,$B117,MATCH("Impact Rating",'RAID Log'!$1:$1,0)),"")="","",IFERROR(INDEX('RAID Log'!$1:$1048576,$B117,MATCH("Impact Rating",'RAID Log'!$1:$1,0)),"")))</f>
        <v/>
      </c>
      <c r="H117" s="85" t="str">
        <f>IF($B117="","",IF(IFERROR(INDEX('RAID Log'!$1:$1048576,$B117,MATCH("Initial Probability",'RAID Log'!$1:$1,0)),"")="","",IFERROR(INDEX('RAID Log'!$1:$1048576,$B117,MATCH("Initial Probability",'RAID Log'!$1:$1,0)),"")))</f>
        <v/>
      </c>
      <c r="I117" s="86" t="str">
        <f t="shared" si="3"/>
        <v/>
      </c>
      <c r="J117" s="85" t="str">
        <f t="shared" si="4"/>
        <v/>
      </c>
      <c r="K117" s="86" t="str">
        <f t="shared" si="5"/>
        <v/>
      </c>
      <c r="L117" s="85" t="str">
        <f>IF($B117="","",IF(IFERROR(INDEX('RAID Log'!$1:$1048576,$B117,MATCH("Status",'RAID Log'!$1:$1,0)),"")="","",IFERROR(INDEX('RAID Log'!$1:$1048576,$B117,MATCH("Status",'RAID Log'!$1:$1,0)),"")))</f>
        <v/>
      </c>
      <c r="M117" s="85" t="str">
        <f>IF($B117="","",IF(IFERROR(INDEX('RAID Log'!$1:$1048576,$B117,MATCH("RAID Owner",'RAID Log'!$1:$1,0)),"")="","",IFERROR(INDEX('RAID Log'!$1:$1048576,$B117,MATCH("RAID Owner",'RAID Log'!$1:$1,0)),"")))</f>
        <v/>
      </c>
      <c r="N117" s="87" t="str">
        <f>IF($B117="","",IF(IFERROR(INDEX('RAID Log'!$1:$1048576,$B117,MATCH("Date Raised",'RAID Log'!$1:$1,0)),"")="","",IFERROR(INDEX('RAID Log'!$1:$1048576,$B117,MATCH("Date Raised",'RAID Log'!$1:$1,0)),"")))</f>
        <v/>
      </c>
      <c r="O117" s="87" t="str">
        <f>IF($B117="","",IF(IFERROR(INDEX('RAID Log'!$1:$1048576,$B117,MATCH("Closed Date",'RAID Log'!$1:$1,0)),"")="","",IFERROR(INDEX('RAID Log'!$1:$1048576,$B117,MATCH("Closed Date",'RAID Log'!$1:$1,0)),"")))</f>
        <v/>
      </c>
      <c r="P117" s="85" t="str">
        <f>IF($B117="","",IF(IFERROR(INDEX('RAID Log'!$1:$1048576,$B117,MATCH("Mitigation Strategy",'RAID Log'!$1:$1,0)),"")="","",IFERROR(INDEX('RAID Log'!$1:$1048576,$B117,MATCH("Mitigation Strategy",'RAID Log'!$1:$1,0)),"")))</f>
        <v/>
      </c>
      <c r="Q117" s="88" t="str">
        <f>IF($B117="","",IF(IFERROR(INDEX('RAID Log'!$1:$1048576,$B117,MATCH("RAID Response/Plan",'RAID Log'!$1:$1,0)),"")="","",IFERROR(INDEX('RAID Log'!$1:$1048576,$B117,MATCH("RAID Response/Plan",'RAID Log'!$1:$1,0)),"")))</f>
        <v/>
      </c>
    </row>
    <row r="118" spans="1:17" ht="14.25" customHeight="1">
      <c r="A118" s="82" t="str">
        <f>IF($B118="","",IF(IFERROR(INDEX('RAID Log'!$1:$1048576,$B118,MATCH("RAID ID",'RAID Log'!$1:$1,0)),"")="","",IFERROR(INDEX('RAID Log'!$1:$1048576,$B118,MATCH("RAID ID",'RAID Log'!$1:$1,0)),"")))</f>
        <v/>
      </c>
      <c r="B118" s="83" t="str">
        <f>IFERROR(MATCH(ROW()-1,'RAID Log'!$S:$S,0),"")</f>
        <v/>
      </c>
      <c r="C118" s="84" t="str">
        <f>IF($B118="","",IF(IFERROR(INDEX('RAID Log'!$1:$1048576,$B118,MATCH("Description",'RAID Log'!$1:$1,0)),"")="","",IFERROR(INDEX('RAID Log'!$1:$1048576,$B118,MATCH("Description",'RAID Log'!$1:$1,0)),"")))</f>
        <v/>
      </c>
      <c r="D118" s="84" t="str">
        <f>IF($B118="","",IF(IFERROR(INDEX('RAID Log'!$1:$1048576,$B118,MATCH("Impact/Effect of the RAID",'RAID Log'!$1:$1,0)),"")="","",IFERROR(INDEX('RAID Log'!$1:$1048576,$B118,MATCH("Impact/Effect of the RAID",'RAID Log'!$1:$1,0)),"")))</f>
        <v/>
      </c>
      <c r="E118" s="85" t="str">
        <f>IF($B118="","",IF(IFERROR(INDEX('RAID Log'!$1:$1048576,$B118,MATCH("Impact Area",'RAID Log'!$1:$1,0)),"")="","",IFERROR(INDEX('RAID Log'!$1:$1048576,$B118,MATCH("Impact Area",'RAID Log'!$1:$1,0)),"")))</f>
        <v/>
      </c>
      <c r="F118" s="85" t="str">
        <f>IF($B118="","",IF(IFERROR(INDEX('RAID Log'!$1:$1048576,$B118,MATCH("Impact Area",'RAID Log'!$1:$1,0)),"")="","",IFERROR(INDEX('RAID Log'!$1:$1048576,$B118,MATCH("Impact Area",'RAID Log'!$1:$1,0)),"")))</f>
        <v/>
      </c>
      <c r="G118" s="85" t="str">
        <f>IF($B118="","",IF(IFERROR(INDEX('RAID Log'!$1:$1048576,$B118,MATCH("Impact Rating",'RAID Log'!$1:$1,0)),"")="","",IFERROR(INDEX('RAID Log'!$1:$1048576,$B118,MATCH("Impact Rating",'RAID Log'!$1:$1,0)),"")))</f>
        <v/>
      </c>
      <c r="H118" s="85" t="str">
        <f>IF($B118="","",IF(IFERROR(INDEX('RAID Log'!$1:$1048576,$B118,MATCH("Initial Probability",'RAID Log'!$1:$1,0)),"")="","",IFERROR(INDEX('RAID Log'!$1:$1048576,$B118,MATCH("Initial Probability",'RAID Log'!$1:$1,0)),"")))</f>
        <v/>
      </c>
      <c r="I118" s="86" t="str">
        <f t="shared" si="3"/>
        <v/>
      </c>
      <c r="J118" s="85" t="str">
        <f t="shared" si="4"/>
        <v/>
      </c>
      <c r="K118" s="86" t="str">
        <f t="shared" si="5"/>
        <v/>
      </c>
      <c r="L118" s="85" t="str">
        <f>IF($B118="","",IF(IFERROR(INDEX('RAID Log'!$1:$1048576,$B118,MATCH("Status",'RAID Log'!$1:$1,0)),"")="","",IFERROR(INDEX('RAID Log'!$1:$1048576,$B118,MATCH("Status",'RAID Log'!$1:$1,0)),"")))</f>
        <v/>
      </c>
      <c r="M118" s="85" t="str">
        <f>IF($B118="","",IF(IFERROR(INDEX('RAID Log'!$1:$1048576,$B118,MATCH("RAID Owner",'RAID Log'!$1:$1,0)),"")="","",IFERROR(INDEX('RAID Log'!$1:$1048576,$B118,MATCH("RAID Owner",'RAID Log'!$1:$1,0)),"")))</f>
        <v/>
      </c>
      <c r="N118" s="87" t="str">
        <f>IF($B118="","",IF(IFERROR(INDEX('RAID Log'!$1:$1048576,$B118,MATCH("Date Raised",'RAID Log'!$1:$1,0)),"")="","",IFERROR(INDEX('RAID Log'!$1:$1048576,$B118,MATCH("Date Raised",'RAID Log'!$1:$1,0)),"")))</f>
        <v/>
      </c>
      <c r="O118" s="87" t="str">
        <f>IF($B118="","",IF(IFERROR(INDEX('RAID Log'!$1:$1048576,$B118,MATCH("Closed Date",'RAID Log'!$1:$1,0)),"")="","",IFERROR(INDEX('RAID Log'!$1:$1048576,$B118,MATCH("Closed Date",'RAID Log'!$1:$1,0)),"")))</f>
        <v/>
      </c>
      <c r="P118" s="85" t="str">
        <f>IF($B118="","",IF(IFERROR(INDEX('RAID Log'!$1:$1048576,$B118,MATCH("Mitigation Strategy",'RAID Log'!$1:$1,0)),"")="","",IFERROR(INDEX('RAID Log'!$1:$1048576,$B118,MATCH("Mitigation Strategy",'RAID Log'!$1:$1,0)),"")))</f>
        <v/>
      </c>
      <c r="Q118" s="88" t="str">
        <f>IF($B118="","",IF(IFERROR(INDEX('RAID Log'!$1:$1048576,$B118,MATCH("RAID Response/Plan",'RAID Log'!$1:$1,0)),"")="","",IFERROR(INDEX('RAID Log'!$1:$1048576,$B118,MATCH("RAID Response/Plan",'RAID Log'!$1:$1,0)),"")))</f>
        <v/>
      </c>
    </row>
    <row r="119" spans="1:17" ht="14.25" customHeight="1">
      <c r="A119" s="82" t="str">
        <f>IF($B119="","",IF(IFERROR(INDEX('RAID Log'!$1:$1048576,$B119,MATCH("RAID ID",'RAID Log'!$1:$1,0)),"")="","",IFERROR(INDEX('RAID Log'!$1:$1048576,$B119,MATCH("RAID ID",'RAID Log'!$1:$1,0)),"")))</f>
        <v/>
      </c>
      <c r="B119" s="83" t="str">
        <f>IFERROR(MATCH(ROW()-1,'RAID Log'!$S:$S,0),"")</f>
        <v/>
      </c>
      <c r="C119" s="84" t="str">
        <f>IF($B119="","",IF(IFERROR(INDEX('RAID Log'!$1:$1048576,$B119,MATCH("Description",'RAID Log'!$1:$1,0)),"")="","",IFERROR(INDEX('RAID Log'!$1:$1048576,$B119,MATCH("Description",'RAID Log'!$1:$1,0)),"")))</f>
        <v/>
      </c>
      <c r="D119" s="84" t="str">
        <f>IF($B119="","",IF(IFERROR(INDEX('RAID Log'!$1:$1048576,$B119,MATCH("Impact/Effect of the RAID",'RAID Log'!$1:$1,0)),"")="","",IFERROR(INDEX('RAID Log'!$1:$1048576,$B119,MATCH("Impact/Effect of the RAID",'RAID Log'!$1:$1,0)),"")))</f>
        <v/>
      </c>
      <c r="E119" s="85" t="str">
        <f>IF($B119="","",IF(IFERROR(INDEX('RAID Log'!$1:$1048576,$B119,MATCH("Impact Area",'RAID Log'!$1:$1,0)),"")="","",IFERROR(INDEX('RAID Log'!$1:$1048576,$B119,MATCH("Impact Area",'RAID Log'!$1:$1,0)),"")))</f>
        <v/>
      </c>
      <c r="F119" s="85" t="str">
        <f>IF($B119="","",IF(IFERROR(INDEX('RAID Log'!$1:$1048576,$B119,MATCH("Impact Area",'RAID Log'!$1:$1,0)),"")="","",IFERROR(INDEX('RAID Log'!$1:$1048576,$B119,MATCH("Impact Area",'RAID Log'!$1:$1,0)),"")))</f>
        <v/>
      </c>
      <c r="G119" s="85" t="str">
        <f>IF($B119="","",IF(IFERROR(INDEX('RAID Log'!$1:$1048576,$B119,MATCH("Impact Rating",'RAID Log'!$1:$1,0)),"")="","",IFERROR(INDEX('RAID Log'!$1:$1048576,$B119,MATCH("Impact Rating",'RAID Log'!$1:$1,0)),"")))</f>
        <v/>
      </c>
      <c r="H119" s="85" t="str">
        <f>IF($B119="","",IF(IFERROR(INDEX('RAID Log'!$1:$1048576,$B119,MATCH("Initial Probability",'RAID Log'!$1:$1,0)),"")="","",IFERROR(INDEX('RAID Log'!$1:$1048576,$B119,MATCH("Initial Probability",'RAID Log'!$1:$1,0)),"")))</f>
        <v/>
      </c>
      <c r="I119" s="86" t="str">
        <f t="shared" si="3"/>
        <v/>
      </c>
      <c r="J119" s="85" t="str">
        <f t="shared" si="4"/>
        <v/>
      </c>
      <c r="K119" s="86" t="str">
        <f t="shared" si="5"/>
        <v/>
      </c>
      <c r="L119" s="85" t="str">
        <f>IF($B119="","",IF(IFERROR(INDEX('RAID Log'!$1:$1048576,$B119,MATCH("Status",'RAID Log'!$1:$1,0)),"")="","",IFERROR(INDEX('RAID Log'!$1:$1048576,$B119,MATCH("Status",'RAID Log'!$1:$1,0)),"")))</f>
        <v/>
      </c>
      <c r="M119" s="85" t="str">
        <f>IF($B119="","",IF(IFERROR(INDEX('RAID Log'!$1:$1048576,$B119,MATCH("RAID Owner",'RAID Log'!$1:$1,0)),"")="","",IFERROR(INDEX('RAID Log'!$1:$1048576,$B119,MATCH("RAID Owner",'RAID Log'!$1:$1,0)),"")))</f>
        <v/>
      </c>
      <c r="N119" s="87" t="str">
        <f>IF($B119="","",IF(IFERROR(INDEX('RAID Log'!$1:$1048576,$B119,MATCH("Date Raised",'RAID Log'!$1:$1,0)),"")="","",IFERROR(INDEX('RAID Log'!$1:$1048576,$B119,MATCH("Date Raised",'RAID Log'!$1:$1,0)),"")))</f>
        <v/>
      </c>
      <c r="O119" s="87" t="str">
        <f>IF($B119="","",IF(IFERROR(INDEX('RAID Log'!$1:$1048576,$B119,MATCH("Closed Date",'RAID Log'!$1:$1,0)),"")="","",IFERROR(INDEX('RAID Log'!$1:$1048576,$B119,MATCH("Closed Date",'RAID Log'!$1:$1,0)),"")))</f>
        <v/>
      </c>
      <c r="P119" s="85" t="str">
        <f>IF($B119="","",IF(IFERROR(INDEX('RAID Log'!$1:$1048576,$B119,MATCH("Mitigation Strategy",'RAID Log'!$1:$1,0)),"")="","",IFERROR(INDEX('RAID Log'!$1:$1048576,$B119,MATCH("Mitigation Strategy",'RAID Log'!$1:$1,0)),"")))</f>
        <v/>
      </c>
      <c r="Q119" s="88" t="str">
        <f>IF($B119="","",IF(IFERROR(INDEX('RAID Log'!$1:$1048576,$B119,MATCH("RAID Response/Plan",'RAID Log'!$1:$1,0)),"")="","",IFERROR(INDEX('RAID Log'!$1:$1048576,$B119,MATCH("RAID Response/Plan",'RAID Log'!$1:$1,0)),"")))</f>
        <v/>
      </c>
    </row>
    <row r="120" spans="1:17" ht="14.25" customHeight="1">
      <c r="A120" s="82" t="str">
        <f>IF($B120="","",IF(IFERROR(INDEX('RAID Log'!$1:$1048576,$B120,MATCH("RAID ID",'RAID Log'!$1:$1,0)),"")="","",IFERROR(INDEX('RAID Log'!$1:$1048576,$B120,MATCH("RAID ID",'RAID Log'!$1:$1,0)),"")))</f>
        <v/>
      </c>
      <c r="B120" s="83" t="str">
        <f>IFERROR(MATCH(ROW()-1,'RAID Log'!$S:$S,0),"")</f>
        <v/>
      </c>
      <c r="C120" s="84" t="str">
        <f>IF($B120="","",IF(IFERROR(INDEX('RAID Log'!$1:$1048576,$B120,MATCH("Description",'RAID Log'!$1:$1,0)),"")="","",IFERROR(INDEX('RAID Log'!$1:$1048576,$B120,MATCH("Description",'RAID Log'!$1:$1,0)),"")))</f>
        <v/>
      </c>
      <c r="D120" s="84" t="str">
        <f>IF($B120="","",IF(IFERROR(INDEX('RAID Log'!$1:$1048576,$B120,MATCH("Impact/Effect of the RAID",'RAID Log'!$1:$1,0)),"")="","",IFERROR(INDEX('RAID Log'!$1:$1048576,$B120,MATCH("Impact/Effect of the RAID",'RAID Log'!$1:$1,0)),"")))</f>
        <v/>
      </c>
      <c r="E120" s="85" t="str">
        <f>IF($B120="","",IF(IFERROR(INDEX('RAID Log'!$1:$1048576,$B120,MATCH("Impact Area",'RAID Log'!$1:$1,0)),"")="","",IFERROR(INDEX('RAID Log'!$1:$1048576,$B120,MATCH("Impact Area",'RAID Log'!$1:$1,0)),"")))</f>
        <v/>
      </c>
      <c r="F120" s="85" t="str">
        <f>IF($B120="","",IF(IFERROR(INDEX('RAID Log'!$1:$1048576,$B120,MATCH("Impact Area",'RAID Log'!$1:$1,0)),"")="","",IFERROR(INDEX('RAID Log'!$1:$1048576,$B120,MATCH("Impact Area",'RAID Log'!$1:$1,0)),"")))</f>
        <v/>
      </c>
      <c r="G120" s="85" t="str">
        <f>IF($B120="","",IF(IFERROR(INDEX('RAID Log'!$1:$1048576,$B120,MATCH("Impact Rating",'RAID Log'!$1:$1,0)),"")="","",IFERROR(INDEX('RAID Log'!$1:$1048576,$B120,MATCH("Impact Rating",'RAID Log'!$1:$1,0)),"")))</f>
        <v/>
      </c>
      <c r="H120" s="85" t="str">
        <f>IF($B120="","",IF(IFERROR(INDEX('RAID Log'!$1:$1048576,$B120,MATCH("Initial Probability",'RAID Log'!$1:$1,0)),"")="","",IFERROR(INDEX('RAID Log'!$1:$1048576,$B120,MATCH("Initial Probability",'RAID Log'!$1:$1,0)),"")))</f>
        <v/>
      </c>
      <c r="I120" s="86" t="str">
        <f t="shared" si="3"/>
        <v/>
      </c>
      <c r="J120" s="85" t="str">
        <f t="shared" si="4"/>
        <v/>
      </c>
      <c r="K120" s="86" t="str">
        <f t="shared" si="5"/>
        <v/>
      </c>
      <c r="L120" s="85" t="str">
        <f>IF($B120="","",IF(IFERROR(INDEX('RAID Log'!$1:$1048576,$B120,MATCH("Status",'RAID Log'!$1:$1,0)),"")="","",IFERROR(INDEX('RAID Log'!$1:$1048576,$B120,MATCH("Status",'RAID Log'!$1:$1,0)),"")))</f>
        <v/>
      </c>
      <c r="M120" s="85" t="str">
        <f>IF($B120="","",IF(IFERROR(INDEX('RAID Log'!$1:$1048576,$B120,MATCH("RAID Owner",'RAID Log'!$1:$1,0)),"")="","",IFERROR(INDEX('RAID Log'!$1:$1048576,$B120,MATCH("RAID Owner",'RAID Log'!$1:$1,0)),"")))</f>
        <v/>
      </c>
      <c r="N120" s="87" t="str">
        <f>IF($B120="","",IF(IFERROR(INDEX('RAID Log'!$1:$1048576,$B120,MATCH("Date Raised",'RAID Log'!$1:$1,0)),"")="","",IFERROR(INDEX('RAID Log'!$1:$1048576,$B120,MATCH("Date Raised",'RAID Log'!$1:$1,0)),"")))</f>
        <v/>
      </c>
      <c r="O120" s="87" t="str">
        <f>IF($B120="","",IF(IFERROR(INDEX('RAID Log'!$1:$1048576,$B120,MATCH("Closed Date",'RAID Log'!$1:$1,0)),"")="","",IFERROR(INDEX('RAID Log'!$1:$1048576,$B120,MATCH("Closed Date",'RAID Log'!$1:$1,0)),"")))</f>
        <v/>
      </c>
      <c r="P120" s="85" t="str">
        <f>IF($B120="","",IF(IFERROR(INDEX('RAID Log'!$1:$1048576,$B120,MATCH("Mitigation Strategy",'RAID Log'!$1:$1,0)),"")="","",IFERROR(INDEX('RAID Log'!$1:$1048576,$B120,MATCH("Mitigation Strategy",'RAID Log'!$1:$1,0)),"")))</f>
        <v/>
      </c>
      <c r="Q120" s="88" t="str">
        <f>IF($B120="","",IF(IFERROR(INDEX('RAID Log'!$1:$1048576,$B120,MATCH("RAID Response/Plan",'RAID Log'!$1:$1,0)),"")="","",IFERROR(INDEX('RAID Log'!$1:$1048576,$B120,MATCH("RAID Response/Plan",'RAID Log'!$1:$1,0)),"")))</f>
        <v/>
      </c>
    </row>
    <row r="121" spans="1:17" ht="14.25" customHeight="1">
      <c r="A121" s="82" t="str">
        <f>IF($B121="","",IF(IFERROR(INDEX('RAID Log'!$1:$1048576,$B121,MATCH("RAID ID",'RAID Log'!$1:$1,0)),"")="","",IFERROR(INDEX('RAID Log'!$1:$1048576,$B121,MATCH("RAID ID",'RAID Log'!$1:$1,0)),"")))</f>
        <v/>
      </c>
      <c r="B121" s="83" t="str">
        <f>IFERROR(MATCH(ROW()-1,'RAID Log'!$S:$S,0),"")</f>
        <v/>
      </c>
      <c r="C121" s="84" t="str">
        <f>IF($B121="","",IF(IFERROR(INDEX('RAID Log'!$1:$1048576,$B121,MATCH("Description",'RAID Log'!$1:$1,0)),"")="","",IFERROR(INDEX('RAID Log'!$1:$1048576,$B121,MATCH("Description",'RAID Log'!$1:$1,0)),"")))</f>
        <v/>
      </c>
      <c r="D121" s="84" t="str">
        <f>IF($B121="","",IF(IFERROR(INDEX('RAID Log'!$1:$1048576,$B121,MATCH("Impact/Effect of the RAID",'RAID Log'!$1:$1,0)),"")="","",IFERROR(INDEX('RAID Log'!$1:$1048576,$B121,MATCH("Impact/Effect of the RAID",'RAID Log'!$1:$1,0)),"")))</f>
        <v/>
      </c>
      <c r="E121" s="85" t="str">
        <f>IF($B121="","",IF(IFERROR(INDEX('RAID Log'!$1:$1048576,$B121,MATCH("Impact Area",'RAID Log'!$1:$1,0)),"")="","",IFERROR(INDEX('RAID Log'!$1:$1048576,$B121,MATCH("Impact Area",'RAID Log'!$1:$1,0)),"")))</f>
        <v/>
      </c>
      <c r="F121" s="85" t="str">
        <f>IF($B121="","",IF(IFERROR(INDEX('RAID Log'!$1:$1048576,$B121,MATCH("Impact Area",'RAID Log'!$1:$1,0)),"")="","",IFERROR(INDEX('RAID Log'!$1:$1048576,$B121,MATCH("Impact Area",'RAID Log'!$1:$1,0)),"")))</f>
        <v/>
      </c>
      <c r="G121" s="85" t="str">
        <f>IF($B121="","",IF(IFERROR(INDEX('RAID Log'!$1:$1048576,$B121,MATCH("Impact Rating",'RAID Log'!$1:$1,0)),"")="","",IFERROR(INDEX('RAID Log'!$1:$1048576,$B121,MATCH("Impact Rating",'RAID Log'!$1:$1,0)),"")))</f>
        <v/>
      </c>
      <c r="H121" s="85" t="str">
        <f>IF($B121="","",IF(IFERROR(INDEX('RAID Log'!$1:$1048576,$B121,MATCH("Initial Probability",'RAID Log'!$1:$1,0)),"")="","",IFERROR(INDEX('RAID Log'!$1:$1048576,$B121,MATCH("Initial Probability",'RAID Log'!$1:$1,0)),"")))</f>
        <v/>
      </c>
      <c r="I121" s="86" t="str">
        <f t="shared" si="3"/>
        <v/>
      </c>
      <c r="J121" s="85" t="str">
        <f t="shared" si="4"/>
        <v/>
      </c>
      <c r="K121" s="86" t="str">
        <f t="shared" si="5"/>
        <v/>
      </c>
      <c r="L121" s="85" t="str">
        <f>IF($B121="","",IF(IFERROR(INDEX('RAID Log'!$1:$1048576,$B121,MATCH("Status",'RAID Log'!$1:$1,0)),"")="","",IFERROR(INDEX('RAID Log'!$1:$1048576,$B121,MATCH("Status",'RAID Log'!$1:$1,0)),"")))</f>
        <v/>
      </c>
      <c r="M121" s="85" t="str">
        <f>IF($B121="","",IF(IFERROR(INDEX('RAID Log'!$1:$1048576,$B121,MATCH("RAID Owner",'RAID Log'!$1:$1,0)),"")="","",IFERROR(INDEX('RAID Log'!$1:$1048576,$B121,MATCH("RAID Owner",'RAID Log'!$1:$1,0)),"")))</f>
        <v/>
      </c>
      <c r="N121" s="87" t="str">
        <f>IF($B121="","",IF(IFERROR(INDEX('RAID Log'!$1:$1048576,$B121,MATCH("Date Raised",'RAID Log'!$1:$1,0)),"")="","",IFERROR(INDEX('RAID Log'!$1:$1048576,$B121,MATCH("Date Raised",'RAID Log'!$1:$1,0)),"")))</f>
        <v/>
      </c>
      <c r="O121" s="87" t="str">
        <f>IF($B121="","",IF(IFERROR(INDEX('RAID Log'!$1:$1048576,$B121,MATCH("Closed Date",'RAID Log'!$1:$1,0)),"")="","",IFERROR(INDEX('RAID Log'!$1:$1048576,$B121,MATCH("Closed Date",'RAID Log'!$1:$1,0)),"")))</f>
        <v/>
      </c>
      <c r="P121" s="85" t="str">
        <f>IF($B121="","",IF(IFERROR(INDEX('RAID Log'!$1:$1048576,$B121,MATCH("Mitigation Strategy",'RAID Log'!$1:$1,0)),"")="","",IFERROR(INDEX('RAID Log'!$1:$1048576,$B121,MATCH("Mitigation Strategy",'RAID Log'!$1:$1,0)),"")))</f>
        <v/>
      </c>
      <c r="Q121" s="88" t="str">
        <f>IF($B121="","",IF(IFERROR(INDEX('RAID Log'!$1:$1048576,$B121,MATCH("RAID Response/Plan",'RAID Log'!$1:$1,0)),"")="","",IFERROR(INDEX('RAID Log'!$1:$1048576,$B121,MATCH("RAID Response/Plan",'RAID Log'!$1:$1,0)),"")))</f>
        <v/>
      </c>
    </row>
    <row r="122" spans="1:17" ht="14.25" customHeight="1">
      <c r="A122" s="82" t="str">
        <f>IF($B122="","",IF(IFERROR(INDEX('RAID Log'!$1:$1048576,$B122,MATCH("RAID ID",'RAID Log'!$1:$1,0)),"")="","",IFERROR(INDEX('RAID Log'!$1:$1048576,$B122,MATCH("RAID ID",'RAID Log'!$1:$1,0)),"")))</f>
        <v/>
      </c>
      <c r="B122" s="83" t="str">
        <f>IFERROR(MATCH(ROW()-1,'RAID Log'!$S:$S,0),"")</f>
        <v/>
      </c>
      <c r="C122" s="84" t="str">
        <f>IF($B122="","",IF(IFERROR(INDEX('RAID Log'!$1:$1048576,$B122,MATCH("Description",'RAID Log'!$1:$1,0)),"")="","",IFERROR(INDEX('RAID Log'!$1:$1048576,$B122,MATCH("Description",'RAID Log'!$1:$1,0)),"")))</f>
        <v/>
      </c>
      <c r="D122" s="84" t="str">
        <f>IF($B122="","",IF(IFERROR(INDEX('RAID Log'!$1:$1048576,$B122,MATCH("Impact/Effect of the RAID",'RAID Log'!$1:$1,0)),"")="","",IFERROR(INDEX('RAID Log'!$1:$1048576,$B122,MATCH("Impact/Effect of the RAID",'RAID Log'!$1:$1,0)),"")))</f>
        <v/>
      </c>
      <c r="E122" s="85" t="str">
        <f>IF($B122="","",IF(IFERROR(INDEX('RAID Log'!$1:$1048576,$B122,MATCH("Impact Area",'RAID Log'!$1:$1,0)),"")="","",IFERROR(INDEX('RAID Log'!$1:$1048576,$B122,MATCH("Impact Area",'RAID Log'!$1:$1,0)),"")))</f>
        <v/>
      </c>
      <c r="F122" s="85" t="str">
        <f>IF($B122="","",IF(IFERROR(INDEX('RAID Log'!$1:$1048576,$B122,MATCH("Impact Area",'RAID Log'!$1:$1,0)),"")="","",IFERROR(INDEX('RAID Log'!$1:$1048576,$B122,MATCH("Impact Area",'RAID Log'!$1:$1,0)),"")))</f>
        <v/>
      </c>
      <c r="G122" s="85" t="str">
        <f>IF($B122="","",IF(IFERROR(INDEX('RAID Log'!$1:$1048576,$B122,MATCH("Impact Rating",'RAID Log'!$1:$1,0)),"")="","",IFERROR(INDEX('RAID Log'!$1:$1048576,$B122,MATCH("Impact Rating",'RAID Log'!$1:$1,0)),"")))</f>
        <v/>
      </c>
      <c r="H122" s="85" t="str">
        <f>IF($B122="","",IF(IFERROR(INDEX('RAID Log'!$1:$1048576,$B122,MATCH("Initial Probability",'RAID Log'!$1:$1,0)),"")="","",IFERROR(INDEX('RAID Log'!$1:$1048576,$B122,MATCH("Initial Probability",'RAID Log'!$1:$1,0)),"")))</f>
        <v/>
      </c>
      <c r="I122" s="86" t="str">
        <f t="shared" si="3"/>
        <v/>
      </c>
      <c r="J122" s="85" t="str">
        <f t="shared" si="4"/>
        <v/>
      </c>
      <c r="K122" s="86" t="str">
        <f t="shared" si="5"/>
        <v/>
      </c>
      <c r="L122" s="85" t="str">
        <f>IF($B122="","",IF(IFERROR(INDEX('RAID Log'!$1:$1048576,$B122,MATCH("Status",'RAID Log'!$1:$1,0)),"")="","",IFERROR(INDEX('RAID Log'!$1:$1048576,$B122,MATCH("Status",'RAID Log'!$1:$1,0)),"")))</f>
        <v/>
      </c>
      <c r="M122" s="85" t="str">
        <f>IF($B122="","",IF(IFERROR(INDEX('RAID Log'!$1:$1048576,$B122,MATCH("RAID Owner",'RAID Log'!$1:$1,0)),"")="","",IFERROR(INDEX('RAID Log'!$1:$1048576,$B122,MATCH("RAID Owner",'RAID Log'!$1:$1,0)),"")))</f>
        <v/>
      </c>
      <c r="N122" s="87" t="str">
        <f>IF($B122="","",IF(IFERROR(INDEX('RAID Log'!$1:$1048576,$B122,MATCH("Date Raised",'RAID Log'!$1:$1,0)),"")="","",IFERROR(INDEX('RAID Log'!$1:$1048576,$B122,MATCH("Date Raised",'RAID Log'!$1:$1,0)),"")))</f>
        <v/>
      </c>
      <c r="O122" s="87" t="str">
        <f>IF($B122="","",IF(IFERROR(INDEX('RAID Log'!$1:$1048576,$B122,MATCH("Closed Date",'RAID Log'!$1:$1,0)),"")="","",IFERROR(INDEX('RAID Log'!$1:$1048576,$B122,MATCH("Closed Date",'RAID Log'!$1:$1,0)),"")))</f>
        <v/>
      </c>
      <c r="P122" s="85" t="str">
        <f>IF($B122="","",IF(IFERROR(INDEX('RAID Log'!$1:$1048576,$B122,MATCH("Mitigation Strategy",'RAID Log'!$1:$1,0)),"")="","",IFERROR(INDEX('RAID Log'!$1:$1048576,$B122,MATCH("Mitigation Strategy",'RAID Log'!$1:$1,0)),"")))</f>
        <v/>
      </c>
      <c r="Q122" s="88" t="str">
        <f>IF($B122="","",IF(IFERROR(INDEX('RAID Log'!$1:$1048576,$B122,MATCH("RAID Response/Plan",'RAID Log'!$1:$1,0)),"")="","",IFERROR(INDEX('RAID Log'!$1:$1048576,$B122,MATCH("RAID Response/Plan",'RAID Log'!$1:$1,0)),"")))</f>
        <v/>
      </c>
    </row>
    <row r="123" spans="1:17" ht="14.25" customHeight="1">
      <c r="A123" s="82" t="str">
        <f>IF($B123="","",IF(IFERROR(INDEX('RAID Log'!$1:$1048576,$B123,MATCH("RAID ID",'RAID Log'!$1:$1,0)),"")="","",IFERROR(INDEX('RAID Log'!$1:$1048576,$B123,MATCH("RAID ID",'RAID Log'!$1:$1,0)),"")))</f>
        <v/>
      </c>
      <c r="B123" s="83" t="str">
        <f>IFERROR(MATCH(ROW()-1,'RAID Log'!$S:$S,0),"")</f>
        <v/>
      </c>
      <c r="C123" s="84" t="str">
        <f>IF($B123="","",IF(IFERROR(INDEX('RAID Log'!$1:$1048576,$B123,MATCH("Description",'RAID Log'!$1:$1,0)),"")="","",IFERROR(INDEX('RAID Log'!$1:$1048576,$B123,MATCH("Description",'RAID Log'!$1:$1,0)),"")))</f>
        <v/>
      </c>
      <c r="D123" s="84" t="str">
        <f>IF($B123="","",IF(IFERROR(INDEX('RAID Log'!$1:$1048576,$B123,MATCH("Impact/Effect of the RAID",'RAID Log'!$1:$1,0)),"")="","",IFERROR(INDEX('RAID Log'!$1:$1048576,$B123,MATCH("Impact/Effect of the RAID",'RAID Log'!$1:$1,0)),"")))</f>
        <v/>
      </c>
      <c r="E123" s="85" t="str">
        <f>IF($B123="","",IF(IFERROR(INDEX('RAID Log'!$1:$1048576,$B123,MATCH("Impact Area",'RAID Log'!$1:$1,0)),"")="","",IFERROR(INDEX('RAID Log'!$1:$1048576,$B123,MATCH("Impact Area",'RAID Log'!$1:$1,0)),"")))</f>
        <v/>
      </c>
      <c r="F123" s="85" t="str">
        <f>IF($B123="","",IF(IFERROR(INDEX('RAID Log'!$1:$1048576,$B123,MATCH("Impact Area",'RAID Log'!$1:$1,0)),"")="","",IFERROR(INDEX('RAID Log'!$1:$1048576,$B123,MATCH("Impact Area",'RAID Log'!$1:$1,0)),"")))</f>
        <v/>
      </c>
      <c r="G123" s="85" t="str">
        <f>IF($B123="","",IF(IFERROR(INDEX('RAID Log'!$1:$1048576,$B123,MATCH("Impact Rating",'RAID Log'!$1:$1,0)),"")="","",IFERROR(INDEX('RAID Log'!$1:$1048576,$B123,MATCH("Impact Rating",'RAID Log'!$1:$1,0)),"")))</f>
        <v/>
      </c>
      <c r="H123" s="85" t="str">
        <f>IF($B123="","",IF(IFERROR(INDEX('RAID Log'!$1:$1048576,$B123,MATCH("Initial Probability",'RAID Log'!$1:$1,0)),"")="","",IFERROR(INDEX('RAID Log'!$1:$1048576,$B123,MATCH("Initial Probability",'RAID Log'!$1:$1,0)),"")))</f>
        <v/>
      </c>
      <c r="I123" s="86" t="str">
        <f t="shared" si="3"/>
        <v/>
      </c>
      <c r="J123" s="85" t="str">
        <f t="shared" si="4"/>
        <v/>
      </c>
      <c r="K123" s="86" t="str">
        <f t="shared" si="5"/>
        <v/>
      </c>
      <c r="L123" s="85" t="str">
        <f>IF($B123="","",IF(IFERROR(INDEX('RAID Log'!$1:$1048576,$B123,MATCH("Status",'RAID Log'!$1:$1,0)),"")="","",IFERROR(INDEX('RAID Log'!$1:$1048576,$B123,MATCH("Status",'RAID Log'!$1:$1,0)),"")))</f>
        <v/>
      </c>
      <c r="M123" s="85" t="str">
        <f>IF($B123="","",IF(IFERROR(INDEX('RAID Log'!$1:$1048576,$B123,MATCH("RAID Owner",'RAID Log'!$1:$1,0)),"")="","",IFERROR(INDEX('RAID Log'!$1:$1048576,$B123,MATCH("RAID Owner",'RAID Log'!$1:$1,0)),"")))</f>
        <v/>
      </c>
      <c r="N123" s="87" t="str">
        <f>IF($B123="","",IF(IFERROR(INDEX('RAID Log'!$1:$1048576,$B123,MATCH("Date Raised",'RAID Log'!$1:$1,0)),"")="","",IFERROR(INDEX('RAID Log'!$1:$1048576,$B123,MATCH("Date Raised",'RAID Log'!$1:$1,0)),"")))</f>
        <v/>
      </c>
      <c r="O123" s="87" t="str">
        <f>IF($B123="","",IF(IFERROR(INDEX('RAID Log'!$1:$1048576,$B123,MATCH("Closed Date",'RAID Log'!$1:$1,0)),"")="","",IFERROR(INDEX('RAID Log'!$1:$1048576,$B123,MATCH("Closed Date",'RAID Log'!$1:$1,0)),"")))</f>
        <v/>
      </c>
      <c r="P123" s="85" t="str">
        <f>IF($B123="","",IF(IFERROR(INDEX('RAID Log'!$1:$1048576,$B123,MATCH("Mitigation Strategy",'RAID Log'!$1:$1,0)),"")="","",IFERROR(INDEX('RAID Log'!$1:$1048576,$B123,MATCH("Mitigation Strategy",'RAID Log'!$1:$1,0)),"")))</f>
        <v/>
      </c>
      <c r="Q123" s="88" t="str">
        <f>IF($B123="","",IF(IFERROR(INDEX('RAID Log'!$1:$1048576,$B123,MATCH("RAID Response/Plan",'RAID Log'!$1:$1,0)),"")="","",IFERROR(INDEX('RAID Log'!$1:$1048576,$B123,MATCH("RAID Response/Plan",'RAID Log'!$1:$1,0)),"")))</f>
        <v/>
      </c>
    </row>
    <row r="124" spans="1:17" ht="14.25" customHeight="1">
      <c r="A124" s="82" t="str">
        <f>IF($B124="","",IF(IFERROR(INDEX('RAID Log'!$1:$1048576,$B124,MATCH("RAID ID",'RAID Log'!$1:$1,0)),"")="","",IFERROR(INDEX('RAID Log'!$1:$1048576,$B124,MATCH("RAID ID",'RAID Log'!$1:$1,0)),"")))</f>
        <v/>
      </c>
      <c r="B124" s="83" t="str">
        <f>IFERROR(MATCH(ROW()-1,'RAID Log'!$S:$S,0),"")</f>
        <v/>
      </c>
      <c r="C124" s="84" t="str">
        <f>IF($B124="","",IF(IFERROR(INDEX('RAID Log'!$1:$1048576,$B124,MATCH("Description",'RAID Log'!$1:$1,0)),"")="","",IFERROR(INDEX('RAID Log'!$1:$1048576,$B124,MATCH("Description",'RAID Log'!$1:$1,0)),"")))</f>
        <v/>
      </c>
      <c r="D124" s="84" t="str">
        <f>IF($B124="","",IF(IFERROR(INDEX('RAID Log'!$1:$1048576,$B124,MATCH("Impact/Effect of the RAID",'RAID Log'!$1:$1,0)),"")="","",IFERROR(INDEX('RAID Log'!$1:$1048576,$B124,MATCH("Impact/Effect of the RAID",'RAID Log'!$1:$1,0)),"")))</f>
        <v/>
      </c>
      <c r="E124" s="85" t="str">
        <f>IF($B124="","",IF(IFERROR(INDEX('RAID Log'!$1:$1048576,$B124,MATCH("Impact Area",'RAID Log'!$1:$1,0)),"")="","",IFERROR(INDEX('RAID Log'!$1:$1048576,$B124,MATCH("Impact Area",'RAID Log'!$1:$1,0)),"")))</f>
        <v/>
      </c>
      <c r="F124" s="85" t="str">
        <f>IF($B124="","",IF(IFERROR(INDEX('RAID Log'!$1:$1048576,$B124,MATCH("Impact Area",'RAID Log'!$1:$1,0)),"")="","",IFERROR(INDEX('RAID Log'!$1:$1048576,$B124,MATCH("Impact Area",'RAID Log'!$1:$1,0)),"")))</f>
        <v/>
      </c>
      <c r="G124" s="85" t="str">
        <f>IF($B124="","",IF(IFERROR(INDEX('RAID Log'!$1:$1048576,$B124,MATCH("Impact Rating",'RAID Log'!$1:$1,0)),"")="","",IFERROR(INDEX('RAID Log'!$1:$1048576,$B124,MATCH("Impact Rating",'RAID Log'!$1:$1,0)),"")))</f>
        <v/>
      </c>
      <c r="H124" s="85" t="str">
        <f>IF($B124="","",IF(IFERROR(INDEX('RAID Log'!$1:$1048576,$B124,MATCH("Initial Probability",'RAID Log'!$1:$1,0)),"")="","",IFERROR(INDEX('RAID Log'!$1:$1048576,$B124,MATCH("Initial Probability",'RAID Log'!$1:$1,0)),"")))</f>
        <v/>
      </c>
      <c r="I124" s="86" t="str">
        <f t="shared" si="3"/>
        <v/>
      </c>
      <c r="J124" s="85" t="str">
        <f t="shared" si="4"/>
        <v/>
      </c>
      <c r="K124" s="86" t="str">
        <f t="shared" si="5"/>
        <v/>
      </c>
      <c r="L124" s="85" t="str">
        <f>IF($B124="","",IF(IFERROR(INDEX('RAID Log'!$1:$1048576,$B124,MATCH("Status",'RAID Log'!$1:$1,0)),"")="","",IFERROR(INDEX('RAID Log'!$1:$1048576,$B124,MATCH("Status",'RAID Log'!$1:$1,0)),"")))</f>
        <v/>
      </c>
      <c r="M124" s="85" t="str">
        <f>IF($B124="","",IF(IFERROR(INDEX('RAID Log'!$1:$1048576,$B124,MATCH("RAID Owner",'RAID Log'!$1:$1,0)),"")="","",IFERROR(INDEX('RAID Log'!$1:$1048576,$B124,MATCH("RAID Owner",'RAID Log'!$1:$1,0)),"")))</f>
        <v/>
      </c>
      <c r="N124" s="87" t="str">
        <f>IF($B124="","",IF(IFERROR(INDEX('RAID Log'!$1:$1048576,$B124,MATCH("Date Raised",'RAID Log'!$1:$1,0)),"")="","",IFERROR(INDEX('RAID Log'!$1:$1048576,$B124,MATCH("Date Raised",'RAID Log'!$1:$1,0)),"")))</f>
        <v/>
      </c>
      <c r="O124" s="87" t="str">
        <f>IF($B124="","",IF(IFERROR(INDEX('RAID Log'!$1:$1048576,$B124,MATCH("Closed Date",'RAID Log'!$1:$1,0)),"")="","",IFERROR(INDEX('RAID Log'!$1:$1048576,$B124,MATCH("Closed Date",'RAID Log'!$1:$1,0)),"")))</f>
        <v/>
      </c>
      <c r="P124" s="85" t="str">
        <f>IF($B124="","",IF(IFERROR(INDEX('RAID Log'!$1:$1048576,$B124,MATCH("Mitigation Strategy",'RAID Log'!$1:$1,0)),"")="","",IFERROR(INDEX('RAID Log'!$1:$1048576,$B124,MATCH("Mitigation Strategy",'RAID Log'!$1:$1,0)),"")))</f>
        <v/>
      </c>
      <c r="Q124" s="88" t="str">
        <f>IF($B124="","",IF(IFERROR(INDEX('RAID Log'!$1:$1048576,$B124,MATCH("RAID Response/Plan",'RAID Log'!$1:$1,0)),"")="","",IFERROR(INDEX('RAID Log'!$1:$1048576,$B124,MATCH("RAID Response/Plan",'RAID Log'!$1:$1,0)),"")))</f>
        <v/>
      </c>
    </row>
    <row r="125" spans="1:17" ht="14.25" customHeight="1">
      <c r="A125" s="82" t="str">
        <f>IF($B125="","",IF(IFERROR(INDEX('RAID Log'!$1:$1048576,$B125,MATCH("RAID ID",'RAID Log'!$1:$1,0)),"")="","",IFERROR(INDEX('RAID Log'!$1:$1048576,$B125,MATCH("RAID ID",'RAID Log'!$1:$1,0)),"")))</f>
        <v/>
      </c>
      <c r="B125" s="83" t="str">
        <f>IFERROR(MATCH(ROW()-1,'RAID Log'!$S:$S,0),"")</f>
        <v/>
      </c>
      <c r="C125" s="84" t="str">
        <f>IF($B125="","",IF(IFERROR(INDEX('RAID Log'!$1:$1048576,$B125,MATCH("Description",'RAID Log'!$1:$1,0)),"")="","",IFERROR(INDEX('RAID Log'!$1:$1048576,$B125,MATCH("Description",'RAID Log'!$1:$1,0)),"")))</f>
        <v/>
      </c>
      <c r="D125" s="84" t="str">
        <f>IF($B125="","",IF(IFERROR(INDEX('RAID Log'!$1:$1048576,$B125,MATCH("Impact/Effect of the RAID",'RAID Log'!$1:$1,0)),"")="","",IFERROR(INDEX('RAID Log'!$1:$1048576,$B125,MATCH("Impact/Effect of the RAID",'RAID Log'!$1:$1,0)),"")))</f>
        <v/>
      </c>
      <c r="E125" s="85" t="str">
        <f>IF($B125="","",IF(IFERROR(INDEX('RAID Log'!$1:$1048576,$B125,MATCH("Impact Area",'RAID Log'!$1:$1,0)),"")="","",IFERROR(INDEX('RAID Log'!$1:$1048576,$B125,MATCH("Impact Area",'RAID Log'!$1:$1,0)),"")))</f>
        <v/>
      </c>
      <c r="F125" s="85" t="str">
        <f>IF($B125="","",IF(IFERROR(INDEX('RAID Log'!$1:$1048576,$B125,MATCH("Impact Area",'RAID Log'!$1:$1,0)),"")="","",IFERROR(INDEX('RAID Log'!$1:$1048576,$B125,MATCH("Impact Area",'RAID Log'!$1:$1,0)),"")))</f>
        <v/>
      </c>
      <c r="G125" s="85" t="str">
        <f>IF($B125="","",IF(IFERROR(INDEX('RAID Log'!$1:$1048576,$B125,MATCH("Impact Rating",'RAID Log'!$1:$1,0)),"")="","",IFERROR(INDEX('RAID Log'!$1:$1048576,$B125,MATCH("Impact Rating",'RAID Log'!$1:$1,0)),"")))</f>
        <v/>
      </c>
      <c r="H125" s="85" t="str">
        <f>IF($B125="","",IF(IFERROR(INDEX('RAID Log'!$1:$1048576,$B125,MATCH("Initial Probability",'RAID Log'!$1:$1,0)),"")="","",IFERROR(INDEX('RAID Log'!$1:$1048576,$B125,MATCH("Initial Probability",'RAID Log'!$1:$1,0)),"")))</f>
        <v/>
      </c>
      <c r="I125" s="86" t="str">
        <f t="shared" si="3"/>
        <v/>
      </c>
      <c r="J125" s="85" t="str">
        <f t="shared" si="4"/>
        <v/>
      </c>
      <c r="K125" s="86" t="str">
        <f t="shared" si="5"/>
        <v/>
      </c>
      <c r="L125" s="85" t="str">
        <f>IF($B125="","",IF(IFERROR(INDEX('RAID Log'!$1:$1048576,$B125,MATCH("Status",'RAID Log'!$1:$1,0)),"")="","",IFERROR(INDEX('RAID Log'!$1:$1048576,$B125,MATCH("Status",'RAID Log'!$1:$1,0)),"")))</f>
        <v/>
      </c>
      <c r="M125" s="85" t="str">
        <f>IF($B125="","",IF(IFERROR(INDEX('RAID Log'!$1:$1048576,$B125,MATCH("RAID Owner",'RAID Log'!$1:$1,0)),"")="","",IFERROR(INDEX('RAID Log'!$1:$1048576,$B125,MATCH("RAID Owner",'RAID Log'!$1:$1,0)),"")))</f>
        <v/>
      </c>
      <c r="N125" s="87" t="str">
        <f>IF($B125="","",IF(IFERROR(INDEX('RAID Log'!$1:$1048576,$B125,MATCH("Date Raised",'RAID Log'!$1:$1,0)),"")="","",IFERROR(INDEX('RAID Log'!$1:$1048576,$B125,MATCH("Date Raised",'RAID Log'!$1:$1,0)),"")))</f>
        <v/>
      </c>
      <c r="O125" s="87" t="str">
        <f>IF($B125="","",IF(IFERROR(INDEX('RAID Log'!$1:$1048576,$B125,MATCH("Closed Date",'RAID Log'!$1:$1,0)),"")="","",IFERROR(INDEX('RAID Log'!$1:$1048576,$B125,MATCH("Closed Date",'RAID Log'!$1:$1,0)),"")))</f>
        <v/>
      </c>
      <c r="P125" s="85" t="str">
        <f>IF($B125="","",IF(IFERROR(INDEX('RAID Log'!$1:$1048576,$B125,MATCH("Mitigation Strategy",'RAID Log'!$1:$1,0)),"")="","",IFERROR(INDEX('RAID Log'!$1:$1048576,$B125,MATCH("Mitigation Strategy",'RAID Log'!$1:$1,0)),"")))</f>
        <v/>
      </c>
      <c r="Q125" s="88" t="str">
        <f>IF($B125="","",IF(IFERROR(INDEX('RAID Log'!$1:$1048576,$B125,MATCH("RAID Response/Plan",'RAID Log'!$1:$1,0)),"")="","",IFERROR(INDEX('RAID Log'!$1:$1048576,$B125,MATCH("RAID Response/Plan",'RAID Log'!$1:$1,0)),"")))</f>
        <v/>
      </c>
    </row>
    <row r="126" spans="1:17" ht="14.25" customHeight="1">
      <c r="A126" s="82" t="str">
        <f>IF($B126="","",IF(IFERROR(INDEX('RAID Log'!$1:$1048576,$B126,MATCH("RAID ID",'RAID Log'!$1:$1,0)),"")="","",IFERROR(INDEX('RAID Log'!$1:$1048576,$B126,MATCH("RAID ID",'RAID Log'!$1:$1,0)),"")))</f>
        <v/>
      </c>
      <c r="B126" s="83" t="str">
        <f>IFERROR(MATCH(ROW()-1,'RAID Log'!$S:$S,0),"")</f>
        <v/>
      </c>
      <c r="C126" s="84" t="str">
        <f>IF($B126="","",IF(IFERROR(INDEX('RAID Log'!$1:$1048576,$B126,MATCH("Description",'RAID Log'!$1:$1,0)),"")="","",IFERROR(INDEX('RAID Log'!$1:$1048576,$B126,MATCH("Description",'RAID Log'!$1:$1,0)),"")))</f>
        <v/>
      </c>
      <c r="D126" s="84" t="str">
        <f>IF($B126="","",IF(IFERROR(INDEX('RAID Log'!$1:$1048576,$B126,MATCH("Impact/Effect of the RAID",'RAID Log'!$1:$1,0)),"")="","",IFERROR(INDEX('RAID Log'!$1:$1048576,$B126,MATCH("Impact/Effect of the RAID",'RAID Log'!$1:$1,0)),"")))</f>
        <v/>
      </c>
      <c r="E126" s="85" t="str">
        <f>IF($B126="","",IF(IFERROR(INDEX('RAID Log'!$1:$1048576,$B126,MATCH("Impact Area",'RAID Log'!$1:$1,0)),"")="","",IFERROR(INDEX('RAID Log'!$1:$1048576,$B126,MATCH("Impact Area",'RAID Log'!$1:$1,0)),"")))</f>
        <v/>
      </c>
      <c r="F126" s="85" t="str">
        <f>IF($B126="","",IF(IFERROR(INDEX('RAID Log'!$1:$1048576,$B126,MATCH("Impact Area",'RAID Log'!$1:$1,0)),"")="","",IFERROR(INDEX('RAID Log'!$1:$1048576,$B126,MATCH("Impact Area",'RAID Log'!$1:$1,0)),"")))</f>
        <v/>
      </c>
      <c r="G126" s="85" t="str">
        <f>IF($B126="","",IF(IFERROR(INDEX('RAID Log'!$1:$1048576,$B126,MATCH("Impact Rating",'RAID Log'!$1:$1,0)),"")="","",IFERROR(INDEX('RAID Log'!$1:$1048576,$B126,MATCH("Impact Rating",'RAID Log'!$1:$1,0)),"")))</f>
        <v/>
      </c>
      <c r="H126" s="85" t="str">
        <f>IF($B126="","",IF(IFERROR(INDEX('RAID Log'!$1:$1048576,$B126,MATCH("Initial Probability",'RAID Log'!$1:$1,0)),"")="","",IFERROR(INDEX('RAID Log'!$1:$1048576,$B126,MATCH("Initial Probability",'RAID Log'!$1:$1,0)),"")))</f>
        <v/>
      </c>
      <c r="I126" s="86" t="str">
        <f t="shared" si="3"/>
        <v/>
      </c>
      <c r="J126" s="85" t="str">
        <f t="shared" si="4"/>
        <v/>
      </c>
      <c r="K126" s="86" t="str">
        <f t="shared" si="5"/>
        <v/>
      </c>
      <c r="L126" s="85" t="str">
        <f>IF($B126="","",IF(IFERROR(INDEX('RAID Log'!$1:$1048576,$B126,MATCH("Status",'RAID Log'!$1:$1,0)),"")="","",IFERROR(INDEX('RAID Log'!$1:$1048576,$B126,MATCH("Status",'RAID Log'!$1:$1,0)),"")))</f>
        <v/>
      </c>
      <c r="M126" s="85" t="str">
        <f>IF($B126="","",IF(IFERROR(INDEX('RAID Log'!$1:$1048576,$B126,MATCH("RAID Owner",'RAID Log'!$1:$1,0)),"")="","",IFERROR(INDEX('RAID Log'!$1:$1048576,$B126,MATCH("RAID Owner",'RAID Log'!$1:$1,0)),"")))</f>
        <v/>
      </c>
      <c r="N126" s="87" t="str">
        <f>IF($B126="","",IF(IFERROR(INDEX('RAID Log'!$1:$1048576,$B126,MATCH("Date Raised",'RAID Log'!$1:$1,0)),"")="","",IFERROR(INDEX('RAID Log'!$1:$1048576,$B126,MATCH("Date Raised",'RAID Log'!$1:$1,0)),"")))</f>
        <v/>
      </c>
      <c r="O126" s="87" t="str">
        <f>IF($B126="","",IF(IFERROR(INDEX('RAID Log'!$1:$1048576,$B126,MATCH("Closed Date",'RAID Log'!$1:$1,0)),"")="","",IFERROR(INDEX('RAID Log'!$1:$1048576,$B126,MATCH("Closed Date",'RAID Log'!$1:$1,0)),"")))</f>
        <v/>
      </c>
      <c r="P126" s="85" t="str">
        <f>IF($B126="","",IF(IFERROR(INDEX('RAID Log'!$1:$1048576,$B126,MATCH("Mitigation Strategy",'RAID Log'!$1:$1,0)),"")="","",IFERROR(INDEX('RAID Log'!$1:$1048576,$B126,MATCH("Mitigation Strategy",'RAID Log'!$1:$1,0)),"")))</f>
        <v/>
      </c>
      <c r="Q126" s="88" t="str">
        <f>IF($B126="","",IF(IFERROR(INDEX('RAID Log'!$1:$1048576,$B126,MATCH("RAID Response/Plan",'RAID Log'!$1:$1,0)),"")="","",IFERROR(INDEX('RAID Log'!$1:$1048576,$B126,MATCH("RAID Response/Plan",'RAID Log'!$1:$1,0)),"")))</f>
        <v/>
      </c>
    </row>
    <row r="127" spans="1:17" ht="14.25" customHeight="1">
      <c r="A127" s="82" t="str">
        <f>IF($B127="","",IF(IFERROR(INDEX('RAID Log'!$1:$1048576,$B127,MATCH("RAID ID",'RAID Log'!$1:$1,0)),"")="","",IFERROR(INDEX('RAID Log'!$1:$1048576,$B127,MATCH("RAID ID",'RAID Log'!$1:$1,0)),"")))</f>
        <v/>
      </c>
      <c r="B127" s="83" t="str">
        <f>IFERROR(MATCH(ROW()-1,'RAID Log'!$S:$S,0),"")</f>
        <v/>
      </c>
      <c r="C127" s="84" t="str">
        <f>IF($B127="","",IF(IFERROR(INDEX('RAID Log'!$1:$1048576,$B127,MATCH("Description",'RAID Log'!$1:$1,0)),"")="","",IFERROR(INDEX('RAID Log'!$1:$1048576,$B127,MATCH("Description",'RAID Log'!$1:$1,0)),"")))</f>
        <v/>
      </c>
      <c r="D127" s="84" t="str">
        <f>IF($B127="","",IF(IFERROR(INDEX('RAID Log'!$1:$1048576,$B127,MATCH("Impact/Effect of the RAID",'RAID Log'!$1:$1,0)),"")="","",IFERROR(INDEX('RAID Log'!$1:$1048576,$B127,MATCH("Impact/Effect of the RAID",'RAID Log'!$1:$1,0)),"")))</f>
        <v/>
      </c>
      <c r="E127" s="85" t="str">
        <f>IF($B127="","",IF(IFERROR(INDEX('RAID Log'!$1:$1048576,$B127,MATCH("Impact Area",'RAID Log'!$1:$1,0)),"")="","",IFERROR(INDEX('RAID Log'!$1:$1048576,$B127,MATCH("Impact Area",'RAID Log'!$1:$1,0)),"")))</f>
        <v/>
      </c>
      <c r="F127" s="85" t="str">
        <f>IF($B127="","",IF(IFERROR(INDEX('RAID Log'!$1:$1048576,$B127,MATCH("Impact Area",'RAID Log'!$1:$1,0)),"")="","",IFERROR(INDEX('RAID Log'!$1:$1048576,$B127,MATCH("Impact Area",'RAID Log'!$1:$1,0)),"")))</f>
        <v/>
      </c>
      <c r="G127" s="85" t="str">
        <f>IF($B127="","",IF(IFERROR(INDEX('RAID Log'!$1:$1048576,$B127,MATCH("Impact Rating",'RAID Log'!$1:$1,0)),"")="","",IFERROR(INDEX('RAID Log'!$1:$1048576,$B127,MATCH("Impact Rating",'RAID Log'!$1:$1,0)),"")))</f>
        <v/>
      </c>
      <c r="H127" s="85" t="str">
        <f>IF($B127="","",IF(IFERROR(INDEX('RAID Log'!$1:$1048576,$B127,MATCH("Initial Probability",'RAID Log'!$1:$1,0)),"")="","",IFERROR(INDEX('RAID Log'!$1:$1048576,$B127,MATCH("Initial Probability",'RAID Log'!$1:$1,0)),"")))</f>
        <v/>
      </c>
      <c r="I127" s="86" t="str">
        <f t="shared" si="3"/>
        <v/>
      </c>
      <c r="J127" s="85" t="str">
        <f t="shared" si="4"/>
        <v/>
      </c>
      <c r="K127" s="86" t="str">
        <f t="shared" si="5"/>
        <v/>
      </c>
      <c r="L127" s="85" t="str">
        <f>IF($B127="","",IF(IFERROR(INDEX('RAID Log'!$1:$1048576,$B127,MATCH("Status",'RAID Log'!$1:$1,0)),"")="","",IFERROR(INDEX('RAID Log'!$1:$1048576,$B127,MATCH("Status",'RAID Log'!$1:$1,0)),"")))</f>
        <v/>
      </c>
      <c r="M127" s="85" t="str">
        <f>IF($B127="","",IF(IFERROR(INDEX('RAID Log'!$1:$1048576,$B127,MATCH("RAID Owner",'RAID Log'!$1:$1,0)),"")="","",IFERROR(INDEX('RAID Log'!$1:$1048576,$B127,MATCH("RAID Owner",'RAID Log'!$1:$1,0)),"")))</f>
        <v/>
      </c>
      <c r="N127" s="87" t="str">
        <f>IF($B127="","",IF(IFERROR(INDEX('RAID Log'!$1:$1048576,$B127,MATCH("Date Raised",'RAID Log'!$1:$1,0)),"")="","",IFERROR(INDEX('RAID Log'!$1:$1048576,$B127,MATCH("Date Raised",'RAID Log'!$1:$1,0)),"")))</f>
        <v/>
      </c>
      <c r="O127" s="87" t="str">
        <f>IF($B127="","",IF(IFERROR(INDEX('RAID Log'!$1:$1048576,$B127,MATCH("Closed Date",'RAID Log'!$1:$1,0)),"")="","",IFERROR(INDEX('RAID Log'!$1:$1048576,$B127,MATCH("Closed Date",'RAID Log'!$1:$1,0)),"")))</f>
        <v/>
      </c>
      <c r="P127" s="85" t="str">
        <f>IF($B127="","",IF(IFERROR(INDEX('RAID Log'!$1:$1048576,$B127,MATCH("Mitigation Strategy",'RAID Log'!$1:$1,0)),"")="","",IFERROR(INDEX('RAID Log'!$1:$1048576,$B127,MATCH("Mitigation Strategy",'RAID Log'!$1:$1,0)),"")))</f>
        <v/>
      </c>
      <c r="Q127" s="88" t="str">
        <f>IF($B127="","",IF(IFERROR(INDEX('RAID Log'!$1:$1048576,$B127,MATCH("RAID Response/Plan",'RAID Log'!$1:$1,0)),"")="","",IFERROR(INDEX('RAID Log'!$1:$1048576,$B127,MATCH("RAID Response/Plan",'RAID Log'!$1:$1,0)),"")))</f>
        <v/>
      </c>
    </row>
    <row r="128" spans="1:17" ht="14.25" customHeight="1">
      <c r="A128" s="82" t="str">
        <f>IF($B128="","",IF(IFERROR(INDEX('RAID Log'!$1:$1048576,$B128,MATCH("RAID ID",'RAID Log'!$1:$1,0)),"")="","",IFERROR(INDEX('RAID Log'!$1:$1048576,$B128,MATCH("RAID ID",'RAID Log'!$1:$1,0)),"")))</f>
        <v/>
      </c>
      <c r="B128" s="83" t="str">
        <f>IFERROR(MATCH(ROW()-1,'RAID Log'!$S:$S,0),"")</f>
        <v/>
      </c>
      <c r="C128" s="84" t="str">
        <f>IF($B128="","",IF(IFERROR(INDEX('RAID Log'!$1:$1048576,$B128,MATCH("Description",'RAID Log'!$1:$1,0)),"")="","",IFERROR(INDEX('RAID Log'!$1:$1048576,$B128,MATCH("Description",'RAID Log'!$1:$1,0)),"")))</f>
        <v/>
      </c>
      <c r="D128" s="84" t="str">
        <f>IF($B128="","",IF(IFERROR(INDEX('RAID Log'!$1:$1048576,$B128,MATCH("Impact/Effect of the RAID",'RAID Log'!$1:$1,0)),"")="","",IFERROR(INDEX('RAID Log'!$1:$1048576,$B128,MATCH("Impact/Effect of the RAID",'RAID Log'!$1:$1,0)),"")))</f>
        <v/>
      </c>
      <c r="E128" s="85" t="str">
        <f>IF($B128="","",IF(IFERROR(INDEX('RAID Log'!$1:$1048576,$B128,MATCH("Impact Area",'RAID Log'!$1:$1,0)),"")="","",IFERROR(INDEX('RAID Log'!$1:$1048576,$B128,MATCH("Impact Area",'RAID Log'!$1:$1,0)),"")))</f>
        <v/>
      </c>
      <c r="F128" s="85" t="str">
        <f>IF($B128="","",IF(IFERROR(INDEX('RAID Log'!$1:$1048576,$B128,MATCH("Impact Area",'RAID Log'!$1:$1,0)),"")="","",IFERROR(INDEX('RAID Log'!$1:$1048576,$B128,MATCH("Impact Area",'RAID Log'!$1:$1,0)),"")))</f>
        <v/>
      </c>
      <c r="G128" s="85" t="str">
        <f>IF($B128="","",IF(IFERROR(INDEX('RAID Log'!$1:$1048576,$B128,MATCH("Impact Rating",'RAID Log'!$1:$1,0)),"")="","",IFERROR(INDEX('RAID Log'!$1:$1048576,$B128,MATCH("Impact Rating",'RAID Log'!$1:$1,0)),"")))</f>
        <v/>
      </c>
      <c r="H128" s="85" t="str">
        <f>IF($B128="","",IF(IFERROR(INDEX('RAID Log'!$1:$1048576,$B128,MATCH("Initial Probability",'RAID Log'!$1:$1,0)),"")="","",IFERROR(INDEX('RAID Log'!$1:$1048576,$B128,MATCH("Initial Probability",'RAID Log'!$1:$1,0)),"")))</f>
        <v/>
      </c>
      <c r="I128" s="86" t="str">
        <f t="shared" si="3"/>
        <v/>
      </c>
      <c r="J128" s="85" t="str">
        <f t="shared" si="4"/>
        <v/>
      </c>
      <c r="K128" s="86" t="str">
        <f t="shared" si="5"/>
        <v/>
      </c>
      <c r="L128" s="85" t="str">
        <f>IF($B128="","",IF(IFERROR(INDEX('RAID Log'!$1:$1048576,$B128,MATCH("Status",'RAID Log'!$1:$1,0)),"")="","",IFERROR(INDEX('RAID Log'!$1:$1048576,$B128,MATCH("Status",'RAID Log'!$1:$1,0)),"")))</f>
        <v/>
      </c>
      <c r="M128" s="85" t="str">
        <f>IF($B128="","",IF(IFERROR(INDEX('RAID Log'!$1:$1048576,$B128,MATCH("RAID Owner",'RAID Log'!$1:$1,0)),"")="","",IFERROR(INDEX('RAID Log'!$1:$1048576,$B128,MATCH("RAID Owner",'RAID Log'!$1:$1,0)),"")))</f>
        <v/>
      </c>
      <c r="N128" s="87" t="str">
        <f>IF($B128="","",IF(IFERROR(INDEX('RAID Log'!$1:$1048576,$B128,MATCH("Date Raised",'RAID Log'!$1:$1,0)),"")="","",IFERROR(INDEX('RAID Log'!$1:$1048576,$B128,MATCH("Date Raised",'RAID Log'!$1:$1,0)),"")))</f>
        <v/>
      </c>
      <c r="O128" s="87" t="str">
        <f>IF($B128="","",IF(IFERROR(INDEX('RAID Log'!$1:$1048576,$B128,MATCH("Closed Date",'RAID Log'!$1:$1,0)),"")="","",IFERROR(INDEX('RAID Log'!$1:$1048576,$B128,MATCH("Closed Date",'RAID Log'!$1:$1,0)),"")))</f>
        <v/>
      </c>
      <c r="P128" s="85" t="str">
        <f>IF($B128="","",IF(IFERROR(INDEX('RAID Log'!$1:$1048576,$B128,MATCH("Mitigation Strategy",'RAID Log'!$1:$1,0)),"")="","",IFERROR(INDEX('RAID Log'!$1:$1048576,$B128,MATCH("Mitigation Strategy",'RAID Log'!$1:$1,0)),"")))</f>
        <v/>
      </c>
      <c r="Q128" s="88" t="str">
        <f>IF($B128="","",IF(IFERROR(INDEX('RAID Log'!$1:$1048576,$B128,MATCH("RAID Response/Plan",'RAID Log'!$1:$1,0)),"")="","",IFERROR(INDEX('RAID Log'!$1:$1048576,$B128,MATCH("RAID Response/Plan",'RAID Log'!$1:$1,0)),"")))</f>
        <v/>
      </c>
    </row>
    <row r="129" spans="1:17" ht="14.25" customHeight="1">
      <c r="A129" s="82" t="str">
        <f>IF($B129="","",IF(IFERROR(INDEX('RAID Log'!$1:$1048576,$B129,MATCH("RAID ID",'RAID Log'!$1:$1,0)),"")="","",IFERROR(INDEX('RAID Log'!$1:$1048576,$B129,MATCH("RAID ID",'RAID Log'!$1:$1,0)),"")))</f>
        <v/>
      </c>
      <c r="B129" s="83" t="str">
        <f>IFERROR(MATCH(ROW()-1,'RAID Log'!$S:$S,0),"")</f>
        <v/>
      </c>
      <c r="C129" s="84" t="str">
        <f>IF($B129="","",IF(IFERROR(INDEX('RAID Log'!$1:$1048576,$B129,MATCH("Description",'RAID Log'!$1:$1,0)),"")="","",IFERROR(INDEX('RAID Log'!$1:$1048576,$B129,MATCH("Description",'RAID Log'!$1:$1,0)),"")))</f>
        <v/>
      </c>
      <c r="D129" s="84" t="str">
        <f>IF($B129="","",IF(IFERROR(INDEX('RAID Log'!$1:$1048576,$B129,MATCH("Impact/Effect of the RAID",'RAID Log'!$1:$1,0)),"")="","",IFERROR(INDEX('RAID Log'!$1:$1048576,$B129,MATCH("Impact/Effect of the RAID",'RAID Log'!$1:$1,0)),"")))</f>
        <v/>
      </c>
      <c r="E129" s="85" t="str">
        <f>IF($B129="","",IF(IFERROR(INDEX('RAID Log'!$1:$1048576,$B129,MATCH("Impact Area",'RAID Log'!$1:$1,0)),"")="","",IFERROR(INDEX('RAID Log'!$1:$1048576,$B129,MATCH("Impact Area",'RAID Log'!$1:$1,0)),"")))</f>
        <v/>
      </c>
      <c r="F129" s="85" t="str">
        <f>IF($B129="","",IF(IFERROR(INDEX('RAID Log'!$1:$1048576,$B129,MATCH("Impact Area",'RAID Log'!$1:$1,0)),"")="","",IFERROR(INDEX('RAID Log'!$1:$1048576,$B129,MATCH("Impact Area",'RAID Log'!$1:$1,0)),"")))</f>
        <v/>
      </c>
      <c r="G129" s="85" t="str">
        <f>IF($B129="","",IF(IFERROR(INDEX('RAID Log'!$1:$1048576,$B129,MATCH("Impact Rating",'RAID Log'!$1:$1,0)),"")="","",IFERROR(INDEX('RAID Log'!$1:$1048576,$B129,MATCH("Impact Rating",'RAID Log'!$1:$1,0)),"")))</f>
        <v/>
      </c>
      <c r="H129" s="85" t="str">
        <f>IF($B129="","",IF(IFERROR(INDEX('RAID Log'!$1:$1048576,$B129,MATCH("Initial Probability",'RAID Log'!$1:$1,0)),"")="","",IFERROR(INDEX('RAID Log'!$1:$1048576,$B129,MATCH("Initial Probability",'RAID Log'!$1:$1,0)),"")))</f>
        <v/>
      </c>
      <c r="I129" s="86" t="str">
        <f t="shared" si="3"/>
        <v/>
      </c>
      <c r="J129" s="85" t="str">
        <f t="shared" si="4"/>
        <v/>
      </c>
      <c r="K129" s="86" t="str">
        <f t="shared" si="5"/>
        <v/>
      </c>
      <c r="L129" s="85" t="str">
        <f>IF($B129="","",IF(IFERROR(INDEX('RAID Log'!$1:$1048576,$B129,MATCH("Status",'RAID Log'!$1:$1,0)),"")="","",IFERROR(INDEX('RAID Log'!$1:$1048576,$B129,MATCH("Status",'RAID Log'!$1:$1,0)),"")))</f>
        <v/>
      </c>
      <c r="M129" s="85" t="str">
        <f>IF($B129="","",IF(IFERROR(INDEX('RAID Log'!$1:$1048576,$B129,MATCH("RAID Owner",'RAID Log'!$1:$1,0)),"")="","",IFERROR(INDEX('RAID Log'!$1:$1048576,$B129,MATCH("RAID Owner",'RAID Log'!$1:$1,0)),"")))</f>
        <v/>
      </c>
      <c r="N129" s="87" t="str">
        <f>IF($B129="","",IF(IFERROR(INDEX('RAID Log'!$1:$1048576,$B129,MATCH("Date Raised",'RAID Log'!$1:$1,0)),"")="","",IFERROR(INDEX('RAID Log'!$1:$1048576,$B129,MATCH("Date Raised",'RAID Log'!$1:$1,0)),"")))</f>
        <v/>
      </c>
      <c r="O129" s="87" t="str">
        <f>IF($B129="","",IF(IFERROR(INDEX('RAID Log'!$1:$1048576,$B129,MATCH("Closed Date",'RAID Log'!$1:$1,0)),"")="","",IFERROR(INDEX('RAID Log'!$1:$1048576,$B129,MATCH("Closed Date",'RAID Log'!$1:$1,0)),"")))</f>
        <v/>
      </c>
      <c r="P129" s="85" t="str">
        <f>IF($B129="","",IF(IFERROR(INDEX('RAID Log'!$1:$1048576,$B129,MATCH("Mitigation Strategy",'RAID Log'!$1:$1,0)),"")="","",IFERROR(INDEX('RAID Log'!$1:$1048576,$B129,MATCH("Mitigation Strategy",'RAID Log'!$1:$1,0)),"")))</f>
        <v/>
      </c>
      <c r="Q129" s="88" t="str">
        <f>IF($B129="","",IF(IFERROR(INDEX('RAID Log'!$1:$1048576,$B129,MATCH("RAID Response/Plan",'RAID Log'!$1:$1,0)),"")="","",IFERROR(INDEX('RAID Log'!$1:$1048576,$B129,MATCH("RAID Response/Plan",'RAID Log'!$1:$1,0)),"")))</f>
        <v/>
      </c>
    </row>
    <row r="130" spans="1:17" ht="14.25" customHeight="1">
      <c r="A130" s="82" t="str">
        <f>IF($B130="","",IF(IFERROR(INDEX('RAID Log'!$1:$1048576,$B130,MATCH("RAID ID",'RAID Log'!$1:$1,0)),"")="","",IFERROR(INDEX('RAID Log'!$1:$1048576,$B130,MATCH("RAID ID",'RAID Log'!$1:$1,0)),"")))</f>
        <v/>
      </c>
      <c r="B130" s="83" t="str">
        <f>IFERROR(MATCH(ROW()-1,'RAID Log'!$S:$S,0),"")</f>
        <v/>
      </c>
      <c r="C130" s="84" t="str">
        <f>IF($B130="","",IF(IFERROR(INDEX('RAID Log'!$1:$1048576,$B130,MATCH("Description",'RAID Log'!$1:$1,0)),"")="","",IFERROR(INDEX('RAID Log'!$1:$1048576,$B130,MATCH("Description",'RAID Log'!$1:$1,0)),"")))</f>
        <v/>
      </c>
      <c r="D130" s="84" t="str">
        <f>IF($B130="","",IF(IFERROR(INDEX('RAID Log'!$1:$1048576,$B130,MATCH("Impact/Effect of the RAID",'RAID Log'!$1:$1,0)),"")="","",IFERROR(INDEX('RAID Log'!$1:$1048576,$B130,MATCH("Impact/Effect of the RAID",'RAID Log'!$1:$1,0)),"")))</f>
        <v/>
      </c>
      <c r="E130" s="85" t="str">
        <f>IF($B130="","",IF(IFERROR(INDEX('RAID Log'!$1:$1048576,$B130,MATCH("Impact Area",'RAID Log'!$1:$1,0)),"")="","",IFERROR(INDEX('RAID Log'!$1:$1048576,$B130,MATCH("Impact Area",'RAID Log'!$1:$1,0)),"")))</f>
        <v/>
      </c>
      <c r="F130" s="85" t="str">
        <f>IF($B130="","",IF(IFERROR(INDEX('RAID Log'!$1:$1048576,$B130,MATCH("Impact Area",'RAID Log'!$1:$1,0)),"")="","",IFERROR(INDEX('RAID Log'!$1:$1048576,$B130,MATCH("Impact Area",'RAID Log'!$1:$1,0)),"")))</f>
        <v/>
      </c>
      <c r="G130" s="85" t="str">
        <f>IF($B130="","",IF(IFERROR(INDEX('RAID Log'!$1:$1048576,$B130,MATCH("Impact Rating",'RAID Log'!$1:$1,0)),"")="","",IFERROR(INDEX('RAID Log'!$1:$1048576,$B130,MATCH("Impact Rating",'RAID Log'!$1:$1,0)),"")))</f>
        <v/>
      </c>
      <c r="H130" s="85" t="str">
        <f>IF($B130="","",IF(IFERROR(INDEX('RAID Log'!$1:$1048576,$B130,MATCH("Initial Probability",'RAID Log'!$1:$1,0)),"")="","",IFERROR(INDEX('RAID Log'!$1:$1048576,$B130,MATCH("Initial Probability",'RAID Log'!$1:$1,0)),"")))</f>
        <v/>
      </c>
      <c r="I130" s="86" t="str">
        <f t="shared" ref="I130:I193" si="6">IF($B130="","",(IF($G130="Severe",25,IF($G130="Major",20,IF($G130="Moderate",15,IF($G130="Minor",10,IF($G130="Insignificant",5,0))))))*IF($H130="Very High",1,IF($H130="High",0.8,IF($H130="Average",0.6,IF($H130="Low",0.4,IF($H130="Very Low",0.2,0))))))</f>
        <v/>
      </c>
      <c r="J130" s="85" t="str">
        <f t="shared" ref="J130:J193" si="7">IF($B130="","",IF($I130&gt;20,"Critical",IF($I130&gt;15,"High",IF($I130&gt;8,"Moderate",IF($I130&gt;3,"Tolerable","Negligible")))))</f>
        <v/>
      </c>
      <c r="K130" s="86" t="str">
        <f t="shared" ref="K130:K193" si="8">IF(OR($B130="",UPPER($L130)="CLOSED"),"",COUNTIFS($L$2:$L$880,"&lt;&gt;Closed",$I$2:$I$880,"&gt;"&amp;$I130)+COUNTIFS($L$2:$L$880,"&lt;&gt;Closed",$I$2:$I$880,$I130,$N$2:$N$880,"&lt;"&amp;$N130)+COUNTIFS($L$2:$L$880,"&lt;&gt;Closed",$I$2:$I$880,$I130,$N$2:$N$880,$N130,$B$2:$B$880,"&lt;"&amp;$B130)+1)</f>
        <v/>
      </c>
      <c r="L130" s="85" t="str">
        <f>IF($B130="","",IF(IFERROR(INDEX('RAID Log'!$1:$1048576,$B130,MATCH("Status",'RAID Log'!$1:$1,0)),"")="","",IFERROR(INDEX('RAID Log'!$1:$1048576,$B130,MATCH("Status",'RAID Log'!$1:$1,0)),"")))</f>
        <v/>
      </c>
      <c r="M130" s="85" t="str">
        <f>IF($B130="","",IF(IFERROR(INDEX('RAID Log'!$1:$1048576,$B130,MATCH("RAID Owner",'RAID Log'!$1:$1,0)),"")="","",IFERROR(INDEX('RAID Log'!$1:$1048576,$B130,MATCH("RAID Owner",'RAID Log'!$1:$1,0)),"")))</f>
        <v/>
      </c>
      <c r="N130" s="87" t="str">
        <f>IF($B130="","",IF(IFERROR(INDEX('RAID Log'!$1:$1048576,$B130,MATCH("Date Raised",'RAID Log'!$1:$1,0)),"")="","",IFERROR(INDEX('RAID Log'!$1:$1048576,$B130,MATCH("Date Raised",'RAID Log'!$1:$1,0)),"")))</f>
        <v/>
      </c>
      <c r="O130" s="87" t="str">
        <f>IF($B130="","",IF(IFERROR(INDEX('RAID Log'!$1:$1048576,$B130,MATCH("Closed Date",'RAID Log'!$1:$1,0)),"")="","",IFERROR(INDEX('RAID Log'!$1:$1048576,$B130,MATCH("Closed Date",'RAID Log'!$1:$1,0)),"")))</f>
        <v/>
      </c>
      <c r="P130" s="85" t="str">
        <f>IF($B130="","",IF(IFERROR(INDEX('RAID Log'!$1:$1048576,$B130,MATCH("Mitigation Strategy",'RAID Log'!$1:$1,0)),"")="","",IFERROR(INDEX('RAID Log'!$1:$1048576,$B130,MATCH("Mitigation Strategy",'RAID Log'!$1:$1,0)),"")))</f>
        <v/>
      </c>
      <c r="Q130" s="88" t="str">
        <f>IF($B130="","",IF(IFERROR(INDEX('RAID Log'!$1:$1048576,$B130,MATCH("RAID Response/Plan",'RAID Log'!$1:$1,0)),"")="","",IFERROR(INDEX('RAID Log'!$1:$1048576,$B130,MATCH("RAID Response/Plan",'RAID Log'!$1:$1,0)),"")))</f>
        <v/>
      </c>
    </row>
    <row r="131" spans="1:17" ht="14.25" customHeight="1">
      <c r="A131" s="82" t="str">
        <f>IF($B131="","",IF(IFERROR(INDEX('RAID Log'!$1:$1048576,$B131,MATCH("RAID ID",'RAID Log'!$1:$1,0)),"")="","",IFERROR(INDEX('RAID Log'!$1:$1048576,$B131,MATCH("RAID ID",'RAID Log'!$1:$1,0)),"")))</f>
        <v/>
      </c>
      <c r="B131" s="83" t="str">
        <f>IFERROR(MATCH(ROW()-1,'RAID Log'!$S:$S,0),"")</f>
        <v/>
      </c>
      <c r="C131" s="84" t="str">
        <f>IF($B131="","",IF(IFERROR(INDEX('RAID Log'!$1:$1048576,$B131,MATCH("Description",'RAID Log'!$1:$1,0)),"")="","",IFERROR(INDEX('RAID Log'!$1:$1048576,$B131,MATCH("Description",'RAID Log'!$1:$1,0)),"")))</f>
        <v/>
      </c>
      <c r="D131" s="84" t="str">
        <f>IF($B131="","",IF(IFERROR(INDEX('RAID Log'!$1:$1048576,$B131,MATCH("Impact/Effect of the RAID",'RAID Log'!$1:$1,0)),"")="","",IFERROR(INDEX('RAID Log'!$1:$1048576,$B131,MATCH("Impact/Effect of the RAID",'RAID Log'!$1:$1,0)),"")))</f>
        <v/>
      </c>
      <c r="E131" s="85" t="str">
        <f>IF($B131="","",IF(IFERROR(INDEX('RAID Log'!$1:$1048576,$B131,MATCH("Impact Area",'RAID Log'!$1:$1,0)),"")="","",IFERROR(INDEX('RAID Log'!$1:$1048576,$B131,MATCH("Impact Area",'RAID Log'!$1:$1,0)),"")))</f>
        <v/>
      </c>
      <c r="F131" s="85" t="str">
        <f>IF($B131="","",IF(IFERROR(INDEX('RAID Log'!$1:$1048576,$B131,MATCH("Impact Area",'RAID Log'!$1:$1,0)),"")="","",IFERROR(INDEX('RAID Log'!$1:$1048576,$B131,MATCH("Impact Area",'RAID Log'!$1:$1,0)),"")))</f>
        <v/>
      </c>
      <c r="G131" s="85" t="str">
        <f>IF($B131="","",IF(IFERROR(INDEX('RAID Log'!$1:$1048576,$B131,MATCH("Impact Rating",'RAID Log'!$1:$1,0)),"")="","",IFERROR(INDEX('RAID Log'!$1:$1048576,$B131,MATCH("Impact Rating",'RAID Log'!$1:$1,0)),"")))</f>
        <v/>
      </c>
      <c r="H131" s="85" t="str">
        <f>IF($B131="","",IF(IFERROR(INDEX('RAID Log'!$1:$1048576,$B131,MATCH("Initial Probability",'RAID Log'!$1:$1,0)),"")="","",IFERROR(INDEX('RAID Log'!$1:$1048576,$B131,MATCH("Initial Probability",'RAID Log'!$1:$1,0)),"")))</f>
        <v/>
      </c>
      <c r="I131" s="86" t="str">
        <f t="shared" si="6"/>
        <v/>
      </c>
      <c r="J131" s="85" t="str">
        <f t="shared" si="7"/>
        <v/>
      </c>
      <c r="K131" s="86" t="str">
        <f t="shared" si="8"/>
        <v/>
      </c>
      <c r="L131" s="85" t="str">
        <f>IF($B131="","",IF(IFERROR(INDEX('RAID Log'!$1:$1048576,$B131,MATCH("Status",'RAID Log'!$1:$1,0)),"")="","",IFERROR(INDEX('RAID Log'!$1:$1048576,$B131,MATCH("Status",'RAID Log'!$1:$1,0)),"")))</f>
        <v/>
      </c>
      <c r="M131" s="85" t="str">
        <f>IF($B131="","",IF(IFERROR(INDEX('RAID Log'!$1:$1048576,$B131,MATCH("RAID Owner",'RAID Log'!$1:$1,0)),"")="","",IFERROR(INDEX('RAID Log'!$1:$1048576,$B131,MATCH("RAID Owner",'RAID Log'!$1:$1,0)),"")))</f>
        <v/>
      </c>
      <c r="N131" s="87" t="str">
        <f>IF($B131="","",IF(IFERROR(INDEX('RAID Log'!$1:$1048576,$B131,MATCH("Date Raised",'RAID Log'!$1:$1,0)),"")="","",IFERROR(INDEX('RAID Log'!$1:$1048576,$B131,MATCH("Date Raised",'RAID Log'!$1:$1,0)),"")))</f>
        <v/>
      </c>
      <c r="O131" s="87" t="str">
        <f>IF($B131="","",IF(IFERROR(INDEX('RAID Log'!$1:$1048576,$B131,MATCH("Closed Date",'RAID Log'!$1:$1,0)),"")="","",IFERROR(INDEX('RAID Log'!$1:$1048576,$B131,MATCH("Closed Date",'RAID Log'!$1:$1,0)),"")))</f>
        <v/>
      </c>
      <c r="P131" s="85" t="str">
        <f>IF($B131="","",IF(IFERROR(INDEX('RAID Log'!$1:$1048576,$B131,MATCH("Mitigation Strategy",'RAID Log'!$1:$1,0)),"")="","",IFERROR(INDEX('RAID Log'!$1:$1048576,$B131,MATCH("Mitigation Strategy",'RAID Log'!$1:$1,0)),"")))</f>
        <v/>
      </c>
      <c r="Q131" s="88" t="str">
        <f>IF($B131="","",IF(IFERROR(INDEX('RAID Log'!$1:$1048576,$B131,MATCH("RAID Response/Plan",'RAID Log'!$1:$1,0)),"")="","",IFERROR(INDEX('RAID Log'!$1:$1048576,$B131,MATCH("RAID Response/Plan",'RAID Log'!$1:$1,0)),"")))</f>
        <v/>
      </c>
    </row>
    <row r="132" spans="1:17" ht="14.25" customHeight="1">
      <c r="A132" s="82" t="str">
        <f>IF($B132="","",IF(IFERROR(INDEX('RAID Log'!$1:$1048576,$B132,MATCH("RAID ID",'RAID Log'!$1:$1,0)),"")="","",IFERROR(INDEX('RAID Log'!$1:$1048576,$B132,MATCH("RAID ID",'RAID Log'!$1:$1,0)),"")))</f>
        <v/>
      </c>
      <c r="B132" s="83" t="str">
        <f>IFERROR(MATCH(ROW()-1,'RAID Log'!$S:$S,0),"")</f>
        <v/>
      </c>
      <c r="C132" s="84" t="str">
        <f>IF($B132="","",IF(IFERROR(INDEX('RAID Log'!$1:$1048576,$B132,MATCH("Description",'RAID Log'!$1:$1,0)),"")="","",IFERROR(INDEX('RAID Log'!$1:$1048576,$B132,MATCH("Description",'RAID Log'!$1:$1,0)),"")))</f>
        <v/>
      </c>
      <c r="D132" s="84" t="str">
        <f>IF($B132="","",IF(IFERROR(INDEX('RAID Log'!$1:$1048576,$B132,MATCH("Impact/Effect of the RAID",'RAID Log'!$1:$1,0)),"")="","",IFERROR(INDEX('RAID Log'!$1:$1048576,$B132,MATCH("Impact/Effect of the RAID",'RAID Log'!$1:$1,0)),"")))</f>
        <v/>
      </c>
      <c r="E132" s="85" t="str">
        <f>IF($B132="","",IF(IFERROR(INDEX('RAID Log'!$1:$1048576,$B132,MATCH("Impact Area",'RAID Log'!$1:$1,0)),"")="","",IFERROR(INDEX('RAID Log'!$1:$1048576,$B132,MATCH("Impact Area",'RAID Log'!$1:$1,0)),"")))</f>
        <v/>
      </c>
      <c r="F132" s="85" t="str">
        <f>IF($B132="","",IF(IFERROR(INDEX('RAID Log'!$1:$1048576,$B132,MATCH("Impact Area",'RAID Log'!$1:$1,0)),"")="","",IFERROR(INDEX('RAID Log'!$1:$1048576,$B132,MATCH("Impact Area",'RAID Log'!$1:$1,0)),"")))</f>
        <v/>
      </c>
      <c r="G132" s="85" t="str">
        <f>IF($B132="","",IF(IFERROR(INDEX('RAID Log'!$1:$1048576,$B132,MATCH("Impact Rating",'RAID Log'!$1:$1,0)),"")="","",IFERROR(INDEX('RAID Log'!$1:$1048576,$B132,MATCH("Impact Rating",'RAID Log'!$1:$1,0)),"")))</f>
        <v/>
      </c>
      <c r="H132" s="85" t="str">
        <f>IF($B132="","",IF(IFERROR(INDEX('RAID Log'!$1:$1048576,$B132,MATCH("Initial Probability",'RAID Log'!$1:$1,0)),"")="","",IFERROR(INDEX('RAID Log'!$1:$1048576,$B132,MATCH("Initial Probability",'RAID Log'!$1:$1,0)),"")))</f>
        <v/>
      </c>
      <c r="I132" s="86" t="str">
        <f t="shared" si="6"/>
        <v/>
      </c>
      <c r="J132" s="85" t="str">
        <f t="shared" si="7"/>
        <v/>
      </c>
      <c r="K132" s="86" t="str">
        <f t="shared" si="8"/>
        <v/>
      </c>
      <c r="L132" s="85" t="str">
        <f>IF($B132="","",IF(IFERROR(INDEX('RAID Log'!$1:$1048576,$B132,MATCH("Status",'RAID Log'!$1:$1,0)),"")="","",IFERROR(INDEX('RAID Log'!$1:$1048576,$B132,MATCH("Status",'RAID Log'!$1:$1,0)),"")))</f>
        <v/>
      </c>
      <c r="M132" s="85" t="str">
        <f>IF($B132="","",IF(IFERROR(INDEX('RAID Log'!$1:$1048576,$B132,MATCH("RAID Owner",'RAID Log'!$1:$1,0)),"")="","",IFERROR(INDEX('RAID Log'!$1:$1048576,$B132,MATCH("RAID Owner",'RAID Log'!$1:$1,0)),"")))</f>
        <v/>
      </c>
      <c r="N132" s="87" t="str">
        <f>IF($B132="","",IF(IFERROR(INDEX('RAID Log'!$1:$1048576,$B132,MATCH("Date Raised",'RAID Log'!$1:$1,0)),"")="","",IFERROR(INDEX('RAID Log'!$1:$1048576,$B132,MATCH("Date Raised",'RAID Log'!$1:$1,0)),"")))</f>
        <v/>
      </c>
      <c r="O132" s="87" t="str">
        <f>IF($B132="","",IF(IFERROR(INDEX('RAID Log'!$1:$1048576,$B132,MATCH("Closed Date",'RAID Log'!$1:$1,0)),"")="","",IFERROR(INDEX('RAID Log'!$1:$1048576,$B132,MATCH("Closed Date",'RAID Log'!$1:$1,0)),"")))</f>
        <v/>
      </c>
      <c r="P132" s="85" t="str">
        <f>IF($B132="","",IF(IFERROR(INDEX('RAID Log'!$1:$1048576,$B132,MATCH("Mitigation Strategy",'RAID Log'!$1:$1,0)),"")="","",IFERROR(INDEX('RAID Log'!$1:$1048576,$B132,MATCH("Mitigation Strategy",'RAID Log'!$1:$1,0)),"")))</f>
        <v/>
      </c>
      <c r="Q132" s="88" t="str">
        <f>IF($B132="","",IF(IFERROR(INDEX('RAID Log'!$1:$1048576,$B132,MATCH("RAID Response/Plan",'RAID Log'!$1:$1,0)),"")="","",IFERROR(INDEX('RAID Log'!$1:$1048576,$B132,MATCH("RAID Response/Plan",'RAID Log'!$1:$1,0)),"")))</f>
        <v/>
      </c>
    </row>
    <row r="133" spans="1:17" ht="14.25" customHeight="1">
      <c r="A133" s="82" t="str">
        <f>IF($B133="","",IF(IFERROR(INDEX('RAID Log'!$1:$1048576,$B133,MATCH("RAID ID",'RAID Log'!$1:$1,0)),"")="","",IFERROR(INDEX('RAID Log'!$1:$1048576,$B133,MATCH("RAID ID",'RAID Log'!$1:$1,0)),"")))</f>
        <v/>
      </c>
      <c r="B133" s="83" t="str">
        <f>IFERROR(MATCH(ROW()-1,'RAID Log'!$S:$S,0),"")</f>
        <v/>
      </c>
      <c r="C133" s="84" t="str">
        <f>IF($B133="","",IF(IFERROR(INDEX('RAID Log'!$1:$1048576,$B133,MATCH("Description",'RAID Log'!$1:$1,0)),"")="","",IFERROR(INDEX('RAID Log'!$1:$1048576,$B133,MATCH("Description",'RAID Log'!$1:$1,0)),"")))</f>
        <v/>
      </c>
      <c r="D133" s="84" t="str">
        <f>IF($B133="","",IF(IFERROR(INDEX('RAID Log'!$1:$1048576,$B133,MATCH("Impact/Effect of the RAID",'RAID Log'!$1:$1,0)),"")="","",IFERROR(INDEX('RAID Log'!$1:$1048576,$B133,MATCH("Impact/Effect of the RAID",'RAID Log'!$1:$1,0)),"")))</f>
        <v/>
      </c>
      <c r="E133" s="85" t="str">
        <f>IF($B133="","",IF(IFERROR(INDEX('RAID Log'!$1:$1048576,$B133,MATCH("Impact Area",'RAID Log'!$1:$1,0)),"")="","",IFERROR(INDEX('RAID Log'!$1:$1048576,$B133,MATCH("Impact Area",'RAID Log'!$1:$1,0)),"")))</f>
        <v/>
      </c>
      <c r="F133" s="85" t="str">
        <f>IF($B133="","",IF(IFERROR(INDEX('RAID Log'!$1:$1048576,$B133,MATCH("Impact Area",'RAID Log'!$1:$1,0)),"")="","",IFERROR(INDEX('RAID Log'!$1:$1048576,$B133,MATCH("Impact Area",'RAID Log'!$1:$1,0)),"")))</f>
        <v/>
      </c>
      <c r="G133" s="85" t="str">
        <f>IF($B133="","",IF(IFERROR(INDEX('RAID Log'!$1:$1048576,$B133,MATCH("Impact Rating",'RAID Log'!$1:$1,0)),"")="","",IFERROR(INDEX('RAID Log'!$1:$1048576,$B133,MATCH("Impact Rating",'RAID Log'!$1:$1,0)),"")))</f>
        <v/>
      </c>
      <c r="H133" s="85" t="str">
        <f>IF($B133="","",IF(IFERROR(INDEX('RAID Log'!$1:$1048576,$B133,MATCH("Initial Probability",'RAID Log'!$1:$1,0)),"")="","",IFERROR(INDEX('RAID Log'!$1:$1048576,$B133,MATCH("Initial Probability",'RAID Log'!$1:$1,0)),"")))</f>
        <v/>
      </c>
      <c r="I133" s="86" t="str">
        <f t="shared" si="6"/>
        <v/>
      </c>
      <c r="J133" s="85" t="str">
        <f t="shared" si="7"/>
        <v/>
      </c>
      <c r="K133" s="86" t="str">
        <f t="shared" si="8"/>
        <v/>
      </c>
      <c r="L133" s="85" t="str">
        <f>IF($B133="","",IF(IFERROR(INDEX('RAID Log'!$1:$1048576,$B133,MATCH("Status",'RAID Log'!$1:$1,0)),"")="","",IFERROR(INDEX('RAID Log'!$1:$1048576,$B133,MATCH("Status",'RAID Log'!$1:$1,0)),"")))</f>
        <v/>
      </c>
      <c r="M133" s="85" t="str">
        <f>IF($B133="","",IF(IFERROR(INDEX('RAID Log'!$1:$1048576,$B133,MATCH("RAID Owner",'RAID Log'!$1:$1,0)),"")="","",IFERROR(INDEX('RAID Log'!$1:$1048576,$B133,MATCH("RAID Owner",'RAID Log'!$1:$1,0)),"")))</f>
        <v/>
      </c>
      <c r="N133" s="87" t="str">
        <f>IF($B133="","",IF(IFERROR(INDEX('RAID Log'!$1:$1048576,$B133,MATCH("Date Raised",'RAID Log'!$1:$1,0)),"")="","",IFERROR(INDEX('RAID Log'!$1:$1048576,$B133,MATCH("Date Raised",'RAID Log'!$1:$1,0)),"")))</f>
        <v/>
      </c>
      <c r="O133" s="87" t="str">
        <f>IF($B133="","",IF(IFERROR(INDEX('RAID Log'!$1:$1048576,$B133,MATCH("Closed Date",'RAID Log'!$1:$1,0)),"")="","",IFERROR(INDEX('RAID Log'!$1:$1048576,$B133,MATCH("Closed Date",'RAID Log'!$1:$1,0)),"")))</f>
        <v/>
      </c>
      <c r="P133" s="85" t="str">
        <f>IF($B133="","",IF(IFERROR(INDEX('RAID Log'!$1:$1048576,$B133,MATCH("Mitigation Strategy",'RAID Log'!$1:$1,0)),"")="","",IFERROR(INDEX('RAID Log'!$1:$1048576,$B133,MATCH("Mitigation Strategy",'RAID Log'!$1:$1,0)),"")))</f>
        <v/>
      </c>
      <c r="Q133" s="88" t="str">
        <f>IF($B133="","",IF(IFERROR(INDEX('RAID Log'!$1:$1048576,$B133,MATCH("RAID Response/Plan",'RAID Log'!$1:$1,0)),"")="","",IFERROR(INDEX('RAID Log'!$1:$1048576,$B133,MATCH("RAID Response/Plan",'RAID Log'!$1:$1,0)),"")))</f>
        <v/>
      </c>
    </row>
    <row r="134" spans="1:17" ht="14.25" customHeight="1">
      <c r="A134" s="82" t="str">
        <f>IF($B134="","",IF(IFERROR(INDEX('RAID Log'!$1:$1048576,$B134,MATCH("RAID ID",'RAID Log'!$1:$1,0)),"")="","",IFERROR(INDEX('RAID Log'!$1:$1048576,$B134,MATCH("RAID ID",'RAID Log'!$1:$1,0)),"")))</f>
        <v/>
      </c>
      <c r="B134" s="83" t="str">
        <f>IFERROR(MATCH(ROW()-1,'RAID Log'!$S:$S,0),"")</f>
        <v/>
      </c>
      <c r="C134" s="84" t="str">
        <f>IF($B134="","",IF(IFERROR(INDEX('RAID Log'!$1:$1048576,$B134,MATCH("Description",'RAID Log'!$1:$1,0)),"")="","",IFERROR(INDEX('RAID Log'!$1:$1048576,$B134,MATCH("Description",'RAID Log'!$1:$1,0)),"")))</f>
        <v/>
      </c>
      <c r="D134" s="84" t="str">
        <f>IF($B134="","",IF(IFERROR(INDEX('RAID Log'!$1:$1048576,$B134,MATCH("Impact/Effect of the RAID",'RAID Log'!$1:$1,0)),"")="","",IFERROR(INDEX('RAID Log'!$1:$1048576,$B134,MATCH("Impact/Effect of the RAID",'RAID Log'!$1:$1,0)),"")))</f>
        <v/>
      </c>
      <c r="E134" s="85" t="str">
        <f>IF($B134="","",IF(IFERROR(INDEX('RAID Log'!$1:$1048576,$B134,MATCH("Impact Area",'RAID Log'!$1:$1,0)),"")="","",IFERROR(INDEX('RAID Log'!$1:$1048576,$B134,MATCH("Impact Area",'RAID Log'!$1:$1,0)),"")))</f>
        <v/>
      </c>
      <c r="F134" s="85" t="str">
        <f>IF($B134="","",IF(IFERROR(INDEX('RAID Log'!$1:$1048576,$B134,MATCH("Impact Area",'RAID Log'!$1:$1,0)),"")="","",IFERROR(INDEX('RAID Log'!$1:$1048576,$B134,MATCH("Impact Area",'RAID Log'!$1:$1,0)),"")))</f>
        <v/>
      </c>
      <c r="G134" s="85" t="str">
        <f>IF($B134="","",IF(IFERROR(INDEX('RAID Log'!$1:$1048576,$B134,MATCH("Impact Rating",'RAID Log'!$1:$1,0)),"")="","",IFERROR(INDEX('RAID Log'!$1:$1048576,$B134,MATCH("Impact Rating",'RAID Log'!$1:$1,0)),"")))</f>
        <v/>
      </c>
      <c r="H134" s="85" t="str">
        <f>IF($B134="","",IF(IFERROR(INDEX('RAID Log'!$1:$1048576,$B134,MATCH("Initial Probability",'RAID Log'!$1:$1,0)),"")="","",IFERROR(INDEX('RAID Log'!$1:$1048576,$B134,MATCH("Initial Probability",'RAID Log'!$1:$1,0)),"")))</f>
        <v/>
      </c>
      <c r="I134" s="86" t="str">
        <f t="shared" si="6"/>
        <v/>
      </c>
      <c r="J134" s="85" t="str">
        <f t="shared" si="7"/>
        <v/>
      </c>
      <c r="K134" s="86" t="str">
        <f t="shared" si="8"/>
        <v/>
      </c>
      <c r="L134" s="85" t="str">
        <f>IF($B134="","",IF(IFERROR(INDEX('RAID Log'!$1:$1048576,$B134,MATCH("Status",'RAID Log'!$1:$1,0)),"")="","",IFERROR(INDEX('RAID Log'!$1:$1048576,$B134,MATCH("Status",'RAID Log'!$1:$1,0)),"")))</f>
        <v/>
      </c>
      <c r="M134" s="85" t="str">
        <f>IF($B134="","",IF(IFERROR(INDEX('RAID Log'!$1:$1048576,$B134,MATCH("RAID Owner",'RAID Log'!$1:$1,0)),"")="","",IFERROR(INDEX('RAID Log'!$1:$1048576,$B134,MATCH("RAID Owner",'RAID Log'!$1:$1,0)),"")))</f>
        <v/>
      </c>
      <c r="N134" s="87" t="str">
        <f>IF($B134="","",IF(IFERROR(INDEX('RAID Log'!$1:$1048576,$B134,MATCH("Date Raised",'RAID Log'!$1:$1,0)),"")="","",IFERROR(INDEX('RAID Log'!$1:$1048576,$B134,MATCH("Date Raised",'RAID Log'!$1:$1,0)),"")))</f>
        <v/>
      </c>
      <c r="O134" s="87" t="str">
        <f>IF($B134="","",IF(IFERROR(INDEX('RAID Log'!$1:$1048576,$B134,MATCH("Closed Date",'RAID Log'!$1:$1,0)),"")="","",IFERROR(INDEX('RAID Log'!$1:$1048576,$B134,MATCH("Closed Date",'RAID Log'!$1:$1,0)),"")))</f>
        <v/>
      </c>
      <c r="P134" s="85" t="str">
        <f>IF($B134="","",IF(IFERROR(INDEX('RAID Log'!$1:$1048576,$B134,MATCH("Mitigation Strategy",'RAID Log'!$1:$1,0)),"")="","",IFERROR(INDEX('RAID Log'!$1:$1048576,$B134,MATCH("Mitigation Strategy",'RAID Log'!$1:$1,0)),"")))</f>
        <v/>
      </c>
      <c r="Q134" s="88" t="str">
        <f>IF($B134="","",IF(IFERROR(INDEX('RAID Log'!$1:$1048576,$B134,MATCH("RAID Response/Plan",'RAID Log'!$1:$1,0)),"")="","",IFERROR(INDEX('RAID Log'!$1:$1048576,$B134,MATCH("RAID Response/Plan",'RAID Log'!$1:$1,0)),"")))</f>
        <v/>
      </c>
    </row>
    <row r="135" spans="1:17" ht="14.25" customHeight="1">
      <c r="A135" s="82" t="str">
        <f>IF($B135="","",IF(IFERROR(INDEX('RAID Log'!$1:$1048576,$B135,MATCH("RAID ID",'RAID Log'!$1:$1,0)),"")="","",IFERROR(INDEX('RAID Log'!$1:$1048576,$B135,MATCH("RAID ID",'RAID Log'!$1:$1,0)),"")))</f>
        <v/>
      </c>
      <c r="B135" s="83" t="str">
        <f>IFERROR(MATCH(ROW()-1,'RAID Log'!$S:$S,0),"")</f>
        <v/>
      </c>
      <c r="C135" s="84" t="str">
        <f>IF($B135="","",IF(IFERROR(INDEX('RAID Log'!$1:$1048576,$B135,MATCH("Description",'RAID Log'!$1:$1,0)),"")="","",IFERROR(INDEX('RAID Log'!$1:$1048576,$B135,MATCH("Description",'RAID Log'!$1:$1,0)),"")))</f>
        <v/>
      </c>
      <c r="D135" s="84" t="str">
        <f>IF($B135="","",IF(IFERROR(INDEX('RAID Log'!$1:$1048576,$B135,MATCH("Impact/Effect of the RAID",'RAID Log'!$1:$1,0)),"")="","",IFERROR(INDEX('RAID Log'!$1:$1048576,$B135,MATCH("Impact/Effect of the RAID",'RAID Log'!$1:$1,0)),"")))</f>
        <v/>
      </c>
      <c r="E135" s="85" t="str">
        <f>IF($B135="","",IF(IFERROR(INDEX('RAID Log'!$1:$1048576,$B135,MATCH("Impact Area",'RAID Log'!$1:$1,0)),"")="","",IFERROR(INDEX('RAID Log'!$1:$1048576,$B135,MATCH("Impact Area",'RAID Log'!$1:$1,0)),"")))</f>
        <v/>
      </c>
      <c r="F135" s="85" t="str">
        <f>IF($B135="","",IF(IFERROR(INDEX('RAID Log'!$1:$1048576,$B135,MATCH("Impact Area",'RAID Log'!$1:$1,0)),"")="","",IFERROR(INDEX('RAID Log'!$1:$1048576,$B135,MATCH("Impact Area",'RAID Log'!$1:$1,0)),"")))</f>
        <v/>
      </c>
      <c r="G135" s="85" t="str">
        <f>IF($B135="","",IF(IFERROR(INDEX('RAID Log'!$1:$1048576,$B135,MATCH("Impact Rating",'RAID Log'!$1:$1,0)),"")="","",IFERROR(INDEX('RAID Log'!$1:$1048576,$B135,MATCH("Impact Rating",'RAID Log'!$1:$1,0)),"")))</f>
        <v/>
      </c>
      <c r="H135" s="85" t="str">
        <f>IF($B135="","",IF(IFERROR(INDEX('RAID Log'!$1:$1048576,$B135,MATCH("Initial Probability",'RAID Log'!$1:$1,0)),"")="","",IFERROR(INDEX('RAID Log'!$1:$1048576,$B135,MATCH("Initial Probability",'RAID Log'!$1:$1,0)),"")))</f>
        <v/>
      </c>
      <c r="I135" s="86" t="str">
        <f t="shared" si="6"/>
        <v/>
      </c>
      <c r="J135" s="85" t="str">
        <f t="shared" si="7"/>
        <v/>
      </c>
      <c r="K135" s="86" t="str">
        <f t="shared" si="8"/>
        <v/>
      </c>
      <c r="L135" s="85" t="str">
        <f>IF($B135="","",IF(IFERROR(INDEX('RAID Log'!$1:$1048576,$B135,MATCH("Status",'RAID Log'!$1:$1,0)),"")="","",IFERROR(INDEX('RAID Log'!$1:$1048576,$B135,MATCH("Status",'RAID Log'!$1:$1,0)),"")))</f>
        <v/>
      </c>
      <c r="M135" s="85" t="str">
        <f>IF($B135="","",IF(IFERROR(INDEX('RAID Log'!$1:$1048576,$B135,MATCH("RAID Owner",'RAID Log'!$1:$1,0)),"")="","",IFERROR(INDEX('RAID Log'!$1:$1048576,$B135,MATCH("RAID Owner",'RAID Log'!$1:$1,0)),"")))</f>
        <v/>
      </c>
      <c r="N135" s="87" t="str">
        <f>IF($B135="","",IF(IFERROR(INDEX('RAID Log'!$1:$1048576,$B135,MATCH("Date Raised",'RAID Log'!$1:$1,0)),"")="","",IFERROR(INDEX('RAID Log'!$1:$1048576,$B135,MATCH("Date Raised",'RAID Log'!$1:$1,0)),"")))</f>
        <v/>
      </c>
      <c r="O135" s="87" t="str">
        <f>IF($B135="","",IF(IFERROR(INDEX('RAID Log'!$1:$1048576,$B135,MATCH("Closed Date",'RAID Log'!$1:$1,0)),"")="","",IFERROR(INDEX('RAID Log'!$1:$1048576,$B135,MATCH("Closed Date",'RAID Log'!$1:$1,0)),"")))</f>
        <v/>
      </c>
      <c r="P135" s="85" t="str">
        <f>IF($B135="","",IF(IFERROR(INDEX('RAID Log'!$1:$1048576,$B135,MATCH("Mitigation Strategy",'RAID Log'!$1:$1,0)),"")="","",IFERROR(INDEX('RAID Log'!$1:$1048576,$B135,MATCH("Mitigation Strategy",'RAID Log'!$1:$1,0)),"")))</f>
        <v/>
      </c>
      <c r="Q135" s="88" t="str">
        <f>IF($B135="","",IF(IFERROR(INDEX('RAID Log'!$1:$1048576,$B135,MATCH("RAID Response/Plan",'RAID Log'!$1:$1,0)),"")="","",IFERROR(INDEX('RAID Log'!$1:$1048576,$B135,MATCH("RAID Response/Plan",'RAID Log'!$1:$1,0)),"")))</f>
        <v/>
      </c>
    </row>
    <row r="136" spans="1:17" ht="14.25" customHeight="1">
      <c r="A136" s="82" t="str">
        <f>IF($B136="","",IF(IFERROR(INDEX('RAID Log'!$1:$1048576,$B136,MATCH("RAID ID",'RAID Log'!$1:$1,0)),"")="","",IFERROR(INDEX('RAID Log'!$1:$1048576,$B136,MATCH("RAID ID",'RAID Log'!$1:$1,0)),"")))</f>
        <v/>
      </c>
      <c r="B136" s="83" t="str">
        <f>IFERROR(MATCH(ROW()-1,'RAID Log'!$S:$S,0),"")</f>
        <v/>
      </c>
      <c r="C136" s="84" t="str">
        <f>IF($B136="","",IF(IFERROR(INDEX('RAID Log'!$1:$1048576,$B136,MATCH("Description",'RAID Log'!$1:$1,0)),"")="","",IFERROR(INDEX('RAID Log'!$1:$1048576,$B136,MATCH("Description",'RAID Log'!$1:$1,0)),"")))</f>
        <v/>
      </c>
      <c r="D136" s="84" t="str">
        <f>IF($B136="","",IF(IFERROR(INDEX('RAID Log'!$1:$1048576,$B136,MATCH("Impact/Effect of the RAID",'RAID Log'!$1:$1,0)),"")="","",IFERROR(INDEX('RAID Log'!$1:$1048576,$B136,MATCH("Impact/Effect of the RAID",'RAID Log'!$1:$1,0)),"")))</f>
        <v/>
      </c>
      <c r="E136" s="85" t="str">
        <f>IF($B136="","",IF(IFERROR(INDEX('RAID Log'!$1:$1048576,$B136,MATCH("Impact Area",'RAID Log'!$1:$1,0)),"")="","",IFERROR(INDEX('RAID Log'!$1:$1048576,$B136,MATCH("Impact Area",'RAID Log'!$1:$1,0)),"")))</f>
        <v/>
      </c>
      <c r="F136" s="85" t="str">
        <f>IF($B136="","",IF(IFERROR(INDEX('RAID Log'!$1:$1048576,$B136,MATCH("Impact Area",'RAID Log'!$1:$1,0)),"")="","",IFERROR(INDEX('RAID Log'!$1:$1048576,$B136,MATCH("Impact Area",'RAID Log'!$1:$1,0)),"")))</f>
        <v/>
      </c>
      <c r="G136" s="85" t="str">
        <f>IF($B136="","",IF(IFERROR(INDEX('RAID Log'!$1:$1048576,$B136,MATCH("Impact Rating",'RAID Log'!$1:$1,0)),"")="","",IFERROR(INDEX('RAID Log'!$1:$1048576,$B136,MATCH("Impact Rating",'RAID Log'!$1:$1,0)),"")))</f>
        <v/>
      </c>
      <c r="H136" s="85" t="str">
        <f>IF($B136="","",IF(IFERROR(INDEX('RAID Log'!$1:$1048576,$B136,MATCH("Initial Probability",'RAID Log'!$1:$1,0)),"")="","",IFERROR(INDEX('RAID Log'!$1:$1048576,$B136,MATCH("Initial Probability",'RAID Log'!$1:$1,0)),"")))</f>
        <v/>
      </c>
      <c r="I136" s="86" t="str">
        <f t="shared" si="6"/>
        <v/>
      </c>
      <c r="J136" s="85" t="str">
        <f t="shared" si="7"/>
        <v/>
      </c>
      <c r="K136" s="86" t="str">
        <f t="shared" si="8"/>
        <v/>
      </c>
      <c r="L136" s="85" t="str">
        <f>IF($B136="","",IF(IFERROR(INDEX('RAID Log'!$1:$1048576,$B136,MATCH("Status",'RAID Log'!$1:$1,0)),"")="","",IFERROR(INDEX('RAID Log'!$1:$1048576,$B136,MATCH("Status",'RAID Log'!$1:$1,0)),"")))</f>
        <v/>
      </c>
      <c r="M136" s="85" t="str">
        <f>IF($B136="","",IF(IFERROR(INDEX('RAID Log'!$1:$1048576,$B136,MATCH("RAID Owner",'RAID Log'!$1:$1,0)),"")="","",IFERROR(INDEX('RAID Log'!$1:$1048576,$B136,MATCH("RAID Owner",'RAID Log'!$1:$1,0)),"")))</f>
        <v/>
      </c>
      <c r="N136" s="87" t="str">
        <f>IF($B136="","",IF(IFERROR(INDEX('RAID Log'!$1:$1048576,$B136,MATCH("Date Raised",'RAID Log'!$1:$1,0)),"")="","",IFERROR(INDEX('RAID Log'!$1:$1048576,$B136,MATCH("Date Raised",'RAID Log'!$1:$1,0)),"")))</f>
        <v/>
      </c>
      <c r="O136" s="87" t="str">
        <f>IF($B136="","",IF(IFERROR(INDEX('RAID Log'!$1:$1048576,$B136,MATCH("Closed Date",'RAID Log'!$1:$1,0)),"")="","",IFERROR(INDEX('RAID Log'!$1:$1048576,$B136,MATCH("Closed Date",'RAID Log'!$1:$1,0)),"")))</f>
        <v/>
      </c>
      <c r="P136" s="85" t="str">
        <f>IF($B136="","",IF(IFERROR(INDEX('RAID Log'!$1:$1048576,$B136,MATCH("Mitigation Strategy",'RAID Log'!$1:$1,0)),"")="","",IFERROR(INDEX('RAID Log'!$1:$1048576,$B136,MATCH("Mitigation Strategy",'RAID Log'!$1:$1,0)),"")))</f>
        <v/>
      </c>
      <c r="Q136" s="88" t="str">
        <f>IF($B136="","",IF(IFERROR(INDEX('RAID Log'!$1:$1048576,$B136,MATCH("RAID Response/Plan",'RAID Log'!$1:$1,0)),"")="","",IFERROR(INDEX('RAID Log'!$1:$1048576,$B136,MATCH("RAID Response/Plan",'RAID Log'!$1:$1,0)),"")))</f>
        <v/>
      </c>
    </row>
    <row r="137" spans="1:17" ht="14.25" customHeight="1">
      <c r="A137" s="82" t="str">
        <f>IF($B137="","",IF(IFERROR(INDEX('RAID Log'!$1:$1048576,$B137,MATCH("RAID ID",'RAID Log'!$1:$1,0)),"")="","",IFERROR(INDEX('RAID Log'!$1:$1048576,$B137,MATCH("RAID ID",'RAID Log'!$1:$1,0)),"")))</f>
        <v/>
      </c>
      <c r="B137" s="83" t="str">
        <f>IFERROR(MATCH(ROW()-1,'RAID Log'!$S:$S,0),"")</f>
        <v/>
      </c>
      <c r="C137" s="84" t="str">
        <f>IF($B137="","",IF(IFERROR(INDEX('RAID Log'!$1:$1048576,$B137,MATCH("Description",'RAID Log'!$1:$1,0)),"")="","",IFERROR(INDEX('RAID Log'!$1:$1048576,$B137,MATCH("Description",'RAID Log'!$1:$1,0)),"")))</f>
        <v/>
      </c>
      <c r="D137" s="84" t="str">
        <f>IF($B137="","",IF(IFERROR(INDEX('RAID Log'!$1:$1048576,$B137,MATCH("Impact/Effect of the RAID",'RAID Log'!$1:$1,0)),"")="","",IFERROR(INDEX('RAID Log'!$1:$1048576,$B137,MATCH("Impact/Effect of the RAID",'RAID Log'!$1:$1,0)),"")))</f>
        <v/>
      </c>
      <c r="E137" s="85" t="str">
        <f>IF($B137="","",IF(IFERROR(INDEX('RAID Log'!$1:$1048576,$B137,MATCH("Impact Area",'RAID Log'!$1:$1,0)),"")="","",IFERROR(INDEX('RAID Log'!$1:$1048576,$B137,MATCH("Impact Area",'RAID Log'!$1:$1,0)),"")))</f>
        <v/>
      </c>
      <c r="F137" s="85" t="str">
        <f>IF($B137="","",IF(IFERROR(INDEX('RAID Log'!$1:$1048576,$B137,MATCH("Impact Area",'RAID Log'!$1:$1,0)),"")="","",IFERROR(INDEX('RAID Log'!$1:$1048576,$B137,MATCH("Impact Area",'RAID Log'!$1:$1,0)),"")))</f>
        <v/>
      </c>
      <c r="G137" s="85" t="str">
        <f>IF($B137="","",IF(IFERROR(INDEX('RAID Log'!$1:$1048576,$B137,MATCH("Impact Rating",'RAID Log'!$1:$1,0)),"")="","",IFERROR(INDEX('RAID Log'!$1:$1048576,$B137,MATCH("Impact Rating",'RAID Log'!$1:$1,0)),"")))</f>
        <v/>
      </c>
      <c r="H137" s="85" t="str">
        <f>IF($B137="","",IF(IFERROR(INDEX('RAID Log'!$1:$1048576,$B137,MATCH("Initial Probability",'RAID Log'!$1:$1,0)),"")="","",IFERROR(INDEX('RAID Log'!$1:$1048576,$B137,MATCH("Initial Probability",'RAID Log'!$1:$1,0)),"")))</f>
        <v/>
      </c>
      <c r="I137" s="86" t="str">
        <f t="shared" si="6"/>
        <v/>
      </c>
      <c r="J137" s="85" t="str">
        <f t="shared" si="7"/>
        <v/>
      </c>
      <c r="K137" s="86" t="str">
        <f t="shared" si="8"/>
        <v/>
      </c>
      <c r="L137" s="85" t="str">
        <f>IF($B137="","",IF(IFERROR(INDEX('RAID Log'!$1:$1048576,$B137,MATCH("Status",'RAID Log'!$1:$1,0)),"")="","",IFERROR(INDEX('RAID Log'!$1:$1048576,$B137,MATCH("Status",'RAID Log'!$1:$1,0)),"")))</f>
        <v/>
      </c>
      <c r="M137" s="85" t="str">
        <f>IF($B137="","",IF(IFERROR(INDEX('RAID Log'!$1:$1048576,$B137,MATCH("RAID Owner",'RAID Log'!$1:$1,0)),"")="","",IFERROR(INDEX('RAID Log'!$1:$1048576,$B137,MATCH("RAID Owner",'RAID Log'!$1:$1,0)),"")))</f>
        <v/>
      </c>
      <c r="N137" s="87" t="str">
        <f>IF($B137="","",IF(IFERROR(INDEX('RAID Log'!$1:$1048576,$B137,MATCH("Date Raised",'RAID Log'!$1:$1,0)),"")="","",IFERROR(INDEX('RAID Log'!$1:$1048576,$B137,MATCH("Date Raised",'RAID Log'!$1:$1,0)),"")))</f>
        <v/>
      </c>
      <c r="O137" s="87" t="str">
        <f>IF($B137="","",IF(IFERROR(INDEX('RAID Log'!$1:$1048576,$B137,MATCH("Closed Date",'RAID Log'!$1:$1,0)),"")="","",IFERROR(INDEX('RAID Log'!$1:$1048576,$B137,MATCH("Closed Date",'RAID Log'!$1:$1,0)),"")))</f>
        <v/>
      </c>
      <c r="P137" s="85" t="str">
        <f>IF($B137="","",IF(IFERROR(INDEX('RAID Log'!$1:$1048576,$B137,MATCH("Mitigation Strategy",'RAID Log'!$1:$1,0)),"")="","",IFERROR(INDEX('RAID Log'!$1:$1048576,$B137,MATCH("Mitigation Strategy",'RAID Log'!$1:$1,0)),"")))</f>
        <v/>
      </c>
      <c r="Q137" s="88" t="str">
        <f>IF($B137="","",IF(IFERROR(INDEX('RAID Log'!$1:$1048576,$B137,MATCH("RAID Response/Plan",'RAID Log'!$1:$1,0)),"")="","",IFERROR(INDEX('RAID Log'!$1:$1048576,$B137,MATCH("RAID Response/Plan",'RAID Log'!$1:$1,0)),"")))</f>
        <v/>
      </c>
    </row>
    <row r="138" spans="1:17" ht="14.25" customHeight="1">
      <c r="A138" s="82" t="str">
        <f>IF($B138="","",IF(IFERROR(INDEX('RAID Log'!$1:$1048576,$B138,MATCH("RAID ID",'RAID Log'!$1:$1,0)),"")="","",IFERROR(INDEX('RAID Log'!$1:$1048576,$B138,MATCH("RAID ID",'RAID Log'!$1:$1,0)),"")))</f>
        <v/>
      </c>
      <c r="B138" s="83" t="str">
        <f>IFERROR(MATCH(ROW()-1,'RAID Log'!$S:$S,0),"")</f>
        <v/>
      </c>
      <c r="C138" s="84" t="str">
        <f>IF($B138="","",IF(IFERROR(INDEX('RAID Log'!$1:$1048576,$B138,MATCH("Description",'RAID Log'!$1:$1,0)),"")="","",IFERROR(INDEX('RAID Log'!$1:$1048576,$B138,MATCH("Description",'RAID Log'!$1:$1,0)),"")))</f>
        <v/>
      </c>
      <c r="D138" s="84" t="str">
        <f>IF($B138="","",IF(IFERROR(INDEX('RAID Log'!$1:$1048576,$B138,MATCH("Impact/Effect of the RAID",'RAID Log'!$1:$1,0)),"")="","",IFERROR(INDEX('RAID Log'!$1:$1048576,$B138,MATCH("Impact/Effect of the RAID",'RAID Log'!$1:$1,0)),"")))</f>
        <v/>
      </c>
      <c r="E138" s="85" t="str">
        <f>IF($B138="","",IF(IFERROR(INDEX('RAID Log'!$1:$1048576,$B138,MATCH("Impact Area",'RAID Log'!$1:$1,0)),"")="","",IFERROR(INDEX('RAID Log'!$1:$1048576,$B138,MATCH("Impact Area",'RAID Log'!$1:$1,0)),"")))</f>
        <v/>
      </c>
      <c r="F138" s="85" t="str">
        <f>IF($B138="","",IF(IFERROR(INDEX('RAID Log'!$1:$1048576,$B138,MATCH("Impact Area",'RAID Log'!$1:$1,0)),"")="","",IFERROR(INDEX('RAID Log'!$1:$1048576,$B138,MATCH("Impact Area",'RAID Log'!$1:$1,0)),"")))</f>
        <v/>
      </c>
      <c r="G138" s="85" t="str">
        <f>IF($B138="","",IF(IFERROR(INDEX('RAID Log'!$1:$1048576,$B138,MATCH("Impact Rating",'RAID Log'!$1:$1,0)),"")="","",IFERROR(INDEX('RAID Log'!$1:$1048576,$B138,MATCH("Impact Rating",'RAID Log'!$1:$1,0)),"")))</f>
        <v/>
      </c>
      <c r="H138" s="85" t="str">
        <f>IF($B138="","",IF(IFERROR(INDEX('RAID Log'!$1:$1048576,$B138,MATCH("Initial Probability",'RAID Log'!$1:$1,0)),"")="","",IFERROR(INDEX('RAID Log'!$1:$1048576,$B138,MATCH("Initial Probability",'RAID Log'!$1:$1,0)),"")))</f>
        <v/>
      </c>
      <c r="I138" s="86" t="str">
        <f t="shared" si="6"/>
        <v/>
      </c>
      <c r="J138" s="85" t="str">
        <f t="shared" si="7"/>
        <v/>
      </c>
      <c r="K138" s="86" t="str">
        <f t="shared" si="8"/>
        <v/>
      </c>
      <c r="L138" s="85" t="str">
        <f>IF($B138="","",IF(IFERROR(INDEX('RAID Log'!$1:$1048576,$B138,MATCH("Status",'RAID Log'!$1:$1,0)),"")="","",IFERROR(INDEX('RAID Log'!$1:$1048576,$B138,MATCH("Status",'RAID Log'!$1:$1,0)),"")))</f>
        <v/>
      </c>
      <c r="M138" s="85" t="str">
        <f>IF($B138="","",IF(IFERROR(INDEX('RAID Log'!$1:$1048576,$B138,MATCH("RAID Owner",'RAID Log'!$1:$1,0)),"")="","",IFERROR(INDEX('RAID Log'!$1:$1048576,$B138,MATCH("RAID Owner",'RAID Log'!$1:$1,0)),"")))</f>
        <v/>
      </c>
      <c r="N138" s="87" t="str">
        <f>IF($B138="","",IF(IFERROR(INDEX('RAID Log'!$1:$1048576,$B138,MATCH("Date Raised",'RAID Log'!$1:$1,0)),"")="","",IFERROR(INDEX('RAID Log'!$1:$1048576,$B138,MATCH("Date Raised",'RAID Log'!$1:$1,0)),"")))</f>
        <v/>
      </c>
      <c r="O138" s="87" t="str">
        <f>IF($B138="","",IF(IFERROR(INDEX('RAID Log'!$1:$1048576,$B138,MATCH("Closed Date",'RAID Log'!$1:$1,0)),"")="","",IFERROR(INDEX('RAID Log'!$1:$1048576,$B138,MATCH("Closed Date",'RAID Log'!$1:$1,0)),"")))</f>
        <v/>
      </c>
      <c r="P138" s="85" t="str">
        <f>IF($B138="","",IF(IFERROR(INDEX('RAID Log'!$1:$1048576,$B138,MATCH("Mitigation Strategy",'RAID Log'!$1:$1,0)),"")="","",IFERROR(INDEX('RAID Log'!$1:$1048576,$B138,MATCH("Mitigation Strategy",'RAID Log'!$1:$1,0)),"")))</f>
        <v/>
      </c>
      <c r="Q138" s="88" t="str">
        <f>IF($B138="","",IF(IFERROR(INDEX('RAID Log'!$1:$1048576,$B138,MATCH("RAID Response/Plan",'RAID Log'!$1:$1,0)),"")="","",IFERROR(INDEX('RAID Log'!$1:$1048576,$B138,MATCH("RAID Response/Plan",'RAID Log'!$1:$1,0)),"")))</f>
        <v/>
      </c>
    </row>
    <row r="139" spans="1:17" ht="14.25" customHeight="1">
      <c r="A139" s="82" t="str">
        <f>IF($B139="","",IF(IFERROR(INDEX('RAID Log'!$1:$1048576,$B139,MATCH("RAID ID",'RAID Log'!$1:$1,0)),"")="","",IFERROR(INDEX('RAID Log'!$1:$1048576,$B139,MATCH("RAID ID",'RAID Log'!$1:$1,0)),"")))</f>
        <v/>
      </c>
      <c r="B139" s="83" t="str">
        <f>IFERROR(MATCH(ROW()-1,'RAID Log'!$S:$S,0),"")</f>
        <v/>
      </c>
      <c r="C139" s="84" t="str">
        <f>IF($B139="","",IF(IFERROR(INDEX('RAID Log'!$1:$1048576,$B139,MATCH("Description",'RAID Log'!$1:$1,0)),"")="","",IFERROR(INDEX('RAID Log'!$1:$1048576,$B139,MATCH("Description",'RAID Log'!$1:$1,0)),"")))</f>
        <v/>
      </c>
      <c r="D139" s="84" t="str">
        <f>IF($B139="","",IF(IFERROR(INDEX('RAID Log'!$1:$1048576,$B139,MATCH("Impact/Effect of the RAID",'RAID Log'!$1:$1,0)),"")="","",IFERROR(INDEX('RAID Log'!$1:$1048576,$B139,MATCH("Impact/Effect of the RAID",'RAID Log'!$1:$1,0)),"")))</f>
        <v/>
      </c>
      <c r="E139" s="85" t="str">
        <f>IF($B139="","",IF(IFERROR(INDEX('RAID Log'!$1:$1048576,$B139,MATCH("Impact Area",'RAID Log'!$1:$1,0)),"")="","",IFERROR(INDEX('RAID Log'!$1:$1048576,$B139,MATCH("Impact Area",'RAID Log'!$1:$1,0)),"")))</f>
        <v/>
      </c>
      <c r="F139" s="85" t="str">
        <f>IF($B139="","",IF(IFERROR(INDEX('RAID Log'!$1:$1048576,$B139,MATCH("Impact Area",'RAID Log'!$1:$1,0)),"")="","",IFERROR(INDEX('RAID Log'!$1:$1048576,$B139,MATCH("Impact Area",'RAID Log'!$1:$1,0)),"")))</f>
        <v/>
      </c>
      <c r="G139" s="85" t="str">
        <f>IF($B139="","",IF(IFERROR(INDEX('RAID Log'!$1:$1048576,$B139,MATCH("Impact Rating",'RAID Log'!$1:$1,0)),"")="","",IFERROR(INDEX('RAID Log'!$1:$1048576,$B139,MATCH("Impact Rating",'RAID Log'!$1:$1,0)),"")))</f>
        <v/>
      </c>
      <c r="H139" s="85" t="str">
        <f>IF($B139="","",IF(IFERROR(INDEX('RAID Log'!$1:$1048576,$B139,MATCH("Initial Probability",'RAID Log'!$1:$1,0)),"")="","",IFERROR(INDEX('RAID Log'!$1:$1048576,$B139,MATCH("Initial Probability",'RAID Log'!$1:$1,0)),"")))</f>
        <v/>
      </c>
      <c r="I139" s="86" t="str">
        <f t="shared" si="6"/>
        <v/>
      </c>
      <c r="J139" s="85" t="str">
        <f t="shared" si="7"/>
        <v/>
      </c>
      <c r="K139" s="86" t="str">
        <f t="shared" si="8"/>
        <v/>
      </c>
      <c r="L139" s="85" t="str">
        <f>IF($B139="","",IF(IFERROR(INDEX('RAID Log'!$1:$1048576,$B139,MATCH("Status",'RAID Log'!$1:$1,0)),"")="","",IFERROR(INDEX('RAID Log'!$1:$1048576,$B139,MATCH("Status",'RAID Log'!$1:$1,0)),"")))</f>
        <v/>
      </c>
      <c r="M139" s="85" t="str">
        <f>IF($B139="","",IF(IFERROR(INDEX('RAID Log'!$1:$1048576,$B139,MATCH("RAID Owner",'RAID Log'!$1:$1,0)),"")="","",IFERROR(INDEX('RAID Log'!$1:$1048576,$B139,MATCH("RAID Owner",'RAID Log'!$1:$1,0)),"")))</f>
        <v/>
      </c>
      <c r="N139" s="87" t="str">
        <f>IF($B139="","",IF(IFERROR(INDEX('RAID Log'!$1:$1048576,$B139,MATCH("Date Raised",'RAID Log'!$1:$1,0)),"")="","",IFERROR(INDEX('RAID Log'!$1:$1048576,$B139,MATCH("Date Raised",'RAID Log'!$1:$1,0)),"")))</f>
        <v/>
      </c>
      <c r="O139" s="87" t="str">
        <f>IF($B139="","",IF(IFERROR(INDEX('RAID Log'!$1:$1048576,$B139,MATCH("Closed Date",'RAID Log'!$1:$1,0)),"")="","",IFERROR(INDEX('RAID Log'!$1:$1048576,$B139,MATCH("Closed Date",'RAID Log'!$1:$1,0)),"")))</f>
        <v/>
      </c>
      <c r="P139" s="85" t="str">
        <f>IF($B139="","",IF(IFERROR(INDEX('RAID Log'!$1:$1048576,$B139,MATCH("Mitigation Strategy",'RAID Log'!$1:$1,0)),"")="","",IFERROR(INDEX('RAID Log'!$1:$1048576,$B139,MATCH("Mitigation Strategy",'RAID Log'!$1:$1,0)),"")))</f>
        <v/>
      </c>
      <c r="Q139" s="88" t="str">
        <f>IF($B139="","",IF(IFERROR(INDEX('RAID Log'!$1:$1048576,$B139,MATCH("RAID Response/Plan",'RAID Log'!$1:$1,0)),"")="","",IFERROR(INDEX('RAID Log'!$1:$1048576,$B139,MATCH("RAID Response/Plan",'RAID Log'!$1:$1,0)),"")))</f>
        <v/>
      </c>
    </row>
    <row r="140" spans="1:17" ht="14.25" customHeight="1">
      <c r="A140" s="82" t="str">
        <f>IF($B140="","",IF(IFERROR(INDEX('RAID Log'!$1:$1048576,$B140,MATCH("RAID ID",'RAID Log'!$1:$1,0)),"")="","",IFERROR(INDEX('RAID Log'!$1:$1048576,$B140,MATCH("RAID ID",'RAID Log'!$1:$1,0)),"")))</f>
        <v/>
      </c>
      <c r="B140" s="83" t="str">
        <f>IFERROR(MATCH(ROW()-1,'RAID Log'!$S:$S,0),"")</f>
        <v/>
      </c>
      <c r="C140" s="84" t="str">
        <f>IF($B140="","",IF(IFERROR(INDEX('RAID Log'!$1:$1048576,$B140,MATCH("Description",'RAID Log'!$1:$1,0)),"")="","",IFERROR(INDEX('RAID Log'!$1:$1048576,$B140,MATCH("Description",'RAID Log'!$1:$1,0)),"")))</f>
        <v/>
      </c>
      <c r="D140" s="84" t="str">
        <f>IF($B140="","",IF(IFERROR(INDEX('RAID Log'!$1:$1048576,$B140,MATCH("Impact/Effect of the RAID",'RAID Log'!$1:$1,0)),"")="","",IFERROR(INDEX('RAID Log'!$1:$1048576,$B140,MATCH("Impact/Effect of the RAID",'RAID Log'!$1:$1,0)),"")))</f>
        <v/>
      </c>
      <c r="E140" s="85" t="str">
        <f>IF($B140="","",IF(IFERROR(INDEX('RAID Log'!$1:$1048576,$B140,MATCH("Impact Area",'RAID Log'!$1:$1,0)),"")="","",IFERROR(INDEX('RAID Log'!$1:$1048576,$B140,MATCH("Impact Area",'RAID Log'!$1:$1,0)),"")))</f>
        <v/>
      </c>
      <c r="F140" s="85" t="str">
        <f>IF($B140="","",IF(IFERROR(INDEX('RAID Log'!$1:$1048576,$B140,MATCH("Impact Area",'RAID Log'!$1:$1,0)),"")="","",IFERROR(INDEX('RAID Log'!$1:$1048576,$B140,MATCH("Impact Area",'RAID Log'!$1:$1,0)),"")))</f>
        <v/>
      </c>
      <c r="G140" s="85" t="str">
        <f>IF($B140="","",IF(IFERROR(INDEX('RAID Log'!$1:$1048576,$B140,MATCH("Impact Rating",'RAID Log'!$1:$1,0)),"")="","",IFERROR(INDEX('RAID Log'!$1:$1048576,$B140,MATCH("Impact Rating",'RAID Log'!$1:$1,0)),"")))</f>
        <v/>
      </c>
      <c r="H140" s="85" t="str">
        <f>IF($B140="","",IF(IFERROR(INDEX('RAID Log'!$1:$1048576,$B140,MATCH("Initial Probability",'RAID Log'!$1:$1,0)),"")="","",IFERROR(INDEX('RAID Log'!$1:$1048576,$B140,MATCH("Initial Probability",'RAID Log'!$1:$1,0)),"")))</f>
        <v/>
      </c>
      <c r="I140" s="86" t="str">
        <f t="shared" si="6"/>
        <v/>
      </c>
      <c r="J140" s="85" t="str">
        <f t="shared" si="7"/>
        <v/>
      </c>
      <c r="K140" s="86" t="str">
        <f t="shared" si="8"/>
        <v/>
      </c>
      <c r="L140" s="85" t="str">
        <f>IF($B140="","",IF(IFERROR(INDEX('RAID Log'!$1:$1048576,$B140,MATCH("Status",'RAID Log'!$1:$1,0)),"")="","",IFERROR(INDEX('RAID Log'!$1:$1048576,$B140,MATCH("Status",'RAID Log'!$1:$1,0)),"")))</f>
        <v/>
      </c>
      <c r="M140" s="85" t="str">
        <f>IF($B140="","",IF(IFERROR(INDEX('RAID Log'!$1:$1048576,$B140,MATCH("RAID Owner",'RAID Log'!$1:$1,0)),"")="","",IFERROR(INDEX('RAID Log'!$1:$1048576,$B140,MATCH("RAID Owner",'RAID Log'!$1:$1,0)),"")))</f>
        <v/>
      </c>
      <c r="N140" s="87" t="str">
        <f>IF($B140="","",IF(IFERROR(INDEX('RAID Log'!$1:$1048576,$B140,MATCH("Date Raised",'RAID Log'!$1:$1,0)),"")="","",IFERROR(INDEX('RAID Log'!$1:$1048576,$B140,MATCH("Date Raised",'RAID Log'!$1:$1,0)),"")))</f>
        <v/>
      </c>
      <c r="O140" s="87" t="str">
        <f>IF($B140="","",IF(IFERROR(INDEX('RAID Log'!$1:$1048576,$B140,MATCH("Closed Date",'RAID Log'!$1:$1,0)),"")="","",IFERROR(INDEX('RAID Log'!$1:$1048576,$B140,MATCH("Closed Date",'RAID Log'!$1:$1,0)),"")))</f>
        <v/>
      </c>
      <c r="P140" s="85" t="str">
        <f>IF($B140="","",IF(IFERROR(INDEX('RAID Log'!$1:$1048576,$B140,MATCH("Mitigation Strategy",'RAID Log'!$1:$1,0)),"")="","",IFERROR(INDEX('RAID Log'!$1:$1048576,$B140,MATCH("Mitigation Strategy",'RAID Log'!$1:$1,0)),"")))</f>
        <v/>
      </c>
      <c r="Q140" s="88" t="str">
        <f>IF($B140="","",IF(IFERROR(INDEX('RAID Log'!$1:$1048576,$B140,MATCH("RAID Response/Plan",'RAID Log'!$1:$1,0)),"")="","",IFERROR(INDEX('RAID Log'!$1:$1048576,$B140,MATCH("RAID Response/Plan",'RAID Log'!$1:$1,0)),"")))</f>
        <v/>
      </c>
    </row>
    <row r="141" spans="1:17" ht="14.25" customHeight="1">
      <c r="A141" s="82" t="str">
        <f>IF($B141="","",IF(IFERROR(INDEX('RAID Log'!$1:$1048576,$B141,MATCH("RAID ID",'RAID Log'!$1:$1,0)),"")="","",IFERROR(INDEX('RAID Log'!$1:$1048576,$B141,MATCH("RAID ID",'RAID Log'!$1:$1,0)),"")))</f>
        <v/>
      </c>
      <c r="B141" s="83" t="str">
        <f>IFERROR(MATCH(ROW()-1,'RAID Log'!$S:$S,0),"")</f>
        <v/>
      </c>
      <c r="C141" s="84" t="str">
        <f>IF($B141="","",IF(IFERROR(INDEX('RAID Log'!$1:$1048576,$B141,MATCH("Description",'RAID Log'!$1:$1,0)),"")="","",IFERROR(INDEX('RAID Log'!$1:$1048576,$B141,MATCH("Description",'RAID Log'!$1:$1,0)),"")))</f>
        <v/>
      </c>
      <c r="D141" s="84" t="str">
        <f>IF($B141="","",IF(IFERROR(INDEX('RAID Log'!$1:$1048576,$B141,MATCH("Impact/Effect of the RAID",'RAID Log'!$1:$1,0)),"")="","",IFERROR(INDEX('RAID Log'!$1:$1048576,$B141,MATCH("Impact/Effect of the RAID",'RAID Log'!$1:$1,0)),"")))</f>
        <v/>
      </c>
      <c r="E141" s="85" t="str">
        <f>IF($B141="","",IF(IFERROR(INDEX('RAID Log'!$1:$1048576,$B141,MATCH("Impact Area",'RAID Log'!$1:$1,0)),"")="","",IFERROR(INDEX('RAID Log'!$1:$1048576,$B141,MATCH("Impact Area",'RAID Log'!$1:$1,0)),"")))</f>
        <v/>
      </c>
      <c r="F141" s="85" t="str">
        <f>IF($B141="","",IF(IFERROR(INDEX('RAID Log'!$1:$1048576,$B141,MATCH("Impact Area",'RAID Log'!$1:$1,0)),"")="","",IFERROR(INDEX('RAID Log'!$1:$1048576,$B141,MATCH("Impact Area",'RAID Log'!$1:$1,0)),"")))</f>
        <v/>
      </c>
      <c r="G141" s="85" t="str">
        <f>IF($B141="","",IF(IFERROR(INDEX('RAID Log'!$1:$1048576,$B141,MATCH("Impact Rating",'RAID Log'!$1:$1,0)),"")="","",IFERROR(INDEX('RAID Log'!$1:$1048576,$B141,MATCH("Impact Rating",'RAID Log'!$1:$1,0)),"")))</f>
        <v/>
      </c>
      <c r="H141" s="85" t="str">
        <f>IF($B141="","",IF(IFERROR(INDEX('RAID Log'!$1:$1048576,$B141,MATCH("Initial Probability",'RAID Log'!$1:$1,0)),"")="","",IFERROR(INDEX('RAID Log'!$1:$1048576,$B141,MATCH("Initial Probability",'RAID Log'!$1:$1,0)),"")))</f>
        <v/>
      </c>
      <c r="I141" s="86" t="str">
        <f t="shared" si="6"/>
        <v/>
      </c>
      <c r="J141" s="85" t="str">
        <f t="shared" si="7"/>
        <v/>
      </c>
      <c r="K141" s="86" t="str">
        <f t="shared" si="8"/>
        <v/>
      </c>
      <c r="L141" s="85" t="str">
        <f>IF($B141="","",IF(IFERROR(INDEX('RAID Log'!$1:$1048576,$B141,MATCH("Status",'RAID Log'!$1:$1,0)),"")="","",IFERROR(INDEX('RAID Log'!$1:$1048576,$B141,MATCH("Status",'RAID Log'!$1:$1,0)),"")))</f>
        <v/>
      </c>
      <c r="M141" s="85" t="str">
        <f>IF($B141="","",IF(IFERROR(INDEX('RAID Log'!$1:$1048576,$B141,MATCH("RAID Owner",'RAID Log'!$1:$1,0)),"")="","",IFERROR(INDEX('RAID Log'!$1:$1048576,$B141,MATCH("RAID Owner",'RAID Log'!$1:$1,0)),"")))</f>
        <v/>
      </c>
      <c r="N141" s="87" t="str">
        <f>IF($B141="","",IF(IFERROR(INDEX('RAID Log'!$1:$1048576,$B141,MATCH("Date Raised",'RAID Log'!$1:$1,0)),"")="","",IFERROR(INDEX('RAID Log'!$1:$1048576,$B141,MATCH("Date Raised",'RAID Log'!$1:$1,0)),"")))</f>
        <v/>
      </c>
      <c r="O141" s="87" t="str">
        <f>IF($B141="","",IF(IFERROR(INDEX('RAID Log'!$1:$1048576,$B141,MATCH("Closed Date",'RAID Log'!$1:$1,0)),"")="","",IFERROR(INDEX('RAID Log'!$1:$1048576,$B141,MATCH("Closed Date",'RAID Log'!$1:$1,0)),"")))</f>
        <v/>
      </c>
      <c r="P141" s="85" t="str">
        <f>IF($B141="","",IF(IFERROR(INDEX('RAID Log'!$1:$1048576,$B141,MATCH("Mitigation Strategy",'RAID Log'!$1:$1,0)),"")="","",IFERROR(INDEX('RAID Log'!$1:$1048576,$B141,MATCH("Mitigation Strategy",'RAID Log'!$1:$1,0)),"")))</f>
        <v/>
      </c>
      <c r="Q141" s="88" t="str">
        <f>IF($B141="","",IF(IFERROR(INDEX('RAID Log'!$1:$1048576,$B141,MATCH("RAID Response/Plan",'RAID Log'!$1:$1,0)),"")="","",IFERROR(INDEX('RAID Log'!$1:$1048576,$B141,MATCH("RAID Response/Plan",'RAID Log'!$1:$1,0)),"")))</f>
        <v/>
      </c>
    </row>
    <row r="142" spans="1:17" ht="14.25" customHeight="1">
      <c r="A142" s="82" t="str">
        <f>IF($B142="","",IF(IFERROR(INDEX('RAID Log'!$1:$1048576,$B142,MATCH("RAID ID",'RAID Log'!$1:$1,0)),"")="","",IFERROR(INDEX('RAID Log'!$1:$1048576,$B142,MATCH("RAID ID",'RAID Log'!$1:$1,0)),"")))</f>
        <v/>
      </c>
      <c r="B142" s="83" t="str">
        <f>IFERROR(MATCH(ROW()-1,'RAID Log'!$S:$S,0),"")</f>
        <v/>
      </c>
      <c r="C142" s="84" t="str">
        <f>IF($B142="","",IF(IFERROR(INDEX('RAID Log'!$1:$1048576,$B142,MATCH("Description",'RAID Log'!$1:$1,0)),"")="","",IFERROR(INDEX('RAID Log'!$1:$1048576,$B142,MATCH("Description",'RAID Log'!$1:$1,0)),"")))</f>
        <v/>
      </c>
      <c r="D142" s="84" t="str">
        <f>IF($B142="","",IF(IFERROR(INDEX('RAID Log'!$1:$1048576,$B142,MATCH("Impact/Effect of the RAID",'RAID Log'!$1:$1,0)),"")="","",IFERROR(INDEX('RAID Log'!$1:$1048576,$B142,MATCH("Impact/Effect of the RAID",'RAID Log'!$1:$1,0)),"")))</f>
        <v/>
      </c>
      <c r="E142" s="85" t="str">
        <f>IF($B142="","",IF(IFERROR(INDEX('RAID Log'!$1:$1048576,$B142,MATCH("Impact Area",'RAID Log'!$1:$1,0)),"")="","",IFERROR(INDEX('RAID Log'!$1:$1048576,$B142,MATCH("Impact Area",'RAID Log'!$1:$1,0)),"")))</f>
        <v/>
      </c>
      <c r="F142" s="85" t="str">
        <f>IF($B142="","",IF(IFERROR(INDEX('RAID Log'!$1:$1048576,$B142,MATCH("Impact Area",'RAID Log'!$1:$1,0)),"")="","",IFERROR(INDEX('RAID Log'!$1:$1048576,$B142,MATCH("Impact Area",'RAID Log'!$1:$1,0)),"")))</f>
        <v/>
      </c>
      <c r="G142" s="85" t="str">
        <f>IF($B142="","",IF(IFERROR(INDEX('RAID Log'!$1:$1048576,$B142,MATCH("Impact Rating",'RAID Log'!$1:$1,0)),"")="","",IFERROR(INDEX('RAID Log'!$1:$1048576,$B142,MATCH("Impact Rating",'RAID Log'!$1:$1,0)),"")))</f>
        <v/>
      </c>
      <c r="H142" s="85" t="str">
        <f>IF($B142="","",IF(IFERROR(INDEX('RAID Log'!$1:$1048576,$B142,MATCH("Initial Probability",'RAID Log'!$1:$1,0)),"")="","",IFERROR(INDEX('RAID Log'!$1:$1048576,$B142,MATCH("Initial Probability",'RAID Log'!$1:$1,0)),"")))</f>
        <v/>
      </c>
      <c r="I142" s="86" t="str">
        <f t="shared" si="6"/>
        <v/>
      </c>
      <c r="J142" s="85" t="str">
        <f t="shared" si="7"/>
        <v/>
      </c>
      <c r="K142" s="86" t="str">
        <f t="shared" si="8"/>
        <v/>
      </c>
      <c r="L142" s="85" t="str">
        <f>IF($B142="","",IF(IFERROR(INDEX('RAID Log'!$1:$1048576,$B142,MATCH("Status",'RAID Log'!$1:$1,0)),"")="","",IFERROR(INDEX('RAID Log'!$1:$1048576,$B142,MATCH("Status",'RAID Log'!$1:$1,0)),"")))</f>
        <v/>
      </c>
      <c r="M142" s="85" t="str">
        <f>IF($B142="","",IF(IFERROR(INDEX('RAID Log'!$1:$1048576,$B142,MATCH("RAID Owner",'RAID Log'!$1:$1,0)),"")="","",IFERROR(INDEX('RAID Log'!$1:$1048576,$B142,MATCH("RAID Owner",'RAID Log'!$1:$1,0)),"")))</f>
        <v/>
      </c>
      <c r="N142" s="87" t="str">
        <f>IF($B142="","",IF(IFERROR(INDEX('RAID Log'!$1:$1048576,$B142,MATCH("Date Raised",'RAID Log'!$1:$1,0)),"")="","",IFERROR(INDEX('RAID Log'!$1:$1048576,$B142,MATCH("Date Raised",'RAID Log'!$1:$1,0)),"")))</f>
        <v/>
      </c>
      <c r="O142" s="87" t="str">
        <f>IF($B142="","",IF(IFERROR(INDEX('RAID Log'!$1:$1048576,$B142,MATCH("Closed Date",'RAID Log'!$1:$1,0)),"")="","",IFERROR(INDEX('RAID Log'!$1:$1048576,$B142,MATCH("Closed Date",'RAID Log'!$1:$1,0)),"")))</f>
        <v/>
      </c>
      <c r="P142" s="85" t="str">
        <f>IF($B142="","",IF(IFERROR(INDEX('RAID Log'!$1:$1048576,$B142,MATCH("Mitigation Strategy",'RAID Log'!$1:$1,0)),"")="","",IFERROR(INDEX('RAID Log'!$1:$1048576,$B142,MATCH("Mitigation Strategy",'RAID Log'!$1:$1,0)),"")))</f>
        <v/>
      </c>
      <c r="Q142" s="88" t="str">
        <f>IF($B142="","",IF(IFERROR(INDEX('RAID Log'!$1:$1048576,$B142,MATCH("RAID Response/Plan",'RAID Log'!$1:$1,0)),"")="","",IFERROR(INDEX('RAID Log'!$1:$1048576,$B142,MATCH("RAID Response/Plan",'RAID Log'!$1:$1,0)),"")))</f>
        <v/>
      </c>
    </row>
    <row r="143" spans="1:17" ht="14.25" customHeight="1">
      <c r="A143" s="82" t="str">
        <f>IF($B143="","",IF(IFERROR(INDEX('RAID Log'!$1:$1048576,$B143,MATCH("RAID ID",'RAID Log'!$1:$1,0)),"")="","",IFERROR(INDEX('RAID Log'!$1:$1048576,$B143,MATCH("RAID ID",'RAID Log'!$1:$1,0)),"")))</f>
        <v/>
      </c>
      <c r="B143" s="83" t="str">
        <f>IFERROR(MATCH(ROW()-1,'RAID Log'!$S:$S,0),"")</f>
        <v/>
      </c>
      <c r="C143" s="84" t="str">
        <f>IF($B143="","",IF(IFERROR(INDEX('RAID Log'!$1:$1048576,$B143,MATCH("Description",'RAID Log'!$1:$1,0)),"")="","",IFERROR(INDEX('RAID Log'!$1:$1048576,$B143,MATCH("Description",'RAID Log'!$1:$1,0)),"")))</f>
        <v/>
      </c>
      <c r="D143" s="84" t="str">
        <f>IF($B143="","",IF(IFERROR(INDEX('RAID Log'!$1:$1048576,$B143,MATCH("Impact/Effect of the RAID",'RAID Log'!$1:$1,0)),"")="","",IFERROR(INDEX('RAID Log'!$1:$1048576,$B143,MATCH("Impact/Effect of the RAID",'RAID Log'!$1:$1,0)),"")))</f>
        <v/>
      </c>
      <c r="E143" s="85" t="str">
        <f>IF($B143="","",IF(IFERROR(INDEX('RAID Log'!$1:$1048576,$B143,MATCH("Impact Area",'RAID Log'!$1:$1,0)),"")="","",IFERROR(INDEX('RAID Log'!$1:$1048576,$B143,MATCH("Impact Area",'RAID Log'!$1:$1,0)),"")))</f>
        <v/>
      </c>
      <c r="F143" s="85" t="str">
        <f>IF($B143="","",IF(IFERROR(INDEX('RAID Log'!$1:$1048576,$B143,MATCH("Impact Area",'RAID Log'!$1:$1,0)),"")="","",IFERROR(INDEX('RAID Log'!$1:$1048576,$B143,MATCH("Impact Area",'RAID Log'!$1:$1,0)),"")))</f>
        <v/>
      </c>
      <c r="G143" s="85" t="str">
        <f>IF($B143="","",IF(IFERROR(INDEX('RAID Log'!$1:$1048576,$B143,MATCH("Impact Rating",'RAID Log'!$1:$1,0)),"")="","",IFERROR(INDEX('RAID Log'!$1:$1048576,$B143,MATCH("Impact Rating",'RAID Log'!$1:$1,0)),"")))</f>
        <v/>
      </c>
      <c r="H143" s="85" t="str">
        <f>IF($B143="","",IF(IFERROR(INDEX('RAID Log'!$1:$1048576,$B143,MATCH("Initial Probability",'RAID Log'!$1:$1,0)),"")="","",IFERROR(INDEX('RAID Log'!$1:$1048576,$B143,MATCH("Initial Probability",'RAID Log'!$1:$1,0)),"")))</f>
        <v/>
      </c>
      <c r="I143" s="86" t="str">
        <f t="shared" si="6"/>
        <v/>
      </c>
      <c r="J143" s="85" t="str">
        <f t="shared" si="7"/>
        <v/>
      </c>
      <c r="K143" s="86" t="str">
        <f t="shared" si="8"/>
        <v/>
      </c>
      <c r="L143" s="85" t="str">
        <f>IF($B143="","",IF(IFERROR(INDEX('RAID Log'!$1:$1048576,$B143,MATCH("Status",'RAID Log'!$1:$1,0)),"")="","",IFERROR(INDEX('RAID Log'!$1:$1048576,$B143,MATCH("Status",'RAID Log'!$1:$1,0)),"")))</f>
        <v/>
      </c>
      <c r="M143" s="85" t="str">
        <f>IF($B143="","",IF(IFERROR(INDEX('RAID Log'!$1:$1048576,$B143,MATCH("RAID Owner",'RAID Log'!$1:$1,0)),"")="","",IFERROR(INDEX('RAID Log'!$1:$1048576,$B143,MATCH("RAID Owner",'RAID Log'!$1:$1,0)),"")))</f>
        <v/>
      </c>
      <c r="N143" s="87" t="str">
        <f>IF($B143="","",IF(IFERROR(INDEX('RAID Log'!$1:$1048576,$B143,MATCH("Date Raised",'RAID Log'!$1:$1,0)),"")="","",IFERROR(INDEX('RAID Log'!$1:$1048576,$B143,MATCH("Date Raised",'RAID Log'!$1:$1,0)),"")))</f>
        <v/>
      </c>
      <c r="O143" s="87" t="str">
        <f>IF($B143="","",IF(IFERROR(INDEX('RAID Log'!$1:$1048576,$B143,MATCH("Closed Date",'RAID Log'!$1:$1,0)),"")="","",IFERROR(INDEX('RAID Log'!$1:$1048576,$B143,MATCH("Closed Date",'RAID Log'!$1:$1,0)),"")))</f>
        <v/>
      </c>
      <c r="P143" s="85" t="str">
        <f>IF($B143="","",IF(IFERROR(INDEX('RAID Log'!$1:$1048576,$B143,MATCH("Mitigation Strategy",'RAID Log'!$1:$1,0)),"")="","",IFERROR(INDEX('RAID Log'!$1:$1048576,$B143,MATCH("Mitigation Strategy",'RAID Log'!$1:$1,0)),"")))</f>
        <v/>
      </c>
      <c r="Q143" s="88" t="str">
        <f>IF($B143="","",IF(IFERROR(INDEX('RAID Log'!$1:$1048576,$B143,MATCH("RAID Response/Plan",'RAID Log'!$1:$1,0)),"")="","",IFERROR(INDEX('RAID Log'!$1:$1048576,$B143,MATCH("RAID Response/Plan",'RAID Log'!$1:$1,0)),"")))</f>
        <v/>
      </c>
    </row>
    <row r="144" spans="1:17" ht="14.25" customHeight="1">
      <c r="A144" s="82" t="str">
        <f>IF($B144="","",IF(IFERROR(INDEX('RAID Log'!$1:$1048576,$B144,MATCH("RAID ID",'RAID Log'!$1:$1,0)),"")="","",IFERROR(INDEX('RAID Log'!$1:$1048576,$B144,MATCH("RAID ID",'RAID Log'!$1:$1,0)),"")))</f>
        <v/>
      </c>
      <c r="B144" s="83" t="str">
        <f>IFERROR(MATCH(ROW()-1,'RAID Log'!$S:$S,0),"")</f>
        <v/>
      </c>
      <c r="C144" s="84" t="str">
        <f>IF($B144="","",IF(IFERROR(INDEX('RAID Log'!$1:$1048576,$B144,MATCH("Description",'RAID Log'!$1:$1,0)),"")="","",IFERROR(INDEX('RAID Log'!$1:$1048576,$B144,MATCH("Description",'RAID Log'!$1:$1,0)),"")))</f>
        <v/>
      </c>
      <c r="D144" s="84" t="str">
        <f>IF($B144="","",IF(IFERROR(INDEX('RAID Log'!$1:$1048576,$B144,MATCH("Impact/Effect of the RAID",'RAID Log'!$1:$1,0)),"")="","",IFERROR(INDEX('RAID Log'!$1:$1048576,$B144,MATCH("Impact/Effect of the RAID",'RAID Log'!$1:$1,0)),"")))</f>
        <v/>
      </c>
      <c r="E144" s="85" t="str">
        <f>IF($B144="","",IF(IFERROR(INDEX('RAID Log'!$1:$1048576,$B144,MATCH("Impact Area",'RAID Log'!$1:$1,0)),"")="","",IFERROR(INDEX('RAID Log'!$1:$1048576,$B144,MATCH("Impact Area",'RAID Log'!$1:$1,0)),"")))</f>
        <v/>
      </c>
      <c r="F144" s="85" t="str">
        <f>IF($B144="","",IF(IFERROR(INDEX('RAID Log'!$1:$1048576,$B144,MATCH("Impact Area",'RAID Log'!$1:$1,0)),"")="","",IFERROR(INDEX('RAID Log'!$1:$1048576,$B144,MATCH("Impact Area",'RAID Log'!$1:$1,0)),"")))</f>
        <v/>
      </c>
      <c r="G144" s="85" t="str">
        <f>IF($B144="","",IF(IFERROR(INDEX('RAID Log'!$1:$1048576,$B144,MATCH("Impact Rating",'RAID Log'!$1:$1,0)),"")="","",IFERROR(INDEX('RAID Log'!$1:$1048576,$B144,MATCH("Impact Rating",'RAID Log'!$1:$1,0)),"")))</f>
        <v/>
      </c>
      <c r="H144" s="85" t="str">
        <f>IF($B144="","",IF(IFERROR(INDEX('RAID Log'!$1:$1048576,$B144,MATCH("Initial Probability",'RAID Log'!$1:$1,0)),"")="","",IFERROR(INDEX('RAID Log'!$1:$1048576,$B144,MATCH("Initial Probability",'RAID Log'!$1:$1,0)),"")))</f>
        <v/>
      </c>
      <c r="I144" s="86" t="str">
        <f t="shared" si="6"/>
        <v/>
      </c>
      <c r="J144" s="85" t="str">
        <f t="shared" si="7"/>
        <v/>
      </c>
      <c r="K144" s="86" t="str">
        <f t="shared" si="8"/>
        <v/>
      </c>
      <c r="L144" s="85" t="str">
        <f>IF($B144="","",IF(IFERROR(INDEX('RAID Log'!$1:$1048576,$B144,MATCH("Status",'RAID Log'!$1:$1,0)),"")="","",IFERROR(INDEX('RAID Log'!$1:$1048576,$B144,MATCH("Status",'RAID Log'!$1:$1,0)),"")))</f>
        <v/>
      </c>
      <c r="M144" s="85" t="str">
        <f>IF($B144="","",IF(IFERROR(INDEX('RAID Log'!$1:$1048576,$B144,MATCH("RAID Owner",'RAID Log'!$1:$1,0)),"")="","",IFERROR(INDEX('RAID Log'!$1:$1048576,$B144,MATCH("RAID Owner",'RAID Log'!$1:$1,0)),"")))</f>
        <v/>
      </c>
      <c r="N144" s="87" t="str">
        <f>IF($B144="","",IF(IFERROR(INDEX('RAID Log'!$1:$1048576,$B144,MATCH("Date Raised",'RAID Log'!$1:$1,0)),"")="","",IFERROR(INDEX('RAID Log'!$1:$1048576,$B144,MATCH("Date Raised",'RAID Log'!$1:$1,0)),"")))</f>
        <v/>
      </c>
      <c r="O144" s="87" t="str">
        <f>IF($B144="","",IF(IFERROR(INDEX('RAID Log'!$1:$1048576,$B144,MATCH("Closed Date",'RAID Log'!$1:$1,0)),"")="","",IFERROR(INDEX('RAID Log'!$1:$1048576,$B144,MATCH("Closed Date",'RAID Log'!$1:$1,0)),"")))</f>
        <v/>
      </c>
      <c r="P144" s="85" t="str">
        <f>IF($B144="","",IF(IFERROR(INDEX('RAID Log'!$1:$1048576,$B144,MATCH("Mitigation Strategy",'RAID Log'!$1:$1,0)),"")="","",IFERROR(INDEX('RAID Log'!$1:$1048576,$B144,MATCH("Mitigation Strategy",'RAID Log'!$1:$1,0)),"")))</f>
        <v/>
      </c>
      <c r="Q144" s="88" t="str">
        <f>IF($B144="","",IF(IFERROR(INDEX('RAID Log'!$1:$1048576,$B144,MATCH("RAID Response/Plan",'RAID Log'!$1:$1,0)),"")="","",IFERROR(INDEX('RAID Log'!$1:$1048576,$B144,MATCH("RAID Response/Plan",'RAID Log'!$1:$1,0)),"")))</f>
        <v/>
      </c>
    </row>
    <row r="145" spans="1:17" ht="14.25" customHeight="1">
      <c r="A145" s="82" t="str">
        <f>IF($B145="","",IF(IFERROR(INDEX('RAID Log'!$1:$1048576,$B145,MATCH("RAID ID",'RAID Log'!$1:$1,0)),"")="","",IFERROR(INDEX('RAID Log'!$1:$1048576,$B145,MATCH("RAID ID",'RAID Log'!$1:$1,0)),"")))</f>
        <v/>
      </c>
      <c r="B145" s="83" t="str">
        <f>IFERROR(MATCH(ROW()-1,'RAID Log'!$S:$S,0),"")</f>
        <v/>
      </c>
      <c r="C145" s="84" t="str">
        <f>IF($B145="","",IF(IFERROR(INDEX('RAID Log'!$1:$1048576,$B145,MATCH("Description",'RAID Log'!$1:$1,0)),"")="","",IFERROR(INDEX('RAID Log'!$1:$1048576,$B145,MATCH("Description",'RAID Log'!$1:$1,0)),"")))</f>
        <v/>
      </c>
      <c r="D145" s="84" t="str">
        <f>IF($B145="","",IF(IFERROR(INDEX('RAID Log'!$1:$1048576,$B145,MATCH("Impact/Effect of the RAID",'RAID Log'!$1:$1,0)),"")="","",IFERROR(INDEX('RAID Log'!$1:$1048576,$B145,MATCH("Impact/Effect of the RAID",'RAID Log'!$1:$1,0)),"")))</f>
        <v/>
      </c>
      <c r="E145" s="85" t="str">
        <f>IF($B145="","",IF(IFERROR(INDEX('RAID Log'!$1:$1048576,$B145,MATCH("Impact Area",'RAID Log'!$1:$1,0)),"")="","",IFERROR(INDEX('RAID Log'!$1:$1048576,$B145,MATCH("Impact Area",'RAID Log'!$1:$1,0)),"")))</f>
        <v/>
      </c>
      <c r="F145" s="85" t="str">
        <f>IF($B145="","",IF(IFERROR(INDEX('RAID Log'!$1:$1048576,$B145,MATCH("Impact Area",'RAID Log'!$1:$1,0)),"")="","",IFERROR(INDEX('RAID Log'!$1:$1048576,$B145,MATCH("Impact Area",'RAID Log'!$1:$1,0)),"")))</f>
        <v/>
      </c>
      <c r="G145" s="85" t="str">
        <f>IF($B145="","",IF(IFERROR(INDEX('RAID Log'!$1:$1048576,$B145,MATCH("Impact Rating",'RAID Log'!$1:$1,0)),"")="","",IFERROR(INDEX('RAID Log'!$1:$1048576,$B145,MATCH("Impact Rating",'RAID Log'!$1:$1,0)),"")))</f>
        <v/>
      </c>
      <c r="H145" s="85" t="str">
        <f>IF($B145="","",IF(IFERROR(INDEX('RAID Log'!$1:$1048576,$B145,MATCH("Initial Probability",'RAID Log'!$1:$1,0)),"")="","",IFERROR(INDEX('RAID Log'!$1:$1048576,$B145,MATCH("Initial Probability",'RAID Log'!$1:$1,0)),"")))</f>
        <v/>
      </c>
      <c r="I145" s="86" t="str">
        <f t="shared" si="6"/>
        <v/>
      </c>
      <c r="J145" s="85" t="str">
        <f t="shared" si="7"/>
        <v/>
      </c>
      <c r="K145" s="86" t="str">
        <f t="shared" si="8"/>
        <v/>
      </c>
      <c r="L145" s="85" t="str">
        <f>IF($B145="","",IF(IFERROR(INDEX('RAID Log'!$1:$1048576,$B145,MATCH("Status",'RAID Log'!$1:$1,0)),"")="","",IFERROR(INDEX('RAID Log'!$1:$1048576,$B145,MATCH("Status",'RAID Log'!$1:$1,0)),"")))</f>
        <v/>
      </c>
      <c r="M145" s="85" t="str">
        <f>IF($B145="","",IF(IFERROR(INDEX('RAID Log'!$1:$1048576,$B145,MATCH("RAID Owner",'RAID Log'!$1:$1,0)),"")="","",IFERROR(INDEX('RAID Log'!$1:$1048576,$B145,MATCH("RAID Owner",'RAID Log'!$1:$1,0)),"")))</f>
        <v/>
      </c>
      <c r="N145" s="87" t="str">
        <f>IF($B145="","",IF(IFERROR(INDEX('RAID Log'!$1:$1048576,$B145,MATCH("Date Raised",'RAID Log'!$1:$1,0)),"")="","",IFERROR(INDEX('RAID Log'!$1:$1048576,$B145,MATCH("Date Raised",'RAID Log'!$1:$1,0)),"")))</f>
        <v/>
      </c>
      <c r="O145" s="87" t="str">
        <f>IF($B145="","",IF(IFERROR(INDEX('RAID Log'!$1:$1048576,$B145,MATCH("Closed Date",'RAID Log'!$1:$1,0)),"")="","",IFERROR(INDEX('RAID Log'!$1:$1048576,$B145,MATCH("Closed Date",'RAID Log'!$1:$1,0)),"")))</f>
        <v/>
      </c>
      <c r="P145" s="85" t="str">
        <f>IF($B145="","",IF(IFERROR(INDEX('RAID Log'!$1:$1048576,$B145,MATCH("Mitigation Strategy",'RAID Log'!$1:$1,0)),"")="","",IFERROR(INDEX('RAID Log'!$1:$1048576,$B145,MATCH("Mitigation Strategy",'RAID Log'!$1:$1,0)),"")))</f>
        <v/>
      </c>
      <c r="Q145" s="88" t="str">
        <f>IF($B145="","",IF(IFERROR(INDEX('RAID Log'!$1:$1048576,$B145,MATCH("RAID Response/Plan",'RAID Log'!$1:$1,0)),"")="","",IFERROR(INDEX('RAID Log'!$1:$1048576,$B145,MATCH("RAID Response/Plan",'RAID Log'!$1:$1,0)),"")))</f>
        <v/>
      </c>
    </row>
    <row r="146" spans="1:17" ht="14.25" customHeight="1">
      <c r="A146" s="82" t="str">
        <f>IF($B146="","",IF(IFERROR(INDEX('RAID Log'!$1:$1048576,$B146,MATCH("RAID ID",'RAID Log'!$1:$1,0)),"")="","",IFERROR(INDEX('RAID Log'!$1:$1048576,$B146,MATCH("RAID ID",'RAID Log'!$1:$1,0)),"")))</f>
        <v/>
      </c>
      <c r="B146" s="83" t="str">
        <f>IFERROR(MATCH(ROW()-1,'RAID Log'!$S:$S,0),"")</f>
        <v/>
      </c>
      <c r="C146" s="84" t="str">
        <f>IF($B146="","",IF(IFERROR(INDEX('RAID Log'!$1:$1048576,$B146,MATCH("Description",'RAID Log'!$1:$1,0)),"")="","",IFERROR(INDEX('RAID Log'!$1:$1048576,$B146,MATCH("Description",'RAID Log'!$1:$1,0)),"")))</f>
        <v/>
      </c>
      <c r="D146" s="84" t="str">
        <f>IF($B146="","",IF(IFERROR(INDEX('RAID Log'!$1:$1048576,$B146,MATCH("Impact/Effect of the RAID",'RAID Log'!$1:$1,0)),"")="","",IFERROR(INDEX('RAID Log'!$1:$1048576,$B146,MATCH("Impact/Effect of the RAID",'RAID Log'!$1:$1,0)),"")))</f>
        <v/>
      </c>
      <c r="E146" s="85" t="str">
        <f>IF($B146="","",IF(IFERROR(INDEX('RAID Log'!$1:$1048576,$B146,MATCH("Impact Area",'RAID Log'!$1:$1,0)),"")="","",IFERROR(INDEX('RAID Log'!$1:$1048576,$B146,MATCH("Impact Area",'RAID Log'!$1:$1,0)),"")))</f>
        <v/>
      </c>
      <c r="F146" s="85" t="str">
        <f>IF($B146="","",IF(IFERROR(INDEX('RAID Log'!$1:$1048576,$B146,MATCH("Impact Area",'RAID Log'!$1:$1,0)),"")="","",IFERROR(INDEX('RAID Log'!$1:$1048576,$B146,MATCH("Impact Area",'RAID Log'!$1:$1,0)),"")))</f>
        <v/>
      </c>
      <c r="G146" s="85" t="str">
        <f>IF($B146="","",IF(IFERROR(INDEX('RAID Log'!$1:$1048576,$B146,MATCH("Impact Rating",'RAID Log'!$1:$1,0)),"")="","",IFERROR(INDEX('RAID Log'!$1:$1048576,$B146,MATCH("Impact Rating",'RAID Log'!$1:$1,0)),"")))</f>
        <v/>
      </c>
      <c r="H146" s="85" t="str">
        <f>IF($B146="","",IF(IFERROR(INDEX('RAID Log'!$1:$1048576,$B146,MATCH("Initial Probability",'RAID Log'!$1:$1,0)),"")="","",IFERROR(INDEX('RAID Log'!$1:$1048576,$B146,MATCH("Initial Probability",'RAID Log'!$1:$1,0)),"")))</f>
        <v/>
      </c>
      <c r="I146" s="86" t="str">
        <f t="shared" si="6"/>
        <v/>
      </c>
      <c r="J146" s="85" t="str">
        <f t="shared" si="7"/>
        <v/>
      </c>
      <c r="K146" s="86" t="str">
        <f t="shared" si="8"/>
        <v/>
      </c>
      <c r="L146" s="85" t="str">
        <f>IF($B146="","",IF(IFERROR(INDEX('RAID Log'!$1:$1048576,$B146,MATCH("Status",'RAID Log'!$1:$1,0)),"")="","",IFERROR(INDEX('RAID Log'!$1:$1048576,$B146,MATCH("Status",'RAID Log'!$1:$1,0)),"")))</f>
        <v/>
      </c>
      <c r="M146" s="85" t="str">
        <f>IF($B146="","",IF(IFERROR(INDEX('RAID Log'!$1:$1048576,$B146,MATCH("RAID Owner",'RAID Log'!$1:$1,0)),"")="","",IFERROR(INDEX('RAID Log'!$1:$1048576,$B146,MATCH("RAID Owner",'RAID Log'!$1:$1,0)),"")))</f>
        <v/>
      </c>
      <c r="N146" s="87" t="str">
        <f>IF($B146="","",IF(IFERROR(INDEX('RAID Log'!$1:$1048576,$B146,MATCH("Date Raised",'RAID Log'!$1:$1,0)),"")="","",IFERROR(INDEX('RAID Log'!$1:$1048576,$B146,MATCH("Date Raised",'RAID Log'!$1:$1,0)),"")))</f>
        <v/>
      </c>
      <c r="O146" s="87" t="str">
        <f>IF($B146="","",IF(IFERROR(INDEX('RAID Log'!$1:$1048576,$B146,MATCH("Closed Date",'RAID Log'!$1:$1,0)),"")="","",IFERROR(INDEX('RAID Log'!$1:$1048576,$B146,MATCH("Closed Date",'RAID Log'!$1:$1,0)),"")))</f>
        <v/>
      </c>
      <c r="P146" s="85" t="str">
        <f>IF($B146="","",IF(IFERROR(INDEX('RAID Log'!$1:$1048576,$B146,MATCH("Mitigation Strategy",'RAID Log'!$1:$1,0)),"")="","",IFERROR(INDEX('RAID Log'!$1:$1048576,$B146,MATCH("Mitigation Strategy",'RAID Log'!$1:$1,0)),"")))</f>
        <v/>
      </c>
      <c r="Q146" s="88" t="str">
        <f>IF($B146="","",IF(IFERROR(INDEX('RAID Log'!$1:$1048576,$B146,MATCH("RAID Response/Plan",'RAID Log'!$1:$1,0)),"")="","",IFERROR(INDEX('RAID Log'!$1:$1048576,$B146,MATCH("RAID Response/Plan",'RAID Log'!$1:$1,0)),"")))</f>
        <v/>
      </c>
    </row>
    <row r="147" spans="1:17" ht="14.25" customHeight="1">
      <c r="A147" s="82" t="str">
        <f>IF($B147="","",IF(IFERROR(INDEX('RAID Log'!$1:$1048576,$B147,MATCH("RAID ID",'RAID Log'!$1:$1,0)),"")="","",IFERROR(INDEX('RAID Log'!$1:$1048576,$B147,MATCH("RAID ID",'RAID Log'!$1:$1,0)),"")))</f>
        <v/>
      </c>
      <c r="B147" s="83" t="str">
        <f>IFERROR(MATCH(ROW()-1,'RAID Log'!$S:$S,0),"")</f>
        <v/>
      </c>
      <c r="C147" s="84" t="str">
        <f>IF($B147="","",IF(IFERROR(INDEX('RAID Log'!$1:$1048576,$B147,MATCH("Description",'RAID Log'!$1:$1,0)),"")="","",IFERROR(INDEX('RAID Log'!$1:$1048576,$B147,MATCH("Description",'RAID Log'!$1:$1,0)),"")))</f>
        <v/>
      </c>
      <c r="D147" s="84" t="str">
        <f>IF($B147="","",IF(IFERROR(INDEX('RAID Log'!$1:$1048576,$B147,MATCH("Impact/Effect of the RAID",'RAID Log'!$1:$1,0)),"")="","",IFERROR(INDEX('RAID Log'!$1:$1048576,$B147,MATCH("Impact/Effect of the RAID",'RAID Log'!$1:$1,0)),"")))</f>
        <v/>
      </c>
      <c r="E147" s="85" t="str">
        <f>IF($B147="","",IF(IFERROR(INDEX('RAID Log'!$1:$1048576,$B147,MATCH("Impact Area",'RAID Log'!$1:$1,0)),"")="","",IFERROR(INDEX('RAID Log'!$1:$1048576,$B147,MATCH("Impact Area",'RAID Log'!$1:$1,0)),"")))</f>
        <v/>
      </c>
      <c r="F147" s="85" t="str">
        <f>IF($B147="","",IF(IFERROR(INDEX('RAID Log'!$1:$1048576,$B147,MATCH("Impact Area",'RAID Log'!$1:$1,0)),"")="","",IFERROR(INDEX('RAID Log'!$1:$1048576,$B147,MATCH("Impact Area",'RAID Log'!$1:$1,0)),"")))</f>
        <v/>
      </c>
      <c r="G147" s="85" t="str">
        <f>IF($B147="","",IF(IFERROR(INDEX('RAID Log'!$1:$1048576,$B147,MATCH("Impact Rating",'RAID Log'!$1:$1,0)),"")="","",IFERROR(INDEX('RAID Log'!$1:$1048576,$B147,MATCH("Impact Rating",'RAID Log'!$1:$1,0)),"")))</f>
        <v/>
      </c>
      <c r="H147" s="85" t="str">
        <f>IF($B147="","",IF(IFERROR(INDEX('RAID Log'!$1:$1048576,$B147,MATCH("Initial Probability",'RAID Log'!$1:$1,0)),"")="","",IFERROR(INDEX('RAID Log'!$1:$1048576,$B147,MATCH("Initial Probability",'RAID Log'!$1:$1,0)),"")))</f>
        <v/>
      </c>
      <c r="I147" s="86" t="str">
        <f t="shared" si="6"/>
        <v/>
      </c>
      <c r="J147" s="85" t="str">
        <f t="shared" si="7"/>
        <v/>
      </c>
      <c r="K147" s="86" t="str">
        <f t="shared" si="8"/>
        <v/>
      </c>
      <c r="L147" s="85" t="str">
        <f>IF($B147="","",IF(IFERROR(INDEX('RAID Log'!$1:$1048576,$B147,MATCH("Status",'RAID Log'!$1:$1,0)),"")="","",IFERROR(INDEX('RAID Log'!$1:$1048576,$B147,MATCH("Status",'RAID Log'!$1:$1,0)),"")))</f>
        <v/>
      </c>
      <c r="M147" s="85" t="str">
        <f>IF($B147="","",IF(IFERROR(INDEX('RAID Log'!$1:$1048576,$B147,MATCH("RAID Owner",'RAID Log'!$1:$1,0)),"")="","",IFERROR(INDEX('RAID Log'!$1:$1048576,$B147,MATCH("RAID Owner",'RAID Log'!$1:$1,0)),"")))</f>
        <v/>
      </c>
      <c r="N147" s="87" t="str">
        <f>IF($B147="","",IF(IFERROR(INDEX('RAID Log'!$1:$1048576,$B147,MATCH("Date Raised",'RAID Log'!$1:$1,0)),"")="","",IFERROR(INDEX('RAID Log'!$1:$1048576,$B147,MATCH("Date Raised",'RAID Log'!$1:$1,0)),"")))</f>
        <v/>
      </c>
      <c r="O147" s="87" t="str">
        <f>IF($B147="","",IF(IFERROR(INDEX('RAID Log'!$1:$1048576,$B147,MATCH("Closed Date",'RAID Log'!$1:$1,0)),"")="","",IFERROR(INDEX('RAID Log'!$1:$1048576,$B147,MATCH("Closed Date",'RAID Log'!$1:$1,0)),"")))</f>
        <v/>
      </c>
      <c r="P147" s="85" t="str">
        <f>IF($B147="","",IF(IFERROR(INDEX('RAID Log'!$1:$1048576,$B147,MATCH("Mitigation Strategy",'RAID Log'!$1:$1,0)),"")="","",IFERROR(INDEX('RAID Log'!$1:$1048576,$B147,MATCH("Mitigation Strategy",'RAID Log'!$1:$1,0)),"")))</f>
        <v/>
      </c>
      <c r="Q147" s="88" t="str">
        <f>IF($B147="","",IF(IFERROR(INDEX('RAID Log'!$1:$1048576,$B147,MATCH("RAID Response/Plan",'RAID Log'!$1:$1,0)),"")="","",IFERROR(INDEX('RAID Log'!$1:$1048576,$B147,MATCH("RAID Response/Plan",'RAID Log'!$1:$1,0)),"")))</f>
        <v/>
      </c>
    </row>
    <row r="148" spans="1:17" ht="14.25" customHeight="1">
      <c r="A148" s="82" t="str">
        <f>IF($B148="","",IF(IFERROR(INDEX('RAID Log'!$1:$1048576,$B148,MATCH("RAID ID",'RAID Log'!$1:$1,0)),"")="","",IFERROR(INDEX('RAID Log'!$1:$1048576,$B148,MATCH("RAID ID",'RAID Log'!$1:$1,0)),"")))</f>
        <v/>
      </c>
      <c r="B148" s="83" t="str">
        <f>IFERROR(MATCH(ROW()-1,'RAID Log'!$S:$S,0),"")</f>
        <v/>
      </c>
      <c r="C148" s="84" t="str">
        <f>IF($B148="","",IF(IFERROR(INDEX('RAID Log'!$1:$1048576,$B148,MATCH("Description",'RAID Log'!$1:$1,0)),"")="","",IFERROR(INDEX('RAID Log'!$1:$1048576,$B148,MATCH("Description",'RAID Log'!$1:$1,0)),"")))</f>
        <v/>
      </c>
      <c r="D148" s="84" t="str">
        <f>IF($B148="","",IF(IFERROR(INDEX('RAID Log'!$1:$1048576,$B148,MATCH("Impact/Effect of the RAID",'RAID Log'!$1:$1,0)),"")="","",IFERROR(INDEX('RAID Log'!$1:$1048576,$B148,MATCH("Impact/Effect of the RAID",'RAID Log'!$1:$1,0)),"")))</f>
        <v/>
      </c>
      <c r="E148" s="85" t="str">
        <f>IF($B148="","",IF(IFERROR(INDEX('RAID Log'!$1:$1048576,$B148,MATCH("Impact Area",'RAID Log'!$1:$1,0)),"")="","",IFERROR(INDEX('RAID Log'!$1:$1048576,$B148,MATCH("Impact Area",'RAID Log'!$1:$1,0)),"")))</f>
        <v/>
      </c>
      <c r="F148" s="85" t="str">
        <f>IF($B148="","",IF(IFERROR(INDEX('RAID Log'!$1:$1048576,$B148,MATCH("Impact Area",'RAID Log'!$1:$1,0)),"")="","",IFERROR(INDEX('RAID Log'!$1:$1048576,$B148,MATCH("Impact Area",'RAID Log'!$1:$1,0)),"")))</f>
        <v/>
      </c>
      <c r="G148" s="85" t="str">
        <f>IF($B148="","",IF(IFERROR(INDEX('RAID Log'!$1:$1048576,$B148,MATCH("Impact Rating",'RAID Log'!$1:$1,0)),"")="","",IFERROR(INDEX('RAID Log'!$1:$1048576,$B148,MATCH("Impact Rating",'RAID Log'!$1:$1,0)),"")))</f>
        <v/>
      </c>
      <c r="H148" s="85" t="str">
        <f>IF($B148="","",IF(IFERROR(INDEX('RAID Log'!$1:$1048576,$B148,MATCH("Initial Probability",'RAID Log'!$1:$1,0)),"")="","",IFERROR(INDEX('RAID Log'!$1:$1048576,$B148,MATCH("Initial Probability",'RAID Log'!$1:$1,0)),"")))</f>
        <v/>
      </c>
      <c r="I148" s="86" t="str">
        <f t="shared" si="6"/>
        <v/>
      </c>
      <c r="J148" s="85" t="str">
        <f t="shared" si="7"/>
        <v/>
      </c>
      <c r="K148" s="86" t="str">
        <f t="shared" si="8"/>
        <v/>
      </c>
      <c r="L148" s="85" t="str">
        <f>IF($B148="","",IF(IFERROR(INDEX('RAID Log'!$1:$1048576,$B148,MATCH("Status",'RAID Log'!$1:$1,0)),"")="","",IFERROR(INDEX('RAID Log'!$1:$1048576,$B148,MATCH("Status",'RAID Log'!$1:$1,0)),"")))</f>
        <v/>
      </c>
      <c r="M148" s="85" t="str">
        <f>IF($B148="","",IF(IFERROR(INDEX('RAID Log'!$1:$1048576,$B148,MATCH("RAID Owner",'RAID Log'!$1:$1,0)),"")="","",IFERROR(INDEX('RAID Log'!$1:$1048576,$B148,MATCH("RAID Owner",'RAID Log'!$1:$1,0)),"")))</f>
        <v/>
      </c>
      <c r="N148" s="87" t="str">
        <f>IF($B148="","",IF(IFERROR(INDEX('RAID Log'!$1:$1048576,$B148,MATCH("Date Raised",'RAID Log'!$1:$1,0)),"")="","",IFERROR(INDEX('RAID Log'!$1:$1048576,$B148,MATCH("Date Raised",'RAID Log'!$1:$1,0)),"")))</f>
        <v/>
      </c>
      <c r="O148" s="87" t="str">
        <f>IF($B148="","",IF(IFERROR(INDEX('RAID Log'!$1:$1048576,$B148,MATCH("Closed Date",'RAID Log'!$1:$1,0)),"")="","",IFERROR(INDEX('RAID Log'!$1:$1048576,$B148,MATCH("Closed Date",'RAID Log'!$1:$1,0)),"")))</f>
        <v/>
      </c>
      <c r="P148" s="85" t="str">
        <f>IF($B148="","",IF(IFERROR(INDEX('RAID Log'!$1:$1048576,$B148,MATCH("Mitigation Strategy",'RAID Log'!$1:$1,0)),"")="","",IFERROR(INDEX('RAID Log'!$1:$1048576,$B148,MATCH("Mitigation Strategy",'RAID Log'!$1:$1,0)),"")))</f>
        <v/>
      </c>
      <c r="Q148" s="88" t="str">
        <f>IF($B148="","",IF(IFERROR(INDEX('RAID Log'!$1:$1048576,$B148,MATCH("RAID Response/Plan",'RAID Log'!$1:$1,0)),"")="","",IFERROR(INDEX('RAID Log'!$1:$1048576,$B148,MATCH("RAID Response/Plan",'RAID Log'!$1:$1,0)),"")))</f>
        <v/>
      </c>
    </row>
    <row r="149" spans="1:17" ht="14.25" customHeight="1">
      <c r="A149" s="82" t="str">
        <f>IF($B149="","",IF(IFERROR(INDEX('RAID Log'!$1:$1048576,$B149,MATCH("RAID ID",'RAID Log'!$1:$1,0)),"")="","",IFERROR(INDEX('RAID Log'!$1:$1048576,$B149,MATCH("RAID ID",'RAID Log'!$1:$1,0)),"")))</f>
        <v/>
      </c>
      <c r="B149" s="83" t="str">
        <f>IFERROR(MATCH(ROW()-1,'RAID Log'!$S:$S,0),"")</f>
        <v/>
      </c>
      <c r="C149" s="84" t="str">
        <f>IF($B149="","",IF(IFERROR(INDEX('RAID Log'!$1:$1048576,$B149,MATCH("Description",'RAID Log'!$1:$1,0)),"")="","",IFERROR(INDEX('RAID Log'!$1:$1048576,$B149,MATCH("Description",'RAID Log'!$1:$1,0)),"")))</f>
        <v/>
      </c>
      <c r="D149" s="84" t="str">
        <f>IF($B149="","",IF(IFERROR(INDEX('RAID Log'!$1:$1048576,$B149,MATCH("Impact/Effect of the RAID",'RAID Log'!$1:$1,0)),"")="","",IFERROR(INDEX('RAID Log'!$1:$1048576,$B149,MATCH("Impact/Effect of the RAID",'RAID Log'!$1:$1,0)),"")))</f>
        <v/>
      </c>
      <c r="E149" s="85" t="str">
        <f>IF($B149="","",IF(IFERROR(INDEX('RAID Log'!$1:$1048576,$B149,MATCH("Impact Area",'RAID Log'!$1:$1,0)),"")="","",IFERROR(INDEX('RAID Log'!$1:$1048576,$B149,MATCH("Impact Area",'RAID Log'!$1:$1,0)),"")))</f>
        <v/>
      </c>
      <c r="F149" s="85" t="str">
        <f>IF($B149="","",IF(IFERROR(INDEX('RAID Log'!$1:$1048576,$B149,MATCH("Impact Area",'RAID Log'!$1:$1,0)),"")="","",IFERROR(INDEX('RAID Log'!$1:$1048576,$B149,MATCH("Impact Area",'RAID Log'!$1:$1,0)),"")))</f>
        <v/>
      </c>
      <c r="G149" s="85" t="str">
        <f>IF($B149="","",IF(IFERROR(INDEX('RAID Log'!$1:$1048576,$B149,MATCH("Impact Rating",'RAID Log'!$1:$1,0)),"")="","",IFERROR(INDEX('RAID Log'!$1:$1048576,$B149,MATCH("Impact Rating",'RAID Log'!$1:$1,0)),"")))</f>
        <v/>
      </c>
      <c r="H149" s="85" t="str">
        <f>IF($B149="","",IF(IFERROR(INDEX('RAID Log'!$1:$1048576,$B149,MATCH("Initial Probability",'RAID Log'!$1:$1,0)),"")="","",IFERROR(INDEX('RAID Log'!$1:$1048576,$B149,MATCH("Initial Probability",'RAID Log'!$1:$1,0)),"")))</f>
        <v/>
      </c>
      <c r="I149" s="86" t="str">
        <f t="shared" si="6"/>
        <v/>
      </c>
      <c r="J149" s="85" t="str">
        <f t="shared" si="7"/>
        <v/>
      </c>
      <c r="K149" s="86" t="str">
        <f t="shared" si="8"/>
        <v/>
      </c>
      <c r="L149" s="85" t="str">
        <f>IF($B149="","",IF(IFERROR(INDEX('RAID Log'!$1:$1048576,$B149,MATCH("Status",'RAID Log'!$1:$1,0)),"")="","",IFERROR(INDEX('RAID Log'!$1:$1048576,$B149,MATCH("Status",'RAID Log'!$1:$1,0)),"")))</f>
        <v/>
      </c>
      <c r="M149" s="85" t="str">
        <f>IF($B149="","",IF(IFERROR(INDEX('RAID Log'!$1:$1048576,$B149,MATCH("RAID Owner",'RAID Log'!$1:$1,0)),"")="","",IFERROR(INDEX('RAID Log'!$1:$1048576,$B149,MATCH("RAID Owner",'RAID Log'!$1:$1,0)),"")))</f>
        <v/>
      </c>
      <c r="N149" s="87" t="str">
        <f>IF($B149="","",IF(IFERROR(INDEX('RAID Log'!$1:$1048576,$B149,MATCH("Date Raised",'RAID Log'!$1:$1,0)),"")="","",IFERROR(INDEX('RAID Log'!$1:$1048576,$B149,MATCH("Date Raised",'RAID Log'!$1:$1,0)),"")))</f>
        <v/>
      </c>
      <c r="O149" s="87" t="str">
        <f>IF($B149="","",IF(IFERROR(INDEX('RAID Log'!$1:$1048576,$B149,MATCH("Closed Date",'RAID Log'!$1:$1,0)),"")="","",IFERROR(INDEX('RAID Log'!$1:$1048576,$B149,MATCH("Closed Date",'RAID Log'!$1:$1,0)),"")))</f>
        <v/>
      </c>
      <c r="P149" s="85" t="str">
        <f>IF($B149="","",IF(IFERROR(INDEX('RAID Log'!$1:$1048576,$B149,MATCH("Mitigation Strategy",'RAID Log'!$1:$1,0)),"")="","",IFERROR(INDEX('RAID Log'!$1:$1048576,$B149,MATCH("Mitigation Strategy",'RAID Log'!$1:$1,0)),"")))</f>
        <v/>
      </c>
      <c r="Q149" s="88" t="str">
        <f>IF($B149="","",IF(IFERROR(INDEX('RAID Log'!$1:$1048576,$B149,MATCH("RAID Response/Plan",'RAID Log'!$1:$1,0)),"")="","",IFERROR(INDEX('RAID Log'!$1:$1048576,$B149,MATCH("RAID Response/Plan",'RAID Log'!$1:$1,0)),"")))</f>
        <v/>
      </c>
    </row>
    <row r="150" spans="1:17" ht="14.25" customHeight="1">
      <c r="A150" s="82" t="str">
        <f>IF($B150="","",IF(IFERROR(INDEX('RAID Log'!$1:$1048576,$B150,MATCH("RAID ID",'RAID Log'!$1:$1,0)),"")="","",IFERROR(INDEX('RAID Log'!$1:$1048576,$B150,MATCH("RAID ID",'RAID Log'!$1:$1,0)),"")))</f>
        <v/>
      </c>
      <c r="B150" s="83" t="str">
        <f>IFERROR(MATCH(ROW()-1,'RAID Log'!$S:$S,0),"")</f>
        <v/>
      </c>
      <c r="C150" s="84" t="str">
        <f>IF($B150="","",IF(IFERROR(INDEX('RAID Log'!$1:$1048576,$B150,MATCH("Description",'RAID Log'!$1:$1,0)),"")="","",IFERROR(INDEX('RAID Log'!$1:$1048576,$B150,MATCH("Description",'RAID Log'!$1:$1,0)),"")))</f>
        <v/>
      </c>
      <c r="D150" s="84" t="str">
        <f>IF($B150="","",IF(IFERROR(INDEX('RAID Log'!$1:$1048576,$B150,MATCH("Impact/Effect of the RAID",'RAID Log'!$1:$1,0)),"")="","",IFERROR(INDEX('RAID Log'!$1:$1048576,$B150,MATCH("Impact/Effect of the RAID",'RAID Log'!$1:$1,0)),"")))</f>
        <v/>
      </c>
      <c r="E150" s="85" t="str">
        <f>IF($B150="","",IF(IFERROR(INDEX('RAID Log'!$1:$1048576,$B150,MATCH("Impact Area",'RAID Log'!$1:$1,0)),"")="","",IFERROR(INDEX('RAID Log'!$1:$1048576,$B150,MATCH("Impact Area",'RAID Log'!$1:$1,0)),"")))</f>
        <v/>
      </c>
      <c r="F150" s="85" t="str">
        <f>IF($B150="","",IF(IFERROR(INDEX('RAID Log'!$1:$1048576,$B150,MATCH("Impact Area",'RAID Log'!$1:$1,0)),"")="","",IFERROR(INDEX('RAID Log'!$1:$1048576,$B150,MATCH("Impact Area",'RAID Log'!$1:$1,0)),"")))</f>
        <v/>
      </c>
      <c r="G150" s="85" t="str">
        <f>IF($B150="","",IF(IFERROR(INDEX('RAID Log'!$1:$1048576,$B150,MATCH("Impact Rating",'RAID Log'!$1:$1,0)),"")="","",IFERROR(INDEX('RAID Log'!$1:$1048576,$B150,MATCH("Impact Rating",'RAID Log'!$1:$1,0)),"")))</f>
        <v/>
      </c>
      <c r="H150" s="85" t="str">
        <f>IF($B150="","",IF(IFERROR(INDEX('RAID Log'!$1:$1048576,$B150,MATCH("Initial Probability",'RAID Log'!$1:$1,0)),"")="","",IFERROR(INDEX('RAID Log'!$1:$1048576,$B150,MATCH("Initial Probability",'RAID Log'!$1:$1,0)),"")))</f>
        <v/>
      </c>
      <c r="I150" s="86" t="str">
        <f t="shared" si="6"/>
        <v/>
      </c>
      <c r="J150" s="85" t="str">
        <f t="shared" si="7"/>
        <v/>
      </c>
      <c r="K150" s="86" t="str">
        <f t="shared" si="8"/>
        <v/>
      </c>
      <c r="L150" s="85" t="str">
        <f>IF($B150="","",IF(IFERROR(INDEX('RAID Log'!$1:$1048576,$B150,MATCH("Status",'RAID Log'!$1:$1,0)),"")="","",IFERROR(INDEX('RAID Log'!$1:$1048576,$B150,MATCH("Status",'RAID Log'!$1:$1,0)),"")))</f>
        <v/>
      </c>
      <c r="M150" s="85" t="str">
        <f>IF($B150="","",IF(IFERROR(INDEX('RAID Log'!$1:$1048576,$B150,MATCH("RAID Owner",'RAID Log'!$1:$1,0)),"")="","",IFERROR(INDEX('RAID Log'!$1:$1048576,$B150,MATCH("RAID Owner",'RAID Log'!$1:$1,0)),"")))</f>
        <v/>
      </c>
      <c r="N150" s="87" t="str">
        <f>IF($B150="","",IF(IFERROR(INDEX('RAID Log'!$1:$1048576,$B150,MATCH("Date Raised",'RAID Log'!$1:$1,0)),"")="","",IFERROR(INDEX('RAID Log'!$1:$1048576,$B150,MATCH("Date Raised",'RAID Log'!$1:$1,0)),"")))</f>
        <v/>
      </c>
      <c r="O150" s="87" t="str">
        <f>IF($B150="","",IF(IFERROR(INDEX('RAID Log'!$1:$1048576,$B150,MATCH("Closed Date",'RAID Log'!$1:$1,0)),"")="","",IFERROR(INDEX('RAID Log'!$1:$1048576,$B150,MATCH("Closed Date",'RAID Log'!$1:$1,0)),"")))</f>
        <v/>
      </c>
      <c r="P150" s="85" t="str">
        <f>IF($B150="","",IF(IFERROR(INDEX('RAID Log'!$1:$1048576,$B150,MATCH("Mitigation Strategy",'RAID Log'!$1:$1,0)),"")="","",IFERROR(INDEX('RAID Log'!$1:$1048576,$B150,MATCH("Mitigation Strategy",'RAID Log'!$1:$1,0)),"")))</f>
        <v/>
      </c>
      <c r="Q150" s="88" t="str">
        <f>IF($B150="","",IF(IFERROR(INDEX('RAID Log'!$1:$1048576,$B150,MATCH("RAID Response/Plan",'RAID Log'!$1:$1,0)),"")="","",IFERROR(INDEX('RAID Log'!$1:$1048576,$B150,MATCH("RAID Response/Plan",'RAID Log'!$1:$1,0)),"")))</f>
        <v/>
      </c>
    </row>
    <row r="151" spans="1:17" ht="14.25" customHeight="1">
      <c r="A151" s="82" t="str">
        <f>IF($B151="","",IF(IFERROR(INDEX('RAID Log'!$1:$1048576,$B151,MATCH("RAID ID",'RAID Log'!$1:$1,0)),"")="","",IFERROR(INDEX('RAID Log'!$1:$1048576,$B151,MATCH("RAID ID",'RAID Log'!$1:$1,0)),"")))</f>
        <v/>
      </c>
      <c r="B151" s="83" t="str">
        <f>IFERROR(MATCH(ROW()-1,'RAID Log'!$S:$S,0),"")</f>
        <v/>
      </c>
      <c r="C151" s="84" t="str">
        <f>IF($B151="","",IF(IFERROR(INDEX('RAID Log'!$1:$1048576,$B151,MATCH("Description",'RAID Log'!$1:$1,0)),"")="","",IFERROR(INDEX('RAID Log'!$1:$1048576,$B151,MATCH("Description",'RAID Log'!$1:$1,0)),"")))</f>
        <v/>
      </c>
      <c r="D151" s="84" t="str">
        <f>IF($B151="","",IF(IFERROR(INDEX('RAID Log'!$1:$1048576,$B151,MATCH("Impact/Effect of the RAID",'RAID Log'!$1:$1,0)),"")="","",IFERROR(INDEX('RAID Log'!$1:$1048576,$B151,MATCH("Impact/Effect of the RAID",'RAID Log'!$1:$1,0)),"")))</f>
        <v/>
      </c>
      <c r="E151" s="85" t="str">
        <f>IF($B151="","",IF(IFERROR(INDEX('RAID Log'!$1:$1048576,$B151,MATCH("Impact Area",'RAID Log'!$1:$1,0)),"")="","",IFERROR(INDEX('RAID Log'!$1:$1048576,$B151,MATCH("Impact Area",'RAID Log'!$1:$1,0)),"")))</f>
        <v/>
      </c>
      <c r="F151" s="85" t="str">
        <f>IF($B151="","",IF(IFERROR(INDEX('RAID Log'!$1:$1048576,$B151,MATCH("Impact Area",'RAID Log'!$1:$1,0)),"")="","",IFERROR(INDEX('RAID Log'!$1:$1048576,$B151,MATCH("Impact Area",'RAID Log'!$1:$1,0)),"")))</f>
        <v/>
      </c>
      <c r="G151" s="85" t="str">
        <f>IF($B151="","",IF(IFERROR(INDEX('RAID Log'!$1:$1048576,$B151,MATCH("Impact Rating",'RAID Log'!$1:$1,0)),"")="","",IFERROR(INDEX('RAID Log'!$1:$1048576,$B151,MATCH("Impact Rating",'RAID Log'!$1:$1,0)),"")))</f>
        <v/>
      </c>
      <c r="H151" s="85" t="str">
        <f>IF($B151="","",IF(IFERROR(INDEX('RAID Log'!$1:$1048576,$B151,MATCH("Initial Probability",'RAID Log'!$1:$1,0)),"")="","",IFERROR(INDEX('RAID Log'!$1:$1048576,$B151,MATCH("Initial Probability",'RAID Log'!$1:$1,0)),"")))</f>
        <v/>
      </c>
      <c r="I151" s="86" t="str">
        <f t="shared" si="6"/>
        <v/>
      </c>
      <c r="J151" s="85" t="str">
        <f t="shared" si="7"/>
        <v/>
      </c>
      <c r="K151" s="86" t="str">
        <f t="shared" si="8"/>
        <v/>
      </c>
      <c r="L151" s="85" t="str">
        <f>IF($B151="","",IF(IFERROR(INDEX('RAID Log'!$1:$1048576,$B151,MATCH("Status",'RAID Log'!$1:$1,0)),"")="","",IFERROR(INDEX('RAID Log'!$1:$1048576,$B151,MATCH("Status",'RAID Log'!$1:$1,0)),"")))</f>
        <v/>
      </c>
      <c r="M151" s="85" t="str">
        <f>IF($B151="","",IF(IFERROR(INDEX('RAID Log'!$1:$1048576,$B151,MATCH("RAID Owner",'RAID Log'!$1:$1,0)),"")="","",IFERROR(INDEX('RAID Log'!$1:$1048576,$B151,MATCH("RAID Owner",'RAID Log'!$1:$1,0)),"")))</f>
        <v/>
      </c>
      <c r="N151" s="87" t="str">
        <f>IF($B151="","",IF(IFERROR(INDEX('RAID Log'!$1:$1048576,$B151,MATCH("Date Raised",'RAID Log'!$1:$1,0)),"")="","",IFERROR(INDEX('RAID Log'!$1:$1048576,$B151,MATCH("Date Raised",'RAID Log'!$1:$1,0)),"")))</f>
        <v/>
      </c>
      <c r="O151" s="87" t="str">
        <f>IF($B151="","",IF(IFERROR(INDEX('RAID Log'!$1:$1048576,$B151,MATCH("Closed Date",'RAID Log'!$1:$1,0)),"")="","",IFERROR(INDEX('RAID Log'!$1:$1048576,$B151,MATCH("Closed Date",'RAID Log'!$1:$1,0)),"")))</f>
        <v/>
      </c>
      <c r="P151" s="85" t="str">
        <f>IF($B151="","",IF(IFERROR(INDEX('RAID Log'!$1:$1048576,$B151,MATCH("Mitigation Strategy",'RAID Log'!$1:$1,0)),"")="","",IFERROR(INDEX('RAID Log'!$1:$1048576,$B151,MATCH("Mitigation Strategy",'RAID Log'!$1:$1,0)),"")))</f>
        <v/>
      </c>
      <c r="Q151" s="88" t="str">
        <f>IF($B151="","",IF(IFERROR(INDEX('RAID Log'!$1:$1048576,$B151,MATCH("RAID Response/Plan",'RAID Log'!$1:$1,0)),"")="","",IFERROR(INDEX('RAID Log'!$1:$1048576,$B151,MATCH("RAID Response/Plan",'RAID Log'!$1:$1,0)),"")))</f>
        <v/>
      </c>
    </row>
    <row r="152" spans="1:17" ht="14.25" customHeight="1">
      <c r="A152" s="82" t="str">
        <f>IF($B152="","",IF(IFERROR(INDEX('RAID Log'!$1:$1048576,$B152,MATCH("RAID ID",'RAID Log'!$1:$1,0)),"")="","",IFERROR(INDEX('RAID Log'!$1:$1048576,$B152,MATCH("RAID ID",'RAID Log'!$1:$1,0)),"")))</f>
        <v/>
      </c>
      <c r="B152" s="83" t="str">
        <f>IFERROR(MATCH(ROW()-1,'RAID Log'!$S:$S,0),"")</f>
        <v/>
      </c>
      <c r="C152" s="84" t="str">
        <f>IF($B152="","",IF(IFERROR(INDEX('RAID Log'!$1:$1048576,$B152,MATCH("Description",'RAID Log'!$1:$1,0)),"")="","",IFERROR(INDEX('RAID Log'!$1:$1048576,$B152,MATCH("Description",'RAID Log'!$1:$1,0)),"")))</f>
        <v/>
      </c>
      <c r="D152" s="84" t="str">
        <f>IF($B152="","",IF(IFERROR(INDEX('RAID Log'!$1:$1048576,$B152,MATCH("Impact/Effect of the RAID",'RAID Log'!$1:$1,0)),"")="","",IFERROR(INDEX('RAID Log'!$1:$1048576,$B152,MATCH("Impact/Effect of the RAID",'RAID Log'!$1:$1,0)),"")))</f>
        <v/>
      </c>
      <c r="E152" s="85" t="str">
        <f>IF($B152="","",IF(IFERROR(INDEX('RAID Log'!$1:$1048576,$B152,MATCH("Impact Area",'RAID Log'!$1:$1,0)),"")="","",IFERROR(INDEX('RAID Log'!$1:$1048576,$B152,MATCH("Impact Area",'RAID Log'!$1:$1,0)),"")))</f>
        <v/>
      </c>
      <c r="F152" s="85" t="str">
        <f>IF($B152="","",IF(IFERROR(INDEX('RAID Log'!$1:$1048576,$B152,MATCH("Impact Area",'RAID Log'!$1:$1,0)),"")="","",IFERROR(INDEX('RAID Log'!$1:$1048576,$B152,MATCH("Impact Area",'RAID Log'!$1:$1,0)),"")))</f>
        <v/>
      </c>
      <c r="G152" s="85" t="str">
        <f>IF($B152="","",IF(IFERROR(INDEX('RAID Log'!$1:$1048576,$B152,MATCH("Impact Rating",'RAID Log'!$1:$1,0)),"")="","",IFERROR(INDEX('RAID Log'!$1:$1048576,$B152,MATCH("Impact Rating",'RAID Log'!$1:$1,0)),"")))</f>
        <v/>
      </c>
      <c r="H152" s="85" t="str">
        <f>IF($B152="","",IF(IFERROR(INDEX('RAID Log'!$1:$1048576,$B152,MATCH("Initial Probability",'RAID Log'!$1:$1,0)),"")="","",IFERROR(INDEX('RAID Log'!$1:$1048576,$B152,MATCH("Initial Probability",'RAID Log'!$1:$1,0)),"")))</f>
        <v/>
      </c>
      <c r="I152" s="86" t="str">
        <f t="shared" si="6"/>
        <v/>
      </c>
      <c r="J152" s="85" t="str">
        <f t="shared" si="7"/>
        <v/>
      </c>
      <c r="K152" s="86" t="str">
        <f t="shared" si="8"/>
        <v/>
      </c>
      <c r="L152" s="85" t="str">
        <f>IF($B152="","",IF(IFERROR(INDEX('RAID Log'!$1:$1048576,$B152,MATCH("Status",'RAID Log'!$1:$1,0)),"")="","",IFERROR(INDEX('RAID Log'!$1:$1048576,$B152,MATCH("Status",'RAID Log'!$1:$1,0)),"")))</f>
        <v/>
      </c>
      <c r="M152" s="85" t="str">
        <f>IF($B152="","",IF(IFERROR(INDEX('RAID Log'!$1:$1048576,$B152,MATCH("RAID Owner",'RAID Log'!$1:$1,0)),"")="","",IFERROR(INDEX('RAID Log'!$1:$1048576,$B152,MATCH("RAID Owner",'RAID Log'!$1:$1,0)),"")))</f>
        <v/>
      </c>
      <c r="N152" s="87" t="str">
        <f>IF($B152="","",IF(IFERROR(INDEX('RAID Log'!$1:$1048576,$B152,MATCH("Date Raised",'RAID Log'!$1:$1,0)),"")="","",IFERROR(INDEX('RAID Log'!$1:$1048576,$B152,MATCH("Date Raised",'RAID Log'!$1:$1,0)),"")))</f>
        <v/>
      </c>
      <c r="O152" s="87" t="str">
        <f>IF($B152="","",IF(IFERROR(INDEX('RAID Log'!$1:$1048576,$B152,MATCH("Closed Date",'RAID Log'!$1:$1,0)),"")="","",IFERROR(INDEX('RAID Log'!$1:$1048576,$B152,MATCH("Closed Date",'RAID Log'!$1:$1,0)),"")))</f>
        <v/>
      </c>
      <c r="P152" s="85" t="str">
        <f>IF($B152="","",IF(IFERROR(INDEX('RAID Log'!$1:$1048576,$B152,MATCH("Mitigation Strategy",'RAID Log'!$1:$1,0)),"")="","",IFERROR(INDEX('RAID Log'!$1:$1048576,$B152,MATCH("Mitigation Strategy",'RAID Log'!$1:$1,0)),"")))</f>
        <v/>
      </c>
      <c r="Q152" s="88" t="str">
        <f>IF($B152="","",IF(IFERROR(INDEX('RAID Log'!$1:$1048576,$B152,MATCH("RAID Response/Plan",'RAID Log'!$1:$1,0)),"")="","",IFERROR(INDEX('RAID Log'!$1:$1048576,$B152,MATCH("RAID Response/Plan",'RAID Log'!$1:$1,0)),"")))</f>
        <v/>
      </c>
    </row>
    <row r="153" spans="1:17" ht="14.25" customHeight="1">
      <c r="A153" s="82" t="str">
        <f>IF($B153="","",IF(IFERROR(INDEX('RAID Log'!$1:$1048576,$B153,MATCH("RAID ID",'RAID Log'!$1:$1,0)),"")="","",IFERROR(INDEX('RAID Log'!$1:$1048576,$B153,MATCH("RAID ID",'RAID Log'!$1:$1,0)),"")))</f>
        <v/>
      </c>
      <c r="B153" s="83" t="str">
        <f>IFERROR(MATCH(ROW()-1,'RAID Log'!$S:$S,0),"")</f>
        <v/>
      </c>
      <c r="C153" s="84" t="str">
        <f>IF($B153="","",IF(IFERROR(INDEX('RAID Log'!$1:$1048576,$B153,MATCH("Description",'RAID Log'!$1:$1,0)),"")="","",IFERROR(INDEX('RAID Log'!$1:$1048576,$B153,MATCH("Description",'RAID Log'!$1:$1,0)),"")))</f>
        <v/>
      </c>
      <c r="D153" s="84" t="str">
        <f>IF($B153="","",IF(IFERROR(INDEX('RAID Log'!$1:$1048576,$B153,MATCH("Impact/Effect of the RAID",'RAID Log'!$1:$1,0)),"")="","",IFERROR(INDEX('RAID Log'!$1:$1048576,$B153,MATCH("Impact/Effect of the RAID",'RAID Log'!$1:$1,0)),"")))</f>
        <v/>
      </c>
      <c r="E153" s="85" t="str">
        <f>IF($B153="","",IF(IFERROR(INDEX('RAID Log'!$1:$1048576,$B153,MATCH("Impact Area",'RAID Log'!$1:$1,0)),"")="","",IFERROR(INDEX('RAID Log'!$1:$1048576,$B153,MATCH("Impact Area",'RAID Log'!$1:$1,0)),"")))</f>
        <v/>
      </c>
      <c r="F153" s="85" t="str">
        <f>IF($B153="","",IF(IFERROR(INDEX('RAID Log'!$1:$1048576,$B153,MATCH("Impact Area",'RAID Log'!$1:$1,0)),"")="","",IFERROR(INDEX('RAID Log'!$1:$1048576,$B153,MATCH("Impact Area",'RAID Log'!$1:$1,0)),"")))</f>
        <v/>
      </c>
      <c r="G153" s="85" t="str">
        <f>IF($B153="","",IF(IFERROR(INDEX('RAID Log'!$1:$1048576,$B153,MATCH("Impact Rating",'RAID Log'!$1:$1,0)),"")="","",IFERROR(INDEX('RAID Log'!$1:$1048576,$B153,MATCH("Impact Rating",'RAID Log'!$1:$1,0)),"")))</f>
        <v/>
      </c>
      <c r="H153" s="85" t="str">
        <f>IF($B153="","",IF(IFERROR(INDEX('RAID Log'!$1:$1048576,$B153,MATCH("Initial Probability",'RAID Log'!$1:$1,0)),"")="","",IFERROR(INDEX('RAID Log'!$1:$1048576,$B153,MATCH("Initial Probability",'RAID Log'!$1:$1,0)),"")))</f>
        <v/>
      </c>
      <c r="I153" s="86" t="str">
        <f t="shared" si="6"/>
        <v/>
      </c>
      <c r="J153" s="85" t="str">
        <f t="shared" si="7"/>
        <v/>
      </c>
      <c r="K153" s="86" t="str">
        <f t="shared" si="8"/>
        <v/>
      </c>
      <c r="L153" s="85" t="str">
        <f>IF($B153="","",IF(IFERROR(INDEX('RAID Log'!$1:$1048576,$B153,MATCH("Status",'RAID Log'!$1:$1,0)),"")="","",IFERROR(INDEX('RAID Log'!$1:$1048576,$B153,MATCH("Status",'RAID Log'!$1:$1,0)),"")))</f>
        <v/>
      </c>
      <c r="M153" s="85" t="str">
        <f>IF($B153="","",IF(IFERROR(INDEX('RAID Log'!$1:$1048576,$B153,MATCH("RAID Owner",'RAID Log'!$1:$1,0)),"")="","",IFERROR(INDEX('RAID Log'!$1:$1048576,$B153,MATCH("RAID Owner",'RAID Log'!$1:$1,0)),"")))</f>
        <v/>
      </c>
      <c r="N153" s="87" t="str">
        <f>IF($B153="","",IF(IFERROR(INDEX('RAID Log'!$1:$1048576,$B153,MATCH("Date Raised",'RAID Log'!$1:$1,0)),"")="","",IFERROR(INDEX('RAID Log'!$1:$1048576,$B153,MATCH("Date Raised",'RAID Log'!$1:$1,0)),"")))</f>
        <v/>
      </c>
      <c r="O153" s="87" t="str">
        <f>IF($B153="","",IF(IFERROR(INDEX('RAID Log'!$1:$1048576,$B153,MATCH("Closed Date",'RAID Log'!$1:$1,0)),"")="","",IFERROR(INDEX('RAID Log'!$1:$1048576,$B153,MATCH("Closed Date",'RAID Log'!$1:$1,0)),"")))</f>
        <v/>
      </c>
      <c r="P153" s="85" t="str">
        <f>IF($B153="","",IF(IFERROR(INDEX('RAID Log'!$1:$1048576,$B153,MATCH("Mitigation Strategy",'RAID Log'!$1:$1,0)),"")="","",IFERROR(INDEX('RAID Log'!$1:$1048576,$B153,MATCH("Mitigation Strategy",'RAID Log'!$1:$1,0)),"")))</f>
        <v/>
      </c>
      <c r="Q153" s="88" t="str">
        <f>IF($B153="","",IF(IFERROR(INDEX('RAID Log'!$1:$1048576,$B153,MATCH("RAID Response/Plan",'RAID Log'!$1:$1,0)),"")="","",IFERROR(INDEX('RAID Log'!$1:$1048576,$B153,MATCH("RAID Response/Plan",'RAID Log'!$1:$1,0)),"")))</f>
        <v/>
      </c>
    </row>
    <row r="154" spans="1:17" ht="14.25" customHeight="1">
      <c r="A154" s="82" t="str">
        <f>IF($B154="","",IF(IFERROR(INDEX('RAID Log'!$1:$1048576,$B154,MATCH("RAID ID",'RAID Log'!$1:$1,0)),"")="","",IFERROR(INDEX('RAID Log'!$1:$1048576,$B154,MATCH("RAID ID",'RAID Log'!$1:$1,0)),"")))</f>
        <v/>
      </c>
      <c r="B154" s="83" t="str">
        <f>IFERROR(MATCH(ROW()-1,'RAID Log'!$S:$S,0),"")</f>
        <v/>
      </c>
      <c r="C154" s="84" t="str">
        <f>IF($B154="","",IF(IFERROR(INDEX('RAID Log'!$1:$1048576,$B154,MATCH("Description",'RAID Log'!$1:$1,0)),"")="","",IFERROR(INDEX('RAID Log'!$1:$1048576,$B154,MATCH("Description",'RAID Log'!$1:$1,0)),"")))</f>
        <v/>
      </c>
      <c r="D154" s="84" t="str">
        <f>IF($B154="","",IF(IFERROR(INDEX('RAID Log'!$1:$1048576,$B154,MATCH("Impact/Effect of the RAID",'RAID Log'!$1:$1,0)),"")="","",IFERROR(INDEX('RAID Log'!$1:$1048576,$B154,MATCH("Impact/Effect of the RAID",'RAID Log'!$1:$1,0)),"")))</f>
        <v/>
      </c>
      <c r="E154" s="85" t="str">
        <f>IF($B154="","",IF(IFERROR(INDEX('RAID Log'!$1:$1048576,$B154,MATCH("Impact Area",'RAID Log'!$1:$1,0)),"")="","",IFERROR(INDEX('RAID Log'!$1:$1048576,$B154,MATCH("Impact Area",'RAID Log'!$1:$1,0)),"")))</f>
        <v/>
      </c>
      <c r="F154" s="85" t="str">
        <f>IF($B154="","",IF(IFERROR(INDEX('RAID Log'!$1:$1048576,$B154,MATCH("Impact Area",'RAID Log'!$1:$1,0)),"")="","",IFERROR(INDEX('RAID Log'!$1:$1048576,$B154,MATCH("Impact Area",'RAID Log'!$1:$1,0)),"")))</f>
        <v/>
      </c>
      <c r="G154" s="85" t="str">
        <f>IF($B154="","",IF(IFERROR(INDEX('RAID Log'!$1:$1048576,$B154,MATCH("Impact Rating",'RAID Log'!$1:$1,0)),"")="","",IFERROR(INDEX('RAID Log'!$1:$1048576,$B154,MATCH("Impact Rating",'RAID Log'!$1:$1,0)),"")))</f>
        <v/>
      </c>
      <c r="H154" s="85" t="str">
        <f>IF($B154="","",IF(IFERROR(INDEX('RAID Log'!$1:$1048576,$B154,MATCH("Initial Probability",'RAID Log'!$1:$1,0)),"")="","",IFERROR(INDEX('RAID Log'!$1:$1048576,$B154,MATCH("Initial Probability",'RAID Log'!$1:$1,0)),"")))</f>
        <v/>
      </c>
      <c r="I154" s="86" t="str">
        <f t="shared" si="6"/>
        <v/>
      </c>
      <c r="J154" s="85" t="str">
        <f t="shared" si="7"/>
        <v/>
      </c>
      <c r="K154" s="86" t="str">
        <f t="shared" si="8"/>
        <v/>
      </c>
      <c r="L154" s="85" t="str">
        <f>IF($B154="","",IF(IFERROR(INDEX('RAID Log'!$1:$1048576,$B154,MATCH("Status",'RAID Log'!$1:$1,0)),"")="","",IFERROR(INDEX('RAID Log'!$1:$1048576,$B154,MATCH("Status",'RAID Log'!$1:$1,0)),"")))</f>
        <v/>
      </c>
      <c r="M154" s="85" t="str">
        <f>IF($B154="","",IF(IFERROR(INDEX('RAID Log'!$1:$1048576,$B154,MATCH("RAID Owner",'RAID Log'!$1:$1,0)),"")="","",IFERROR(INDEX('RAID Log'!$1:$1048576,$B154,MATCH("RAID Owner",'RAID Log'!$1:$1,0)),"")))</f>
        <v/>
      </c>
      <c r="N154" s="87" t="str">
        <f>IF($B154="","",IF(IFERROR(INDEX('RAID Log'!$1:$1048576,$B154,MATCH("Date Raised",'RAID Log'!$1:$1,0)),"")="","",IFERROR(INDEX('RAID Log'!$1:$1048576,$B154,MATCH("Date Raised",'RAID Log'!$1:$1,0)),"")))</f>
        <v/>
      </c>
      <c r="O154" s="87" t="str">
        <f>IF($B154="","",IF(IFERROR(INDEX('RAID Log'!$1:$1048576,$B154,MATCH("Closed Date",'RAID Log'!$1:$1,0)),"")="","",IFERROR(INDEX('RAID Log'!$1:$1048576,$B154,MATCH("Closed Date",'RAID Log'!$1:$1,0)),"")))</f>
        <v/>
      </c>
      <c r="P154" s="85" t="str">
        <f>IF($B154="","",IF(IFERROR(INDEX('RAID Log'!$1:$1048576,$B154,MATCH("Mitigation Strategy",'RAID Log'!$1:$1,0)),"")="","",IFERROR(INDEX('RAID Log'!$1:$1048576,$B154,MATCH("Mitigation Strategy",'RAID Log'!$1:$1,0)),"")))</f>
        <v/>
      </c>
      <c r="Q154" s="88" t="str">
        <f>IF($B154="","",IF(IFERROR(INDEX('RAID Log'!$1:$1048576,$B154,MATCH("RAID Response/Plan",'RAID Log'!$1:$1,0)),"")="","",IFERROR(INDEX('RAID Log'!$1:$1048576,$B154,MATCH("RAID Response/Plan",'RAID Log'!$1:$1,0)),"")))</f>
        <v/>
      </c>
    </row>
    <row r="155" spans="1:17" ht="14.25" customHeight="1">
      <c r="A155" s="82" t="str">
        <f>IF($B155="","",IF(IFERROR(INDEX('RAID Log'!$1:$1048576,$B155,MATCH("RAID ID",'RAID Log'!$1:$1,0)),"")="","",IFERROR(INDEX('RAID Log'!$1:$1048576,$B155,MATCH("RAID ID",'RAID Log'!$1:$1,0)),"")))</f>
        <v/>
      </c>
      <c r="B155" s="83" t="str">
        <f>IFERROR(MATCH(ROW()-1,'RAID Log'!$S:$S,0),"")</f>
        <v/>
      </c>
      <c r="C155" s="84" t="str">
        <f>IF($B155="","",IF(IFERROR(INDEX('RAID Log'!$1:$1048576,$B155,MATCH("Description",'RAID Log'!$1:$1,0)),"")="","",IFERROR(INDEX('RAID Log'!$1:$1048576,$B155,MATCH("Description",'RAID Log'!$1:$1,0)),"")))</f>
        <v/>
      </c>
      <c r="D155" s="84" t="str">
        <f>IF($B155="","",IF(IFERROR(INDEX('RAID Log'!$1:$1048576,$B155,MATCH("Impact/Effect of the RAID",'RAID Log'!$1:$1,0)),"")="","",IFERROR(INDEX('RAID Log'!$1:$1048576,$B155,MATCH("Impact/Effect of the RAID",'RAID Log'!$1:$1,0)),"")))</f>
        <v/>
      </c>
      <c r="E155" s="85" t="str">
        <f>IF($B155="","",IF(IFERROR(INDEX('RAID Log'!$1:$1048576,$B155,MATCH("Impact Area",'RAID Log'!$1:$1,0)),"")="","",IFERROR(INDEX('RAID Log'!$1:$1048576,$B155,MATCH("Impact Area",'RAID Log'!$1:$1,0)),"")))</f>
        <v/>
      </c>
      <c r="F155" s="85" t="str">
        <f>IF($B155="","",IF(IFERROR(INDEX('RAID Log'!$1:$1048576,$B155,MATCH("Impact Area",'RAID Log'!$1:$1,0)),"")="","",IFERROR(INDEX('RAID Log'!$1:$1048576,$B155,MATCH("Impact Area",'RAID Log'!$1:$1,0)),"")))</f>
        <v/>
      </c>
      <c r="G155" s="85" t="str">
        <f>IF($B155="","",IF(IFERROR(INDEX('RAID Log'!$1:$1048576,$B155,MATCH("Impact Rating",'RAID Log'!$1:$1,0)),"")="","",IFERROR(INDEX('RAID Log'!$1:$1048576,$B155,MATCH("Impact Rating",'RAID Log'!$1:$1,0)),"")))</f>
        <v/>
      </c>
      <c r="H155" s="85" t="str">
        <f>IF($B155="","",IF(IFERROR(INDEX('RAID Log'!$1:$1048576,$B155,MATCH("Initial Probability",'RAID Log'!$1:$1,0)),"")="","",IFERROR(INDEX('RAID Log'!$1:$1048576,$B155,MATCH("Initial Probability",'RAID Log'!$1:$1,0)),"")))</f>
        <v/>
      </c>
      <c r="I155" s="86" t="str">
        <f t="shared" si="6"/>
        <v/>
      </c>
      <c r="J155" s="85" t="str">
        <f t="shared" si="7"/>
        <v/>
      </c>
      <c r="K155" s="86" t="str">
        <f t="shared" si="8"/>
        <v/>
      </c>
      <c r="L155" s="85" t="str">
        <f>IF($B155="","",IF(IFERROR(INDEX('RAID Log'!$1:$1048576,$B155,MATCH("Status",'RAID Log'!$1:$1,0)),"")="","",IFERROR(INDEX('RAID Log'!$1:$1048576,$B155,MATCH("Status",'RAID Log'!$1:$1,0)),"")))</f>
        <v/>
      </c>
      <c r="M155" s="85" t="str">
        <f>IF($B155="","",IF(IFERROR(INDEX('RAID Log'!$1:$1048576,$B155,MATCH("RAID Owner",'RAID Log'!$1:$1,0)),"")="","",IFERROR(INDEX('RAID Log'!$1:$1048576,$B155,MATCH("RAID Owner",'RAID Log'!$1:$1,0)),"")))</f>
        <v/>
      </c>
      <c r="N155" s="87" t="str">
        <f>IF($B155="","",IF(IFERROR(INDEX('RAID Log'!$1:$1048576,$B155,MATCH("Date Raised",'RAID Log'!$1:$1,0)),"")="","",IFERROR(INDEX('RAID Log'!$1:$1048576,$B155,MATCH("Date Raised",'RAID Log'!$1:$1,0)),"")))</f>
        <v/>
      </c>
      <c r="O155" s="87" t="str">
        <f>IF($B155="","",IF(IFERROR(INDEX('RAID Log'!$1:$1048576,$B155,MATCH("Closed Date",'RAID Log'!$1:$1,0)),"")="","",IFERROR(INDEX('RAID Log'!$1:$1048576,$B155,MATCH("Closed Date",'RAID Log'!$1:$1,0)),"")))</f>
        <v/>
      </c>
      <c r="P155" s="85" t="str">
        <f>IF($B155="","",IF(IFERROR(INDEX('RAID Log'!$1:$1048576,$B155,MATCH("Mitigation Strategy",'RAID Log'!$1:$1,0)),"")="","",IFERROR(INDEX('RAID Log'!$1:$1048576,$B155,MATCH("Mitigation Strategy",'RAID Log'!$1:$1,0)),"")))</f>
        <v/>
      </c>
      <c r="Q155" s="88" t="str">
        <f>IF($B155="","",IF(IFERROR(INDEX('RAID Log'!$1:$1048576,$B155,MATCH("RAID Response/Plan",'RAID Log'!$1:$1,0)),"")="","",IFERROR(INDEX('RAID Log'!$1:$1048576,$B155,MATCH("RAID Response/Plan",'RAID Log'!$1:$1,0)),"")))</f>
        <v/>
      </c>
    </row>
    <row r="156" spans="1:17" ht="14.25" customHeight="1">
      <c r="A156" s="82" t="str">
        <f>IF($B156="","",IF(IFERROR(INDEX('RAID Log'!$1:$1048576,$B156,MATCH("RAID ID",'RAID Log'!$1:$1,0)),"")="","",IFERROR(INDEX('RAID Log'!$1:$1048576,$B156,MATCH("RAID ID",'RAID Log'!$1:$1,0)),"")))</f>
        <v/>
      </c>
      <c r="B156" s="83" t="str">
        <f>IFERROR(MATCH(ROW()-1,'RAID Log'!$S:$S,0),"")</f>
        <v/>
      </c>
      <c r="C156" s="84" t="str">
        <f>IF($B156="","",IF(IFERROR(INDEX('RAID Log'!$1:$1048576,$B156,MATCH("Description",'RAID Log'!$1:$1,0)),"")="","",IFERROR(INDEX('RAID Log'!$1:$1048576,$B156,MATCH("Description",'RAID Log'!$1:$1,0)),"")))</f>
        <v/>
      </c>
      <c r="D156" s="84" t="str">
        <f>IF($B156="","",IF(IFERROR(INDEX('RAID Log'!$1:$1048576,$B156,MATCH("Impact/Effect of the RAID",'RAID Log'!$1:$1,0)),"")="","",IFERROR(INDEX('RAID Log'!$1:$1048576,$B156,MATCH("Impact/Effect of the RAID",'RAID Log'!$1:$1,0)),"")))</f>
        <v/>
      </c>
      <c r="E156" s="85" t="str">
        <f>IF($B156="","",IF(IFERROR(INDEX('RAID Log'!$1:$1048576,$B156,MATCH("Impact Area",'RAID Log'!$1:$1,0)),"")="","",IFERROR(INDEX('RAID Log'!$1:$1048576,$B156,MATCH("Impact Area",'RAID Log'!$1:$1,0)),"")))</f>
        <v/>
      </c>
      <c r="F156" s="85" t="str">
        <f>IF($B156="","",IF(IFERROR(INDEX('RAID Log'!$1:$1048576,$B156,MATCH("Impact Area",'RAID Log'!$1:$1,0)),"")="","",IFERROR(INDEX('RAID Log'!$1:$1048576,$B156,MATCH("Impact Area",'RAID Log'!$1:$1,0)),"")))</f>
        <v/>
      </c>
      <c r="G156" s="85" t="str">
        <f>IF($B156="","",IF(IFERROR(INDEX('RAID Log'!$1:$1048576,$B156,MATCH("Impact Rating",'RAID Log'!$1:$1,0)),"")="","",IFERROR(INDEX('RAID Log'!$1:$1048576,$B156,MATCH("Impact Rating",'RAID Log'!$1:$1,0)),"")))</f>
        <v/>
      </c>
      <c r="H156" s="85" t="str">
        <f>IF($B156="","",IF(IFERROR(INDEX('RAID Log'!$1:$1048576,$B156,MATCH("Initial Probability",'RAID Log'!$1:$1,0)),"")="","",IFERROR(INDEX('RAID Log'!$1:$1048576,$B156,MATCH("Initial Probability",'RAID Log'!$1:$1,0)),"")))</f>
        <v/>
      </c>
      <c r="I156" s="86" t="str">
        <f t="shared" si="6"/>
        <v/>
      </c>
      <c r="J156" s="85" t="str">
        <f t="shared" si="7"/>
        <v/>
      </c>
      <c r="K156" s="86" t="str">
        <f t="shared" si="8"/>
        <v/>
      </c>
      <c r="L156" s="85" t="str">
        <f>IF($B156="","",IF(IFERROR(INDEX('RAID Log'!$1:$1048576,$B156,MATCH("Status",'RAID Log'!$1:$1,0)),"")="","",IFERROR(INDEX('RAID Log'!$1:$1048576,$B156,MATCH("Status",'RAID Log'!$1:$1,0)),"")))</f>
        <v/>
      </c>
      <c r="M156" s="85" t="str">
        <f>IF($B156="","",IF(IFERROR(INDEX('RAID Log'!$1:$1048576,$B156,MATCH("RAID Owner",'RAID Log'!$1:$1,0)),"")="","",IFERROR(INDEX('RAID Log'!$1:$1048576,$B156,MATCH("RAID Owner",'RAID Log'!$1:$1,0)),"")))</f>
        <v/>
      </c>
      <c r="N156" s="87" t="str">
        <f>IF($B156="","",IF(IFERROR(INDEX('RAID Log'!$1:$1048576,$B156,MATCH("Date Raised",'RAID Log'!$1:$1,0)),"")="","",IFERROR(INDEX('RAID Log'!$1:$1048576,$B156,MATCH("Date Raised",'RAID Log'!$1:$1,0)),"")))</f>
        <v/>
      </c>
      <c r="O156" s="87" t="str">
        <f>IF($B156="","",IF(IFERROR(INDEX('RAID Log'!$1:$1048576,$B156,MATCH("Closed Date",'RAID Log'!$1:$1,0)),"")="","",IFERROR(INDEX('RAID Log'!$1:$1048576,$B156,MATCH("Closed Date",'RAID Log'!$1:$1,0)),"")))</f>
        <v/>
      </c>
      <c r="P156" s="85" t="str">
        <f>IF($B156="","",IF(IFERROR(INDEX('RAID Log'!$1:$1048576,$B156,MATCH("Mitigation Strategy",'RAID Log'!$1:$1,0)),"")="","",IFERROR(INDEX('RAID Log'!$1:$1048576,$B156,MATCH("Mitigation Strategy",'RAID Log'!$1:$1,0)),"")))</f>
        <v/>
      </c>
      <c r="Q156" s="88" t="str">
        <f>IF($B156="","",IF(IFERROR(INDEX('RAID Log'!$1:$1048576,$B156,MATCH("RAID Response/Plan",'RAID Log'!$1:$1,0)),"")="","",IFERROR(INDEX('RAID Log'!$1:$1048576,$B156,MATCH("RAID Response/Plan",'RAID Log'!$1:$1,0)),"")))</f>
        <v/>
      </c>
    </row>
    <row r="157" spans="1:17" ht="14.25" customHeight="1">
      <c r="A157" s="82" t="str">
        <f>IF($B157="","",IF(IFERROR(INDEX('RAID Log'!$1:$1048576,$B157,MATCH("RAID ID",'RAID Log'!$1:$1,0)),"")="","",IFERROR(INDEX('RAID Log'!$1:$1048576,$B157,MATCH("RAID ID",'RAID Log'!$1:$1,0)),"")))</f>
        <v/>
      </c>
      <c r="B157" s="83" t="str">
        <f>IFERROR(MATCH(ROW()-1,'RAID Log'!$S:$S,0),"")</f>
        <v/>
      </c>
      <c r="C157" s="84" t="str">
        <f>IF($B157="","",IF(IFERROR(INDEX('RAID Log'!$1:$1048576,$B157,MATCH("Description",'RAID Log'!$1:$1,0)),"")="","",IFERROR(INDEX('RAID Log'!$1:$1048576,$B157,MATCH("Description",'RAID Log'!$1:$1,0)),"")))</f>
        <v/>
      </c>
      <c r="D157" s="84" t="str">
        <f>IF($B157="","",IF(IFERROR(INDEX('RAID Log'!$1:$1048576,$B157,MATCH("Impact/Effect of the RAID",'RAID Log'!$1:$1,0)),"")="","",IFERROR(INDEX('RAID Log'!$1:$1048576,$B157,MATCH("Impact/Effect of the RAID",'RAID Log'!$1:$1,0)),"")))</f>
        <v/>
      </c>
      <c r="E157" s="85" t="str">
        <f>IF($B157="","",IF(IFERROR(INDEX('RAID Log'!$1:$1048576,$B157,MATCH("Impact Area",'RAID Log'!$1:$1,0)),"")="","",IFERROR(INDEX('RAID Log'!$1:$1048576,$B157,MATCH("Impact Area",'RAID Log'!$1:$1,0)),"")))</f>
        <v/>
      </c>
      <c r="F157" s="85" t="str">
        <f>IF($B157="","",IF(IFERROR(INDEX('RAID Log'!$1:$1048576,$B157,MATCH("Impact Area",'RAID Log'!$1:$1,0)),"")="","",IFERROR(INDEX('RAID Log'!$1:$1048576,$B157,MATCH("Impact Area",'RAID Log'!$1:$1,0)),"")))</f>
        <v/>
      </c>
      <c r="G157" s="85" t="str">
        <f>IF($B157="","",IF(IFERROR(INDEX('RAID Log'!$1:$1048576,$B157,MATCH("Impact Rating",'RAID Log'!$1:$1,0)),"")="","",IFERROR(INDEX('RAID Log'!$1:$1048576,$B157,MATCH("Impact Rating",'RAID Log'!$1:$1,0)),"")))</f>
        <v/>
      </c>
      <c r="H157" s="85" t="str">
        <f>IF($B157="","",IF(IFERROR(INDEX('RAID Log'!$1:$1048576,$B157,MATCH("Initial Probability",'RAID Log'!$1:$1,0)),"")="","",IFERROR(INDEX('RAID Log'!$1:$1048576,$B157,MATCH("Initial Probability",'RAID Log'!$1:$1,0)),"")))</f>
        <v/>
      </c>
      <c r="I157" s="86" t="str">
        <f t="shared" si="6"/>
        <v/>
      </c>
      <c r="J157" s="85" t="str">
        <f t="shared" si="7"/>
        <v/>
      </c>
      <c r="K157" s="86" t="str">
        <f t="shared" si="8"/>
        <v/>
      </c>
      <c r="L157" s="85" t="str">
        <f>IF($B157="","",IF(IFERROR(INDEX('RAID Log'!$1:$1048576,$B157,MATCH("Status",'RAID Log'!$1:$1,0)),"")="","",IFERROR(INDEX('RAID Log'!$1:$1048576,$B157,MATCH("Status",'RAID Log'!$1:$1,0)),"")))</f>
        <v/>
      </c>
      <c r="M157" s="85" t="str">
        <f>IF($B157="","",IF(IFERROR(INDEX('RAID Log'!$1:$1048576,$B157,MATCH("RAID Owner",'RAID Log'!$1:$1,0)),"")="","",IFERROR(INDEX('RAID Log'!$1:$1048576,$B157,MATCH("RAID Owner",'RAID Log'!$1:$1,0)),"")))</f>
        <v/>
      </c>
      <c r="N157" s="87" t="str">
        <f>IF($B157="","",IF(IFERROR(INDEX('RAID Log'!$1:$1048576,$B157,MATCH("Date Raised",'RAID Log'!$1:$1,0)),"")="","",IFERROR(INDEX('RAID Log'!$1:$1048576,$B157,MATCH("Date Raised",'RAID Log'!$1:$1,0)),"")))</f>
        <v/>
      </c>
      <c r="O157" s="87" t="str">
        <f>IF($B157="","",IF(IFERROR(INDEX('RAID Log'!$1:$1048576,$B157,MATCH("Closed Date",'RAID Log'!$1:$1,0)),"")="","",IFERROR(INDEX('RAID Log'!$1:$1048576,$B157,MATCH("Closed Date",'RAID Log'!$1:$1,0)),"")))</f>
        <v/>
      </c>
      <c r="P157" s="85" t="str">
        <f>IF($B157="","",IF(IFERROR(INDEX('RAID Log'!$1:$1048576,$B157,MATCH("Mitigation Strategy",'RAID Log'!$1:$1,0)),"")="","",IFERROR(INDEX('RAID Log'!$1:$1048576,$B157,MATCH("Mitigation Strategy",'RAID Log'!$1:$1,0)),"")))</f>
        <v/>
      </c>
      <c r="Q157" s="88" t="str">
        <f>IF($B157="","",IF(IFERROR(INDEX('RAID Log'!$1:$1048576,$B157,MATCH("RAID Response/Plan",'RAID Log'!$1:$1,0)),"")="","",IFERROR(INDEX('RAID Log'!$1:$1048576,$B157,MATCH("RAID Response/Plan",'RAID Log'!$1:$1,0)),"")))</f>
        <v/>
      </c>
    </row>
    <row r="158" spans="1:17" ht="14.25" customHeight="1">
      <c r="A158" s="82" t="str">
        <f>IF($B158="","",IF(IFERROR(INDEX('RAID Log'!$1:$1048576,$B158,MATCH("RAID ID",'RAID Log'!$1:$1,0)),"")="","",IFERROR(INDEX('RAID Log'!$1:$1048576,$B158,MATCH("RAID ID",'RAID Log'!$1:$1,0)),"")))</f>
        <v/>
      </c>
      <c r="B158" s="83" t="str">
        <f>IFERROR(MATCH(ROW()-1,'RAID Log'!$S:$S,0),"")</f>
        <v/>
      </c>
      <c r="C158" s="84" t="str">
        <f>IF($B158="","",IF(IFERROR(INDEX('RAID Log'!$1:$1048576,$B158,MATCH("Description",'RAID Log'!$1:$1,0)),"")="","",IFERROR(INDEX('RAID Log'!$1:$1048576,$B158,MATCH("Description",'RAID Log'!$1:$1,0)),"")))</f>
        <v/>
      </c>
      <c r="D158" s="84" t="str">
        <f>IF($B158="","",IF(IFERROR(INDEX('RAID Log'!$1:$1048576,$B158,MATCH("Impact/Effect of the RAID",'RAID Log'!$1:$1,0)),"")="","",IFERROR(INDEX('RAID Log'!$1:$1048576,$B158,MATCH("Impact/Effect of the RAID",'RAID Log'!$1:$1,0)),"")))</f>
        <v/>
      </c>
      <c r="E158" s="85" t="str">
        <f>IF($B158="","",IF(IFERROR(INDEX('RAID Log'!$1:$1048576,$B158,MATCH("Impact Area",'RAID Log'!$1:$1,0)),"")="","",IFERROR(INDEX('RAID Log'!$1:$1048576,$B158,MATCH("Impact Area",'RAID Log'!$1:$1,0)),"")))</f>
        <v/>
      </c>
      <c r="F158" s="85" t="str">
        <f>IF($B158="","",IF(IFERROR(INDEX('RAID Log'!$1:$1048576,$B158,MATCH("Impact Area",'RAID Log'!$1:$1,0)),"")="","",IFERROR(INDEX('RAID Log'!$1:$1048576,$B158,MATCH("Impact Area",'RAID Log'!$1:$1,0)),"")))</f>
        <v/>
      </c>
      <c r="G158" s="85" t="str">
        <f>IF($B158="","",IF(IFERROR(INDEX('RAID Log'!$1:$1048576,$B158,MATCH("Impact Rating",'RAID Log'!$1:$1,0)),"")="","",IFERROR(INDEX('RAID Log'!$1:$1048576,$B158,MATCH("Impact Rating",'RAID Log'!$1:$1,0)),"")))</f>
        <v/>
      </c>
      <c r="H158" s="85" t="str">
        <f>IF($B158="","",IF(IFERROR(INDEX('RAID Log'!$1:$1048576,$B158,MATCH("Initial Probability",'RAID Log'!$1:$1,0)),"")="","",IFERROR(INDEX('RAID Log'!$1:$1048576,$B158,MATCH("Initial Probability",'RAID Log'!$1:$1,0)),"")))</f>
        <v/>
      </c>
      <c r="I158" s="86" t="str">
        <f t="shared" si="6"/>
        <v/>
      </c>
      <c r="J158" s="85" t="str">
        <f t="shared" si="7"/>
        <v/>
      </c>
      <c r="K158" s="86" t="str">
        <f t="shared" si="8"/>
        <v/>
      </c>
      <c r="L158" s="85" t="str">
        <f>IF($B158="","",IF(IFERROR(INDEX('RAID Log'!$1:$1048576,$B158,MATCH("Status",'RAID Log'!$1:$1,0)),"")="","",IFERROR(INDEX('RAID Log'!$1:$1048576,$B158,MATCH("Status",'RAID Log'!$1:$1,0)),"")))</f>
        <v/>
      </c>
      <c r="M158" s="85" t="str">
        <f>IF($B158="","",IF(IFERROR(INDEX('RAID Log'!$1:$1048576,$B158,MATCH("RAID Owner",'RAID Log'!$1:$1,0)),"")="","",IFERROR(INDEX('RAID Log'!$1:$1048576,$B158,MATCH("RAID Owner",'RAID Log'!$1:$1,0)),"")))</f>
        <v/>
      </c>
      <c r="N158" s="87" t="str">
        <f>IF($B158="","",IF(IFERROR(INDEX('RAID Log'!$1:$1048576,$B158,MATCH("Date Raised",'RAID Log'!$1:$1,0)),"")="","",IFERROR(INDEX('RAID Log'!$1:$1048576,$B158,MATCH("Date Raised",'RAID Log'!$1:$1,0)),"")))</f>
        <v/>
      </c>
      <c r="O158" s="87" t="str">
        <f>IF($B158="","",IF(IFERROR(INDEX('RAID Log'!$1:$1048576,$B158,MATCH("Closed Date",'RAID Log'!$1:$1,0)),"")="","",IFERROR(INDEX('RAID Log'!$1:$1048576,$B158,MATCH("Closed Date",'RAID Log'!$1:$1,0)),"")))</f>
        <v/>
      </c>
      <c r="P158" s="85" t="str">
        <f>IF($B158="","",IF(IFERROR(INDEX('RAID Log'!$1:$1048576,$B158,MATCH("Mitigation Strategy",'RAID Log'!$1:$1,0)),"")="","",IFERROR(INDEX('RAID Log'!$1:$1048576,$B158,MATCH("Mitigation Strategy",'RAID Log'!$1:$1,0)),"")))</f>
        <v/>
      </c>
      <c r="Q158" s="88" t="str">
        <f>IF($B158="","",IF(IFERROR(INDEX('RAID Log'!$1:$1048576,$B158,MATCH("RAID Response/Plan",'RAID Log'!$1:$1,0)),"")="","",IFERROR(INDEX('RAID Log'!$1:$1048576,$B158,MATCH("RAID Response/Plan",'RAID Log'!$1:$1,0)),"")))</f>
        <v/>
      </c>
    </row>
    <row r="159" spans="1:17" ht="14.25" customHeight="1">
      <c r="A159" s="82" t="str">
        <f>IF($B159="","",IF(IFERROR(INDEX('RAID Log'!$1:$1048576,$B159,MATCH("RAID ID",'RAID Log'!$1:$1,0)),"")="","",IFERROR(INDEX('RAID Log'!$1:$1048576,$B159,MATCH("RAID ID",'RAID Log'!$1:$1,0)),"")))</f>
        <v/>
      </c>
      <c r="B159" s="83" t="str">
        <f>IFERROR(MATCH(ROW()-1,'RAID Log'!$S:$S,0),"")</f>
        <v/>
      </c>
      <c r="C159" s="84" t="str">
        <f>IF($B159="","",IF(IFERROR(INDEX('RAID Log'!$1:$1048576,$B159,MATCH("Description",'RAID Log'!$1:$1,0)),"")="","",IFERROR(INDEX('RAID Log'!$1:$1048576,$B159,MATCH("Description",'RAID Log'!$1:$1,0)),"")))</f>
        <v/>
      </c>
      <c r="D159" s="84" t="str">
        <f>IF($B159="","",IF(IFERROR(INDEX('RAID Log'!$1:$1048576,$B159,MATCH("Impact/Effect of the RAID",'RAID Log'!$1:$1,0)),"")="","",IFERROR(INDEX('RAID Log'!$1:$1048576,$B159,MATCH("Impact/Effect of the RAID",'RAID Log'!$1:$1,0)),"")))</f>
        <v/>
      </c>
      <c r="E159" s="85" t="str">
        <f>IF($B159="","",IF(IFERROR(INDEX('RAID Log'!$1:$1048576,$B159,MATCH("Impact Area",'RAID Log'!$1:$1,0)),"")="","",IFERROR(INDEX('RAID Log'!$1:$1048576,$B159,MATCH("Impact Area",'RAID Log'!$1:$1,0)),"")))</f>
        <v/>
      </c>
      <c r="F159" s="85" t="str">
        <f>IF($B159="","",IF(IFERROR(INDEX('RAID Log'!$1:$1048576,$B159,MATCH("Impact Area",'RAID Log'!$1:$1,0)),"")="","",IFERROR(INDEX('RAID Log'!$1:$1048576,$B159,MATCH("Impact Area",'RAID Log'!$1:$1,0)),"")))</f>
        <v/>
      </c>
      <c r="G159" s="85" t="str">
        <f>IF($B159="","",IF(IFERROR(INDEX('RAID Log'!$1:$1048576,$B159,MATCH("Impact Rating",'RAID Log'!$1:$1,0)),"")="","",IFERROR(INDEX('RAID Log'!$1:$1048576,$B159,MATCH("Impact Rating",'RAID Log'!$1:$1,0)),"")))</f>
        <v/>
      </c>
      <c r="H159" s="85" t="str">
        <f>IF($B159="","",IF(IFERROR(INDEX('RAID Log'!$1:$1048576,$B159,MATCH("Initial Probability",'RAID Log'!$1:$1,0)),"")="","",IFERROR(INDEX('RAID Log'!$1:$1048576,$B159,MATCH("Initial Probability",'RAID Log'!$1:$1,0)),"")))</f>
        <v/>
      </c>
      <c r="I159" s="86" t="str">
        <f t="shared" si="6"/>
        <v/>
      </c>
      <c r="J159" s="85" t="str">
        <f t="shared" si="7"/>
        <v/>
      </c>
      <c r="K159" s="86" t="str">
        <f t="shared" si="8"/>
        <v/>
      </c>
      <c r="L159" s="85" t="str">
        <f>IF($B159="","",IF(IFERROR(INDEX('RAID Log'!$1:$1048576,$B159,MATCH("Status",'RAID Log'!$1:$1,0)),"")="","",IFERROR(INDEX('RAID Log'!$1:$1048576,$B159,MATCH("Status",'RAID Log'!$1:$1,0)),"")))</f>
        <v/>
      </c>
      <c r="M159" s="85" t="str">
        <f>IF($B159="","",IF(IFERROR(INDEX('RAID Log'!$1:$1048576,$B159,MATCH("RAID Owner",'RAID Log'!$1:$1,0)),"")="","",IFERROR(INDEX('RAID Log'!$1:$1048576,$B159,MATCH("RAID Owner",'RAID Log'!$1:$1,0)),"")))</f>
        <v/>
      </c>
      <c r="N159" s="87" t="str">
        <f>IF($B159="","",IF(IFERROR(INDEX('RAID Log'!$1:$1048576,$B159,MATCH("Date Raised",'RAID Log'!$1:$1,0)),"")="","",IFERROR(INDEX('RAID Log'!$1:$1048576,$B159,MATCH("Date Raised",'RAID Log'!$1:$1,0)),"")))</f>
        <v/>
      </c>
      <c r="O159" s="87" t="str">
        <f>IF($B159="","",IF(IFERROR(INDEX('RAID Log'!$1:$1048576,$B159,MATCH("Closed Date",'RAID Log'!$1:$1,0)),"")="","",IFERROR(INDEX('RAID Log'!$1:$1048576,$B159,MATCH("Closed Date",'RAID Log'!$1:$1,0)),"")))</f>
        <v/>
      </c>
      <c r="P159" s="85" t="str">
        <f>IF($B159="","",IF(IFERROR(INDEX('RAID Log'!$1:$1048576,$B159,MATCH("Mitigation Strategy",'RAID Log'!$1:$1,0)),"")="","",IFERROR(INDEX('RAID Log'!$1:$1048576,$B159,MATCH("Mitigation Strategy",'RAID Log'!$1:$1,0)),"")))</f>
        <v/>
      </c>
      <c r="Q159" s="88" t="str">
        <f>IF($B159="","",IF(IFERROR(INDEX('RAID Log'!$1:$1048576,$B159,MATCH("RAID Response/Plan",'RAID Log'!$1:$1,0)),"")="","",IFERROR(INDEX('RAID Log'!$1:$1048576,$B159,MATCH("RAID Response/Plan",'RAID Log'!$1:$1,0)),"")))</f>
        <v/>
      </c>
    </row>
    <row r="160" spans="1:17" ht="14.25" customHeight="1">
      <c r="A160" s="82" t="str">
        <f>IF($B160="","",IF(IFERROR(INDEX('RAID Log'!$1:$1048576,$B160,MATCH("RAID ID",'RAID Log'!$1:$1,0)),"")="","",IFERROR(INDEX('RAID Log'!$1:$1048576,$B160,MATCH("RAID ID",'RAID Log'!$1:$1,0)),"")))</f>
        <v/>
      </c>
      <c r="B160" s="83" t="str">
        <f>IFERROR(MATCH(ROW()-1,'RAID Log'!$S:$S,0),"")</f>
        <v/>
      </c>
      <c r="C160" s="84" t="str">
        <f>IF($B160="","",IF(IFERROR(INDEX('RAID Log'!$1:$1048576,$B160,MATCH("Description",'RAID Log'!$1:$1,0)),"")="","",IFERROR(INDEX('RAID Log'!$1:$1048576,$B160,MATCH("Description",'RAID Log'!$1:$1,0)),"")))</f>
        <v/>
      </c>
      <c r="D160" s="84" t="str">
        <f>IF($B160="","",IF(IFERROR(INDEX('RAID Log'!$1:$1048576,$B160,MATCH("Impact/Effect of the RAID",'RAID Log'!$1:$1,0)),"")="","",IFERROR(INDEX('RAID Log'!$1:$1048576,$B160,MATCH("Impact/Effect of the RAID",'RAID Log'!$1:$1,0)),"")))</f>
        <v/>
      </c>
      <c r="E160" s="85" t="str">
        <f>IF($B160="","",IF(IFERROR(INDEX('RAID Log'!$1:$1048576,$B160,MATCH("Impact Area",'RAID Log'!$1:$1,0)),"")="","",IFERROR(INDEX('RAID Log'!$1:$1048576,$B160,MATCH("Impact Area",'RAID Log'!$1:$1,0)),"")))</f>
        <v/>
      </c>
      <c r="F160" s="85" t="str">
        <f>IF($B160="","",IF(IFERROR(INDEX('RAID Log'!$1:$1048576,$B160,MATCH("Impact Area",'RAID Log'!$1:$1,0)),"")="","",IFERROR(INDEX('RAID Log'!$1:$1048576,$B160,MATCH("Impact Area",'RAID Log'!$1:$1,0)),"")))</f>
        <v/>
      </c>
      <c r="G160" s="85" t="str">
        <f>IF($B160="","",IF(IFERROR(INDEX('RAID Log'!$1:$1048576,$B160,MATCH("Impact Rating",'RAID Log'!$1:$1,0)),"")="","",IFERROR(INDEX('RAID Log'!$1:$1048576,$B160,MATCH("Impact Rating",'RAID Log'!$1:$1,0)),"")))</f>
        <v/>
      </c>
      <c r="H160" s="85" t="str">
        <f>IF($B160="","",IF(IFERROR(INDEX('RAID Log'!$1:$1048576,$B160,MATCH("Initial Probability",'RAID Log'!$1:$1,0)),"")="","",IFERROR(INDEX('RAID Log'!$1:$1048576,$B160,MATCH("Initial Probability",'RAID Log'!$1:$1,0)),"")))</f>
        <v/>
      </c>
      <c r="I160" s="86" t="str">
        <f t="shared" si="6"/>
        <v/>
      </c>
      <c r="J160" s="85" t="str">
        <f t="shared" si="7"/>
        <v/>
      </c>
      <c r="K160" s="86" t="str">
        <f t="shared" si="8"/>
        <v/>
      </c>
      <c r="L160" s="85" t="str">
        <f>IF($B160="","",IF(IFERROR(INDEX('RAID Log'!$1:$1048576,$B160,MATCH("Status",'RAID Log'!$1:$1,0)),"")="","",IFERROR(INDEX('RAID Log'!$1:$1048576,$B160,MATCH("Status",'RAID Log'!$1:$1,0)),"")))</f>
        <v/>
      </c>
      <c r="M160" s="85" t="str">
        <f>IF($B160="","",IF(IFERROR(INDEX('RAID Log'!$1:$1048576,$B160,MATCH("RAID Owner",'RAID Log'!$1:$1,0)),"")="","",IFERROR(INDEX('RAID Log'!$1:$1048576,$B160,MATCH("RAID Owner",'RAID Log'!$1:$1,0)),"")))</f>
        <v/>
      </c>
      <c r="N160" s="87" t="str">
        <f>IF($B160="","",IF(IFERROR(INDEX('RAID Log'!$1:$1048576,$B160,MATCH("Date Raised",'RAID Log'!$1:$1,0)),"")="","",IFERROR(INDEX('RAID Log'!$1:$1048576,$B160,MATCH("Date Raised",'RAID Log'!$1:$1,0)),"")))</f>
        <v/>
      </c>
      <c r="O160" s="87" t="str">
        <f>IF($B160="","",IF(IFERROR(INDEX('RAID Log'!$1:$1048576,$B160,MATCH("Closed Date",'RAID Log'!$1:$1,0)),"")="","",IFERROR(INDEX('RAID Log'!$1:$1048576,$B160,MATCH("Closed Date",'RAID Log'!$1:$1,0)),"")))</f>
        <v/>
      </c>
      <c r="P160" s="85" t="str">
        <f>IF($B160="","",IF(IFERROR(INDEX('RAID Log'!$1:$1048576,$B160,MATCH("Mitigation Strategy",'RAID Log'!$1:$1,0)),"")="","",IFERROR(INDEX('RAID Log'!$1:$1048576,$B160,MATCH("Mitigation Strategy",'RAID Log'!$1:$1,0)),"")))</f>
        <v/>
      </c>
      <c r="Q160" s="88" t="str">
        <f>IF($B160="","",IF(IFERROR(INDEX('RAID Log'!$1:$1048576,$B160,MATCH("RAID Response/Plan",'RAID Log'!$1:$1,0)),"")="","",IFERROR(INDEX('RAID Log'!$1:$1048576,$B160,MATCH("RAID Response/Plan",'RAID Log'!$1:$1,0)),"")))</f>
        <v/>
      </c>
    </row>
    <row r="161" spans="1:17" ht="14.25" customHeight="1">
      <c r="A161" s="82" t="str">
        <f>IF($B161="","",IF(IFERROR(INDEX('RAID Log'!$1:$1048576,$B161,MATCH("RAID ID",'RAID Log'!$1:$1,0)),"")="","",IFERROR(INDEX('RAID Log'!$1:$1048576,$B161,MATCH("RAID ID",'RAID Log'!$1:$1,0)),"")))</f>
        <v/>
      </c>
      <c r="B161" s="83" t="str">
        <f>IFERROR(MATCH(ROW()-1,'RAID Log'!$S:$S,0),"")</f>
        <v/>
      </c>
      <c r="C161" s="84" t="str">
        <f>IF($B161="","",IF(IFERROR(INDEX('RAID Log'!$1:$1048576,$B161,MATCH("Description",'RAID Log'!$1:$1,0)),"")="","",IFERROR(INDEX('RAID Log'!$1:$1048576,$B161,MATCH("Description",'RAID Log'!$1:$1,0)),"")))</f>
        <v/>
      </c>
      <c r="D161" s="84" t="str">
        <f>IF($B161="","",IF(IFERROR(INDEX('RAID Log'!$1:$1048576,$B161,MATCH("Impact/Effect of the RAID",'RAID Log'!$1:$1,0)),"")="","",IFERROR(INDEX('RAID Log'!$1:$1048576,$B161,MATCH("Impact/Effect of the RAID",'RAID Log'!$1:$1,0)),"")))</f>
        <v/>
      </c>
      <c r="E161" s="85" t="str">
        <f>IF($B161="","",IF(IFERROR(INDEX('RAID Log'!$1:$1048576,$B161,MATCH("Impact Area",'RAID Log'!$1:$1,0)),"")="","",IFERROR(INDEX('RAID Log'!$1:$1048576,$B161,MATCH("Impact Area",'RAID Log'!$1:$1,0)),"")))</f>
        <v/>
      </c>
      <c r="F161" s="85" t="str">
        <f>IF($B161="","",IF(IFERROR(INDEX('RAID Log'!$1:$1048576,$B161,MATCH("Impact Area",'RAID Log'!$1:$1,0)),"")="","",IFERROR(INDEX('RAID Log'!$1:$1048576,$B161,MATCH("Impact Area",'RAID Log'!$1:$1,0)),"")))</f>
        <v/>
      </c>
      <c r="G161" s="85" t="str">
        <f>IF($B161="","",IF(IFERROR(INDEX('RAID Log'!$1:$1048576,$B161,MATCH("Impact Rating",'RAID Log'!$1:$1,0)),"")="","",IFERROR(INDEX('RAID Log'!$1:$1048576,$B161,MATCH("Impact Rating",'RAID Log'!$1:$1,0)),"")))</f>
        <v/>
      </c>
      <c r="H161" s="85" t="str">
        <f>IF($B161="","",IF(IFERROR(INDEX('RAID Log'!$1:$1048576,$B161,MATCH("Initial Probability",'RAID Log'!$1:$1,0)),"")="","",IFERROR(INDEX('RAID Log'!$1:$1048576,$B161,MATCH("Initial Probability",'RAID Log'!$1:$1,0)),"")))</f>
        <v/>
      </c>
      <c r="I161" s="86" t="str">
        <f t="shared" si="6"/>
        <v/>
      </c>
      <c r="J161" s="85" t="str">
        <f t="shared" si="7"/>
        <v/>
      </c>
      <c r="K161" s="86" t="str">
        <f t="shared" si="8"/>
        <v/>
      </c>
      <c r="L161" s="85" t="str">
        <f>IF($B161="","",IF(IFERROR(INDEX('RAID Log'!$1:$1048576,$B161,MATCH("Status",'RAID Log'!$1:$1,0)),"")="","",IFERROR(INDEX('RAID Log'!$1:$1048576,$B161,MATCH("Status",'RAID Log'!$1:$1,0)),"")))</f>
        <v/>
      </c>
      <c r="M161" s="85" t="str">
        <f>IF($B161="","",IF(IFERROR(INDEX('RAID Log'!$1:$1048576,$B161,MATCH("RAID Owner",'RAID Log'!$1:$1,0)),"")="","",IFERROR(INDEX('RAID Log'!$1:$1048576,$B161,MATCH("RAID Owner",'RAID Log'!$1:$1,0)),"")))</f>
        <v/>
      </c>
      <c r="N161" s="87" t="str">
        <f>IF($B161="","",IF(IFERROR(INDEX('RAID Log'!$1:$1048576,$B161,MATCH("Date Raised",'RAID Log'!$1:$1,0)),"")="","",IFERROR(INDEX('RAID Log'!$1:$1048576,$B161,MATCH("Date Raised",'RAID Log'!$1:$1,0)),"")))</f>
        <v/>
      </c>
      <c r="O161" s="87" t="str">
        <f>IF($B161="","",IF(IFERROR(INDEX('RAID Log'!$1:$1048576,$B161,MATCH("Closed Date",'RAID Log'!$1:$1,0)),"")="","",IFERROR(INDEX('RAID Log'!$1:$1048576,$B161,MATCH("Closed Date",'RAID Log'!$1:$1,0)),"")))</f>
        <v/>
      </c>
      <c r="P161" s="85" t="str">
        <f>IF($B161="","",IF(IFERROR(INDEX('RAID Log'!$1:$1048576,$B161,MATCH("Mitigation Strategy",'RAID Log'!$1:$1,0)),"")="","",IFERROR(INDEX('RAID Log'!$1:$1048576,$B161,MATCH("Mitigation Strategy",'RAID Log'!$1:$1,0)),"")))</f>
        <v/>
      </c>
      <c r="Q161" s="88" t="str">
        <f>IF($B161="","",IF(IFERROR(INDEX('RAID Log'!$1:$1048576,$B161,MATCH("RAID Response/Plan",'RAID Log'!$1:$1,0)),"")="","",IFERROR(INDEX('RAID Log'!$1:$1048576,$B161,MATCH("RAID Response/Plan",'RAID Log'!$1:$1,0)),"")))</f>
        <v/>
      </c>
    </row>
    <row r="162" spans="1:17" ht="14.25" customHeight="1">
      <c r="A162" s="82" t="str">
        <f>IF($B162="","",IF(IFERROR(INDEX('RAID Log'!$1:$1048576,$B162,MATCH("RAID ID",'RAID Log'!$1:$1,0)),"")="","",IFERROR(INDEX('RAID Log'!$1:$1048576,$B162,MATCH("RAID ID",'RAID Log'!$1:$1,0)),"")))</f>
        <v/>
      </c>
      <c r="B162" s="83" t="str">
        <f>IFERROR(MATCH(ROW()-1,'RAID Log'!$S:$S,0),"")</f>
        <v/>
      </c>
      <c r="C162" s="84" t="str">
        <f>IF($B162="","",IF(IFERROR(INDEX('RAID Log'!$1:$1048576,$B162,MATCH("Description",'RAID Log'!$1:$1,0)),"")="","",IFERROR(INDEX('RAID Log'!$1:$1048576,$B162,MATCH("Description",'RAID Log'!$1:$1,0)),"")))</f>
        <v/>
      </c>
      <c r="D162" s="84" t="str">
        <f>IF($B162="","",IF(IFERROR(INDEX('RAID Log'!$1:$1048576,$B162,MATCH("Impact/Effect of the RAID",'RAID Log'!$1:$1,0)),"")="","",IFERROR(INDEX('RAID Log'!$1:$1048576,$B162,MATCH("Impact/Effect of the RAID",'RAID Log'!$1:$1,0)),"")))</f>
        <v/>
      </c>
      <c r="E162" s="85" t="str">
        <f>IF($B162="","",IF(IFERROR(INDEX('RAID Log'!$1:$1048576,$B162,MATCH("Impact Area",'RAID Log'!$1:$1,0)),"")="","",IFERROR(INDEX('RAID Log'!$1:$1048576,$B162,MATCH("Impact Area",'RAID Log'!$1:$1,0)),"")))</f>
        <v/>
      </c>
      <c r="F162" s="85" t="str">
        <f>IF($B162="","",IF(IFERROR(INDEX('RAID Log'!$1:$1048576,$B162,MATCH("Impact Area",'RAID Log'!$1:$1,0)),"")="","",IFERROR(INDEX('RAID Log'!$1:$1048576,$B162,MATCH("Impact Area",'RAID Log'!$1:$1,0)),"")))</f>
        <v/>
      </c>
      <c r="G162" s="85" t="str">
        <f>IF($B162="","",IF(IFERROR(INDEX('RAID Log'!$1:$1048576,$B162,MATCH("Impact Rating",'RAID Log'!$1:$1,0)),"")="","",IFERROR(INDEX('RAID Log'!$1:$1048576,$B162,MATCH("Impact Rating",'RAID Log'!$1:$1,0)),"")))</f>
        <v/>
      </c>
      <c r="H162" s="85" t="str">
        <f>IF($B162="","",IF(IFERROR(INDEX('RAID Log'!$1:$1048576,$B162,MATCH("Initial Probability",'RAID Log'!$1:$1,0)),"")="","",IFERROR(INDEX('RAID Log'!$1:$1048576,$B162,MATCH("Initial Probability",'RAID Log'!$1:$1,0)),"")))</f>
        <v/>
      </c>
      <c r="I162" s="86" t="str">
        <f t="shared" si="6"/>
        <v/>
      </c>
      <c r="J162" s="85" t="str">
        <f t="shared" si="7"/>
        <v/>
      </c>
      <c r="K162" s="86" t="str">
        <f t="shared" si="8"/>
        <v/>
      </c>
      <c r="L162" s="85" t="str">
        <f>IF($B162="","",IF(IFERROR(INDEX('RAID Log'!$1:$1048576,$B162,MATCH("Status",'RAID Log'!$1:$1,0)),"")="","",IFERROR(INDEX('RAID Log'!$1:$1048576,$B162,MATCH("Status",'RAID Log'!$1:$1,0)),"")))</f>
        <v/>
      </c>
      <c r="M162" s="85" t="str">
        <f>IF($B162="","",IF(IFERROR(INDEX('RAID Log'!$1:$1048576,$B162,MATCH("RAID Owner",'RAID Log'!$1:$1,0)),"")="","",IFERROR(INDEX('RAID Log'!$1:$1048576,$B162,MATCH("RAID Owner",'RAID Log'!$1:$1,0)),"")))</f>
        <v/>
      </c>
      <c r="N162" s="87" t="str">
        <f>IF($B162="","",IF(IFERROR(INDEX('RAID Log'!$1:$1048576,$B162,MATCH("Date Raised",'RAID Log'!$1:$1,0)),"")="","",IFERROR(INDEX('RAID Log'!$1:$1048576,$B162,MATCH("Date Raised",'RAID Log'!$1:$1,0)),"")))</f>
        <v/>
      </c>
      <c r="O162" s="87" t="str">
        <f>IF($B162="","",IF(IFERROR(INDEX('RAID Log'!$1:$1048576,$B162,MATCH("Closed Date",'RAID Log'!$1:$1,0)),"")="","",IFERROR(INDEX('RAID Log'!$1:$1048576,$B162,MATCH("Closed Date",'RAID Log'!$1:$1,0)),"")))</f>
        <v/>
      </c>
      <c r="P162" s="85" t="str">
        <f>IF($B162="","",IF(IFERROR(INDEX('RAID Log'!$1:$1048576,$B162,MATCH("Mitigation Strategy",'RAID Log'!$1:$1,0)),"")="","",IFERROR(INDEX('RAID Log'!$1:$1048576,$B162,MATCH("Mitigation Strategy",'RAID Log'!$1:$1,0)),"")))</f>
        <v/>
      </c>
      <c r="Q162" s="88" t="str">
        <f>IF($B162="","",IF(IFERROR(INDEX('RAID Log'!$1:$1048576,$B162,MATCH("RAID Response/Plan",'RAID Log'!$1:$1,0)),"")="","",IFERROR(INDEX('RAID Log'!$1:$1048576,$B162,MATCH("RAID Response/Plan",'RAID Log'!$1:$1,0)),"")))</f>
        <v/>
      </c>
    </row>
    <row r="163" spans="1:17" ht="14.25" customHeight="1">
      <c r="A163" s="82" t="str">
        <f>IF($B163="","",IF(IFERROR(INDEX('RAID Log'!$1:$1048576,$B163,MATCH("RAID ID",'RAID Log'!$1:$1,0)),"")="","",IFERROR(INDEX('RAID Log'!$1:$1048576,$B163,MATCH("RAID ID",'RAID Log'!$1:$1,0)),"")))</f>
        <v/>
      </c>
      <c r="B163" s="83" t="str">
        <f>IFERROR(MATCH(ROW()-1,'RAID Log'!$S:$S,0),"")</f>
        <v/>
      </c>
      <c r="C163" s="84" t="str">
        <f>IF($B163="","",IF(IFERROR(INDEX('RAID Log'!$1:$1048576,$B163,MATCH("Description",'RAID Log'!$1:$1,0)),"")="","",IFERROR(INDEX('RAID Log'!$1:$1048576,$B163,MATCH("Description",'RAID Log'!$1:$1,0)),"")))</f>
        <v/>
      </c>
      <c r="D163" s="84" t="str">
        <f>IF($B163="","",IF(IFERROR(INDEX('RAID Log'!$1:$1048576,$B163,MATCH("Impact/Effect of the RAID",'RAID Log'!$1:$1,0)),"")="","",IFERROR(INDEX('RAID Log'!$1:$1048576,$B163,MATCH("Impact/Effect of the RAID",'RAID Log'!$1:$1,0)),"")))</f>
        <v/>
      </c>
      <c r="E163" s="85" t="str">
        <f>IF($B163="","",IF(IFERROR(INDEX('RAID Log'!$1:$1048576,$B163,MATCH("Impact Area",'RAID Log'!$1:$1,0)),"")="","",IFERROR(INDEX('RAID Log'!$1:$1048576,$B163,MATCH("Impact Area",'RAID Log'!$1:$1,0)),"")))</f>
        <v/>
      </c>
      <c r="F163" s="85" t="str">
        <f>IF($B163="","",IF(IFERROR(INDEX('RAID Log'!$1:$1048576,$B163,MATCH("Impact Area",'RAID Log'!$1:$1,0)),"")="","",IFERROR(INDEX('RAID Log'!$1:$1048576,$B163,MATCH("Impact Area",'RAID Log'!$1:$1,0)),"")))</f>
        <v/>
      </c>
      <c r="G163" s="85" t="str">
        <f>IF($B163="","",IF(IFERROR(INDEX('RAID Log'!$1:$1048576,$B163,MATCH("Impact Rating",'RAID Log'!$1:$1,0)),"")="","",IFERROR(INDEX('RAID Log'!$1:$1048576,$B163,MATCH("Impact Rating",'RAID Log'!$1:$1,0)),"")))</f>
        <v/>
      </c>
      <c r="H163" s="85" t="str">
        <f>IF($B163="","",IF(IFERROR(INDEX('RAID Log'!$1:$1048576,$B163,MATCH("Initial Probability",'RAID Log'!$1:$1,0)),"")="","",IFERROR(INDEX('RAID Log'!$1:$1048576,$B163,MATCH("Initial Probability",'RAID Log'!$1:$1,0)),"")))</f>
        <v/>
      </c>
      <c r="I163" s="86" t="str">
        <f t="shared" si="6"/>
        <v/>
      </c>
      <c r="J163" s="85" t="str">
        <f t="shared" si="7"/>
        <v/>
      </c>
      <c r="K163" s="86" t="str">
        <f t="shared" si="8"/>
        <v/>
      </c>
      <c r="L163" s="85" t="str">
        <f>IF($B163="","",IF(IFERROR(INDEX('RAID Log'!$1:$1048576,$B163,MATCH("Status",'RAID Log'!$1:$1,0)),"")="","",IFERROR(INDEX('RAID Log'!$1:$1048576,$B163,MATCH("Status",'RAID Log'!$1:$1,0)),"")))</f>
        <v/>
      </c>
      <c r="M163" s="85" t="str">
        <f>IF($B163="","",IF(IFERROR(INDEX('RAID Log'!$1:$1048576,$B163,MATCH("RAID Owner",'RAID Log'!$1:$1,0)),"")="","",IFERROR(INDEX('RAID Log'!$1:$1048576,$B163,MATCH("RAID Owner",'RAID Log'!$1:$1,0)),"")))</f>
        <v/>
      </c>
      <c r="N163" s="87" t="str">
        <f>IF($B163="","",IF(IFERROR(INDEX('RAID Log'!$1:$1048576,$B163,MATCH("Date Raised",'RAID Log'!$1:$1,0)),"")="","",IFERROR(INDEX('RAID Log'!$1:$1048576,$B163,MATCH("Date Raised",'RAID Log'!$1:$1,0)),"")))</f>
        <v/>
      </c>
      <c r="O163" s="87" t="str">
        <f>IF($B163="","",IF(IFERROR(INDEX('RAID Log'!$1:$1048576,$B163,MATCH("Closed Date",'RAID Log'!$1:$1,0)),"")="","",IFERROR(INDEX('RAID Log'!$1:$1048576,$B163,MATCH("Closed Date",'RAID Log'!$1:$1,0)),"")))</f>
        <v/>
      </c>
      <c r="P163" s="85" t="str">
        <f>IF($B163="","",IF(IFERROR(INDEX('RAID Log'!$1:$1048576,$B163,MATCH("Mitigation Strategy",'RAID Log'!$1:$1,0)),"")="","",IFERROR(INDEX('RAID Log'!$1:$1048576,$B163,MATCH("Mitigation Strategy",'RAID Log'!$1:$1,0)),"")))</f>
        <v/>
      </c>
      <c r="Q163" s="88" t="str">
        <f>IF($B163="","",IF(IFERROR(INDEX('RAID Log'!$1:$1048576,$B163,MATCH("RAID Response/Plan",'RAID Log'!$1:$1,0)),"")="","",IFERROR(INDEX('RAID Log'!$1:$1048576,$B163,MATCH("RAID Response/Plan",'RAID Log'!$1:$1,0)),"")))</f>
        <v/>
      </c>
    </row>
    <row r="164" spans="1:17" ht="14.25" customHeight="1">
      <c r="A164" s="82" t="str">
        <f>IF($B164="","",IF(IFERROR(INDEX('RAID Log'!$1:$1048576,$B164,MATCH("RAID ID",'RAID Log'!$1:$1,0)),"")="","",IFERROR(INDEX('RAID Log'!$1:$1048576,$B164,MATCH("RAID ID",'RAID Log'!$1:$1,0)),"")))</f>
        <v/>
      </c>
      <c r="B164" s="83" t="str">
        <f>IFERROR(MATCH(ROW()-1,'RAID Log'!$S:$S,0),"")</f>
        <v/>
      </c>
      <c r="C164" s="84" t="str">
        <f>IF($B164="","",IF(IFERROR(INDEX('RAID Log'!$1:$1048576,$B164,MATCH("Description",'RAID Log'!$1:$1,0)),"")="","",IFERROR(INDEX('RAID Log'!$1:$1048576,$B164,MATCH("Description",'RAID Log'!$1:$1,0)),"")))</f>
        <v/>
      </c>
      <c r="D164" s="84" t="str">
        <f>IF($B164="","",IF(IFERROR(INDEX('RAID Log'!$1:$1048576,$B164,MATCH("Impact/Effect of the RAID",'RAID Log'!$1:$1,0)),"")="","",IFERROR(INDEX('RAID Log'!$1:$1048576,$B164,MATCH("Impact/Effect of the RAID",'RAID Log'!$1:$1,0)),"")))</f>
        <v/>
      </c>
      <c r="E164" s="85" t="str">
        <f>IF($B164="","",IF(IFERROR(INDEX('RAID Log'!$1:$1048576,$B164,MATCH("Impact Area",'RAID Log'!$1:$1,0)),"")="","",IFERROR(INDEX('RAID Log'!$1:$1048576,$B164,MATCH("Impact Area",'RAID Log'!$1:$1,0)),"")))</f>
        <v/>
      </c>
      <c r="F164" s="85" t="str">
        <f>IF($B164="","",IF(IFERROR(INDEX('RAID Log'!$1:$1048576,$B164,MATCH("Impact Area",'RAID Log'!$1:$1,0)),"")="","",IFERROR(INDEX('RAID Log'!$1:$1048576,$B164,MATCH("Impact Area",'RAID Log'!$1:$1,0)),"")))</f>
        <v/>
      </c>
      <c r="G164" s="85" t="str">
        <f>IF($B164="","",IF(IFERROR(INDEX('RAID Log'!$1:$1048576,$B164,MATCH("Impact Rating",'RAID Log'!$1:$1,0)),"")="","",IFERROR(INDEX('RAID Log'!$1:$1048576,$B164,MATCH("Impact Rating",'RAID Log'!$1:$1,0)),"")))</f>
        <v/>
      </c>
      <c r="H164" s="85" t="str">
        <f>IF($B164="","",IF(IFERROR(INDEX('RAID Log'!$1:$1048576,$B164,MATCH("Initial Probability",'RAID Log'!$1:$1,0)),"")="","",IFERROR(INDEX('RAID Log'!$1:$1048576,$B164,MATCH("Initial Probability",'RAID Log'!$1:$1,0)),"")))</f>
        <v/>
      </c>
      <c r="I164" s="86" t="str">
        <f t="shared" si="6"/>
        <v/>
      </c>
      <c r="J164" s="85" t="str">
        <f t="shared" si="7"/>
        <v/>
      </c>
      <c r="K164" s="86" t="str">
        <f t="shared" si="8"/>
        <v/>
      </c>
      <c r="L164" s="85" t="str">
        <f>IF($B164="","",IF(IFERROR(INDEX('RAID Log'!$1:$1048576,$B164,MATCH("Status",'RAID Log'!$1:$1,0)),"")="","",IFERROR(INDEX('RAID Log'!$1:$1048576,$B164,MATCH("Status",'RAID Log'!$1:$1,0)),"")))</f>
        <v/>
      </c>
      <c r="M164" s="85" t="str">
        <f>IF($B164="","",IF(IFERROR(INDEX('RAID Log'!$1:$1048576,$B164,MATCH("RAID Owner",'RAID Log'!$1:$1,0)),"")="","",IFERROR(INDEX('RAID Log'!$1:$1048576,$B164,MATCH("RAID Owner",'RAID Log'!$1:$1,0)),"")))</f>
        <v/>
      </c>
      <c r="N164" s="87" t="str">
        <f>IF($B164="","",IF(IFERROR(INDEX('RAID Log'!$1:$1048576,$B164,MATCH("Date Raised",'RAID Log'!$1:$1,0)),"")="","",IFERROR(INDEX('RAID Log'!$1:$1048576,$B164,MATCH("Date Raised",'RAID Log'!$1:$1,0)),"")))</f>
        <v/>
      </c>
      <c r="O164" s="87" t="str">
        <f>IF($B164="","",IF(IFERROR(INDEX('RAID Log'!$1:$1048576,$B164,MATCH("Closed Date",'RAID Log'!$1:$1,0)),"")="","",IFERROR(INDEX('RAID Log'!$1:$1048576,$B164,MATCH("Closed Date",'RAID Log'!$1:$1,0)),"")))</f>
        <v/>
      </c>
      <c r="P164" s="85" t="str">
        <f>IF($B164="","",IF(IFERROR(INDEX('RAID Log'!$1:$1048576,$B164,MATCH("Mitigation Strategy",'RAID Log'!$1:$1,0)),"")="","",IFERROR(INDEX('RAID Log'!$1:$1048576,$B164,MATCH("Mitigation Strategy",'RAID Log'!$1:$1,0)),"")))</f>
        <v/>
      </c>
      <c r="Q164" s="88" t="str">
        <f>IF($B164="","",IF(IFERROR(INDEX('RAID Log'!$1:$1048576,$B164,MATCH("RAID Response/Plan",'RAID Log'!$1:$1,0)),"")="","",IFERROR(INDEX('RAID Log'!$1:$1048576,$B164,MATCH("RAID Response/Plan",'RAID Log'!$1:$1,0)),"")))</f>
        <v/>
      </c>
    </row>
    <row r="165" spans="1:17" ht="14.25" customHeight="1">
      <c r="A165" s="82" t="str">
        <f>IF($B165="","",IF(IFERROR(INDEX('RAID Log'!$1:$1048576,$B165,MATCH("RAID ID",'RAID Log'!$1:$1,0)),"")="","",IFERROR(INDEX('RAID Log'!$1:$1048576,$B165,MATCH("RAID ID",'RAID Log'!$1:$1,0)),"")))</f>
        <v/>
      </c>
      <c r="B165" s="83" t="str">
        <f>IFERROR(MATCH(ROW()-1,'RAID Log'!$S:$S,0),"")</f>
        <v/>
      </c>
      <c r="C165" s="84" t="str">
        <f>IF($B165="","",IF(IFERROR(INDEX('RAID Log'!$1:$1048576,$B165,MATCH("Description",'RAID Log'!$1:$1,0)),"")="","",IFERROR(INDEX('RAID Log'!$1:$1048576,$B165,MATCH("Description",'RAID Log'!$1:$1,0)),"")))</f>
        <v/>
      </c>
      <c r="D165" s="84" t="str">
        <f>IF($B165="","",IF(IFERROR(INDEX('RAID Log'!$1:$1048576,$B165,MATCH("Impact/Effect of the RAID",'RAID Log'!$1:$1,0)),"")="","",IFERROR(INDEX('RAID Log'!$1:$1048576,$B165,MATCH("Impact/Effect of the RAID",'RAID Log'!$1:$1,0)),"")))</f>
        <v/>
      </c>
      <c r="E165" s="85" t="str">
        <f>IF($B165="","",IF(IFERROR(INDEX('RAID Log'!$1:$1048576,$B165,MATCH("Impact Area",'RAID Log'!$1:$1,0)),"")="","",IFERROR(INDEX('RAID Log'!$1:$1048576,$B165,MATCH("Impact Area",'RAID Log'!$1:$1,0)),"")))</f>
        <v/>
      </c>
      <c r="F165" s="85" t="str">
        <f>IF($B165="","",IF(IFERROR(INDEX('RAID Log'!$1:$1048576,$B165,MATCH("Impact Area",'RAID Log'!$1:$1,0)),"")="","",IFERROR(INDEX('RAID Log'!$1:$1048576,$B165,MATCH("Impact Area",'RAID Log'!$1:$1,0)),"")))</f>
        <v/>
      </c>
      <c r="G165" s="85" t="str">
        <f>IF($B165="","",IF(IFERROR(INDEX('RAID Log'!$1:$1048576,$B165,MATCH("Impact Rating",'RAID Log'!$1:$1,0)),"")="","",IFERROR(INDEX('RAID Log'!$1:$1048576,$B165,MATCH("Impact Rating",'RAID Log'!$1:$1,0)),"")))</f>
        <v/>
      </c>
      <c r="H165" s="85" t="str">
        <f>IF($B165="","",IF(IFERROR(INDEX('RAID Log'!$1:$1048576,$B165,MATCH("Initial Probability",'RAID Log'!$1:$1,0)),"")="","",IFERROR(INDEX('RAID Log'!$1:$1048576,$B165,MATCH("Initial Probability",'RAID Log'!$1:$1,0)),"")))</f>
        <v/>
      </c>
      <c r="I165" s="86" t="str">
        <f t="shared" si="6"/>
        <v/>
      </c>
      <c r="J165" s="85" t="str">
        <f t="shared" si="7"/>
        <v/>
      </c>
      <c r="K165" s="86" t="str">
        <f t="shared" si="8"/>
        <v/>
      </c>
      <c r="L165" s="85" t="str">
        <f>IF($B165="","",IF(IFERROR(INDEX('RAID Log'!$1:$1048576,$B165,MATCH("Status",'RAID Log'!$1:$1,0)),"")="","",IFERROR(INDEX('RAID Log'!$1:$1048576,$B165,MATCH("Status",'RAID Log'!$1:$1,0)),"")))</f>
        <v/>
      </c>
      <c r="M165" s="85" t="str">
        <f>IF($B165="","",IF(IFERROR(INDEX('RAID Log'!$1:$1048576,$B165,MATCH("RAID Owner",'RAID Log'!$1:$1,0)),"")="","",IFERROR(INDEX('RAID Log'!$1:$1048576,$B165,MATCH("RAID Owner",'RAID Log'!$1:$1,0)),"")))</f>
        <v/>
      </c>
      <c r="N165" s="87" t="str">
        <f>IF($B165="","",IF(IFERROR(INDEX('RAID Log'!$1:$1048576,$B165,MATCH("Date Raised",'RAID Log'!$1:$1,0)),"")="","",IFERROR(INDEX('RAID Log'!$1:$1048576,$B165,MATCH("Date Raised",'RAID Log'!$1:$1,0)),"")))</f>
        <v/>
      </c>
      <c r="O165" s="87" t="str">
        <f>IF($B165="","",IF(IFERROR(INDEX('RAID Log'!$1:$1048576,$B165,MATCH("Closed Date",'RAID Log'!$1:$1,0)),"")="","",IFERROR(INDEX('RAID Log'!$1:$1048576,$B165,MATCH("Closed Date",'RAID Log'!$1:$1,0)),"")))</f>
        <v/>
      </c>
      <c r="P165" s="85" t="str">
        <f>IF($B165="","",IF(IFERROR(INDEX('RAID Log'!$1:$1048576,$B165,MATCH("Mitigation Strategy",'RAID Log'!$1:$1,0)),"")="","",IFERROR(INDEX('RAID Log'!$1:$1048576,$B165,MATCH("Mitigation Strategy",'RAID Log'!$1:$1,0)),"")))</f>
        <v/>
      </c>
      <c r="Q165" s="88" t="str">
        <f>IF($B165="","",IF(IFERROR(INDEX('RAID Log'!$1:$1048576,$B165,MATCH("RAID Response/Plan",'RAID Log'!$1:$1,0)),"")="","",IFERROR(INDEX('RAID Log'!$1:$1048576,$B165,MATCH("RAID Response/Plan",'RAID Log'!$1:$1,0)),"")))</f>
        <v/>
      </c>
    </row>
    <row r="166" spans="1:17" ht="14.25" customHeight="1">
      <c r="A166" s="82" t="str">
        <f>IF($B166="","",IF(IFERROR(INDEX('RAID Log'!$1:$1048576,$B166,MATCH("RAID ID",'RAID Log'!$1:$1,0)),"")="","",IFERROR(INDEX('RAID Log'!$1:$1048576,$B166,MATCH("RAID ID",'RAID Log'!$1:$1,0)),"")))</f>
        <v/>
      </c>
      <c r="B166" s="83" t="str">
        <f>IFERROR(MATCH(ROW()-1,'RAID Log'!$S:$S,0),"")</f>
        <v/>
      </c>
      <c r="C166" s="84" t="str">
        <f>IF($B166="","",IF(IFERROR(INDEX('RAID Log'!$1:$1048576,$B166,MATCH("Description",'RAID Log'!$1:$1,0)),"")="","",IFERROR(INDEX('RAID Log'!$1:$1048576,$B166,MATCH("Description",'RAID Log'!$1:$1,0)),"")))</f>
        <v/>
      </c>
      <c r="D166" s="84" t="str">
        <f>IF($B166="","",IF(IFERROR(INDEX('RAID Log'!$1:$1048576,$B166,MATCH("Impact/Effect of the RAID",'RAID Log'!$1:$1,0)),"")="","",IFERROR(INDEX('RAID Log'!$1:$1048576,$B166,MATCH("Impact/Effect of the RAID",'RAID Log'!$1:$1,0)),"")))</f>
        <v/>
      </c>
      <c r="E166" s="85" t="str">
        <f>IF($B166="","",IF(IFERROR(INDEX('RAID Log'!$1:$1048576,$B166,MATCH("Impact Area",'RAID Log'!$1:$1,0)),"")="","",IFERROR(INDEX('RAID Log'!$1:$1048576,$B166,MATCH("Impact Area",'RAID Log'!$1:$1,0)),"")))</f>
        <v/>
      </c>
      <c r="F166" s="85" t="str">
        <f>IF($B166="","",IF(IFERROR(INDEX('RAID Log'!$1:$1048576,$B166,MATCH("Impact Area",'RAID Log'!$1:$1,0)),"")="","",IFERROR(INDEX('RAID Log'!$1:$1048576,$B166,MATCH("Impact Area",'RAID Log'!$1:$1,0)),"")))</f>
        <v/>
      </c>
      <c r="G166" s="85" t="str">
        <f>IF($B166="","",IF(IFERROR(INDEX('RAID Log'!$1:$1048576,$B166,MATCH("Impact Rating",'RAID Log'!$1:$1,0)),"")="","",IFERROR(INDEX('RAID Log'!$1:$1048576,$B166,MATCH("Impact Rating",'RAID Log'!$1:$1,0)),"")))</f>
        <v/>
      </c>
      <c r="H166" s="85" t="str">
        <f>IF($B166="","",IF(IFERROR(INDEX('RAID Log'!$1:$1048576,$B166,MATCH("Initial Probability",'RAID Log'!$1:$1,0)),"")="","",IFERROR(INDEX('RAID Log'!$1:$1048576,$B166,MATCH("Initial Probability",'RAID Log'!$1:$1,0)),"")))</f>
        <v/>
      </c>
      <c r="I166" s="86" t="str">
        <f t="shared" si="6"/>
        <v/>
      </c>
      <c r="J166" s="85" t="str">
        <f t="shared" si="7"/>
        <v/>
      </c>
      <c r="K166" s="86" t="str">
        <f t="shared" si="8"/>
        <v/>
      </c>
      <c r="L166" s="85" t="str">
        <f>IF($B166="","",IF(IFERROR(INDEX('RAID Log'!$1:$1048576,$B166,MATCH("Status",'RAID Log'!$1:$1,0)),"")="","",IFERROR(INDEX('RAID Log'!$1:$1048576,$B166,MATCH("Status",'RAID Log'!$1:$1,0)),"")))</f>
        <v/>
      </c>
      <c r="M166" s="85" t="str">
        <f>IF($B166="","",IF(IFERROR(INDEX('RAID Log'!$1:$1048576,$B166,MATCH("RAID Owner",'RAID Log'!$1:$1,0)),"")="","",IFERROR(INDEX('RAID Log'!$1:$1048576,$B166,MATCH("RAID Owner",'RAID Log'!$1:$1,0)),"")))</f>
        <v/>
      </c>
      <c r="N166" s="87" t="str">
        <f>IF($B166="","",IF(IFERROR(INDEX('RAID Log'!$1:$1048576,$B166,MATCH("Date Raised",'RAID Log'!$1:$1,0)),"")="","",IFERROR(INDEX('RAID Log'!$1:$1048576,$B166,MATCH("Date Raised",'RAID Log'!$1:$1,0)),"")))</f>
        <v/>
      </c>
      <c r="O166" s="87" t="str">
        <f>IF($B166="","",IF(IFERROR(INDEX('RAID Log'!$1:$1048576,$B166,MATCH("Closed Date",'RAID Log'!$1:$1,0)),"")="","",IFERROR(INDEX('RAID Log'!$1:$1048576,$B166,MATCH("Closed Date",'RAID Log'!$1:$1,0)),"")))</f>
        <v/>
      </c>
      <c r="P166" s="85" t="str">
        <f>IF($B166="","",IF(IFERROR(INDEX('RAID Log'!$1:$1048576,$B166,MATCH("Mitigation Strategy",'RAID Log'!$1:$1,0)),"")="","",IFERROR(INDEX('RAID Log'!$1:$1048576,$B166,MATCH("Mitigation Strategy",'RAID Log'!$1:$1,0)),"")))</f>
        <v/>
      </c>
      <c r="Q166" s="88" t="str">
        <f>IF($B166="","",IF(IFERROR(INDEX('RAID Log'!$1:$1048576,$B166,MATCH("RAID Response/Plan",'RAID Log'!$1:$1,0)),"")="","",IFERROR(INDEX('RAID Log'!$1:$1048576,$B166,MATCH("RAID Response/Plan",'RAID Log'!$1:$1,0)),"")))</f>
        <v/>
      </c>
    </row>
    <row r="167" spans="1:17" ht="14.25" customHeight="1">
      <c r="A167" s="82" t="str">
        <f>IF($B167="","",IF(IFERROR(INDEX('RAID Log'!$1:$1048576,$B167,MATCH("RAID ID",'RAID Log'!$1:$1,0)),"")="","",IFERROR(INDEX('RAID Log'!$1:$1048576,$B167,MATCH("RAID ID",'RAID Log'!$1:$1,0)),"")))</f>
        <v/>
      </c>
      <c r="B167" s="83" t="str">
        <f>IFERROR(MATCH(ROW()-1,'RAID Log'!$S:$S,0),"")</f>
        <v/>
      </c>
      <c r="C167" s="84" t="str">
        <f>IF($B167="","",IF(IFERROR(INDEX('RAID Log'!$1:$1048576,$B167,MATCH("Description",'RAID Log'!$1:$1,0)),"")="","",IFERROR(INDEX('RAID Log'!$1:$1048576,$B167,MATCH("Description",'RAID Log'!$1:$1,0)),"")))</f>
        <v/>
      </c>
      <c r="D167" s="84" t="str">
        <f>IF($B167="","",IF(IFERROR(INDEX('RAID Log'!$1:$1048576,$B167,MATCH("Impact/Effect of the RAID",'RAID Log'!$1:$1,0)),"")="","",IFERROR(INDEX('RAID Log'!$1:$1048576,$B167,MATCH("Impact/Effect of the RAID",'RAID Log'!$1:$1,0)),"")))</f>
        <v/>
      </c>
      <c r="E167" s="85" t="str">
        <f>IF($B167="","",IF(IFERROR(INDEX('RAID Log'!$1:$1048576,$B167,MATCH("Impact Area",'RAID Log'!$1:$1,0)),"")="","",IFERROR(INDEX('RAID Log'!$1:$1048576,$B167,MATCH("Impact Area",'RAID Log'!$1:$1,0)),"")))</f>
        <v/>
      </c>
      <c r="F167" s="85" t="str">
        <f>IF($B167="","",IF(IFERROR(INDEX('RAID Log'!$1:$1048576,$B167,MATCH("Impact Area",'RAID Log'!$1:$1,0)),"")="","",IFERROR(INDEX('RAID Log'!$1:$1048576,$B167,MATCH("Impact Area",'RAID Log'!$1:$1,0)),"")))</f>
        <v/>
      </c>
      <c r="G167" s="85" t="str">
        <f>IF($B167="","",IF(IFERROR(INDEX('RAID Log'!$1:$1048576,$B167,MATCH("Impact Rating",'RAID Log'!$1:$1,0)),"")="","",IFERROR(INDEX('RAID Log'!$1:$1048576,$B167,MATCH("Impact Rating",'RAID Log'!$1:$1,0)),"")))</f>
        <v/>
      </c>
      <c r="H167" s="85" t="str">
        <f>IF($B167="","",IF(IFERROR(INDEX('RAID Log'!$1:$1048576,$B167,MATCH("Initial Probability",'RAID Log'!$1:$1,0)),"")="","",IFERROR(INDEX('RAID Log'!$1:$1048576,$B167,MATCH("Initial Probability",'RAID Log'!$1:$1,0)),"")))</f>
        <v/>
      </c>
      <c r="I167" s="86" t="str">
        <f t="shared" si="6"/>
        <v/>
      </c>
      <c r="J167" s="85" t="str">
        <f t="shared" si="7"/>
        <v/>
      </c>
      <c r="K167" s="86" t="str">
        <f t="shared" si="8"/>
        <v/>
      </c>
      <c r="L167" s="85" t="str">
        <f>IF($B167="","",IF(IFERROR(INDEX('RAID Log'!$1:$1048576,$B167,MATCH("Status",'RAID Log'!$1:$1,0)),"")="","",IFERROR(INDEX('RAID Log'!$1:$1048576,$B167,MATCH("Status",'RAID Log'!$1:$1,0)),"")))</f>
        <v/>
      </c>
      <c r="M167" s="85" t="str">
        <f>IF($B167="","",IF(IFERROR(INDEX('RAID Log'!$1:$1048576,$B167,MATCH("RAID Owner",'RAID Log'!$1:$1,0)),"")="","",IFERROR(INDEX('RAID Log'!$1:$1048576,$B167,MATCH("RAID Owner",'RAID Log'!$1:$1,0)),"")))</f>
        <v/>
      </c>
      <c r="N167" s="87" t="str">
        <f>IF($B167="","",IF(IFERROR(INDEX('RAID Log'!$1:$1048576,$B167,MATCH("Date Raised",'RAID Log'!$1:$1,0)),"")="","",IFERROR(INDEX('RAID Log'!$1:$1048576,$B167,MATCH("Date Raised",'RAID Log'!$1:$1,0)),"")))</f>
        <v/>
      </c>
      <c r="O167" s="87" t="str">
        <f>IF($B167="","",IF(IFERROR(INDEX('RAID Log'!$1:$1048576,$B167,MATCH("Closed Date",'RAID Log'!$1:$1,0)),"")="","",IFERROR(INDEX('RAID Log'!$1:$1048576,$B167,MATCH("Closed Date",'RAID Log'!$1:$1,0)),"")))</f>
        <v/>
      </c>
      <c r="P167" s="85" t="str">
        <f>IF($B167="","",IF(IFERROR(INDEX('RAID Log'!$1:$1048576,$B167,MATCH("Mitigation Strategy",'RAID Log'!$1:$1,0)),"")="","",IFERROR(INDEX('RAID Log'!$1:$1048576,$B167,MATCH("Mitigation Strategy",'RAID Log'!$1:$1,0)),"")))</f>
        <v/>
      </c>
      <c r="Q167" s="88" t="str">
        <f>IF($B167="","",IF(IFERROR(INDEX('RAID Log'!$1:$1048576,$B167,MATCH("RAID Response/Plan",'RAID Log'!$1:$1,0)),"")="","",IFERROR(INDEX('RAID Log'!$1:$1048576,$B167,MATCH("RAID Response/Plan",'RAID Log'!$1:$1,0)),"")))</f>
        <v/>
      </c>
    </row>
    <row r="168" spans="1:17" ht="14.25" customHeight="1">
      <c r="A168" s="82" t="str">
        <f>IF($B168="","",IF(IFERROR(INDEX('RAID Log'!$1:$1048576,$B168,MATCH("RAID ID",'RAID Log'!$1:$1,0)),"")="","",IFERROR(INDEX('RAID Log'!$1:$1048576,$B168,MATCH("RAID ID",'RAID Log'!$1:$1,0)),"")))</f>
        <v/>
      </c>
      <c r="B168" s="83" t="str">
        <f>IFERROR(MATCH(ROW()-1,'RAID Log'!$S:$S,0),"")</f>
        <v/>
      </c>
      <c r="C168" s="84" t="str">
        <f>IF($B168="","",IF(IFERROR(INDEX('RAID Log'!$1:$1048576,$B168,MATCH("Description",'RAID Log'!$1:$1,0)),"")="","",IFERROR(INDEX('RAID Log'!$1:$1048576,$B168,MATCH("Description",'RAID Log'!$1:$1,0)),"")))</f>
        <v/>
      </c>
      <c r="D168" s="84" t="str">
        <f>IF($B168="","",IF(IFERROR(INDEX('RAID Log'!$1:$1048576,$B168,MATCH("Impact/Effect of the RAID",'RAID Log'!$1:$1,0)),"")="","",IFERROR(INDEX('RAID Log'!$1:$1048576,$B168,MATCH("Impact/Effect of the RAID",'RAID Log'!$1:$1,0)),"")))</f>
        <v/>
      </c>
      <c r="E168" s="85" t="str">
        <f>IF($B168="","",IF(IFERROR(INDEX('RAID Log'!$1:$1048576,$B168,MATCH("Impact Area",'RAID Log'!$1:$1,0)),"")="","",IFERROR(INDEX('RAID Log'!$1:$1048576,$B168,MATCH("Impact Area",'RAID Log'!$1:$1,0)),"")))</f>
        <v/>
      </c>
      <c r="F168" s="85" t="str">
        <f>IF($B168="","",IF(IFERROR(INDEX('RAID Log'!$1:$1048576,$B168,MATCH("Impact Area",'RAID Log'!$1:$1,0)),"")="","",IFERROR(INDEX('RAID Log'!$1:$1048576,$B168,MATCH("Impact Area",'RAID Log'!$1:$1,0)),"")))</f>
        <v/>
      </c>
      <c r="G168" s="85" t="str">
        <f>IF($B168="","",IF(IFERROR(INDEX('RAID Log'!$1:$1048576,$B168,MATCH("Impact Rating",'RAID Log'!$1:$1,0)),"")="","",IFERROR(INDEX('RAID Log'!$1:$1048576,$B168,MATCH("Impact Rating",'RAID Log'!$1:$1,0)),"")))</f>
        <v/>
      </c>
      <c r="H168" s="85" t="str">
        <f>IF($B168="","",IF(IFERROR(INDEX('RAID Log'!$1:$1048576,$B168,MATCH("Initial Probability",'RAID Log'!$1:$1,0)),"")="","",IFERROR(INDEX('RAID Log'!$1:$1048576,$B168,MATCH("Initial Probability",'RAID Log'!$1:$1,0)),"")))</f>
        <v/>
      </c>
      <c r="I168" s="86" t="str">
        <f t="shared" si="6"/>
        <v/>
      </c>
      <c r="J168" s="85" t="str">
        <f t="shared" si="7"/>
        <v/>
      </c>
      <c r="K168" s="86" t="str">
        <f t="shared" si="8"/>
        <v/>
      </c>
      <c r="L168" s="85" t="str">
        <f>IF($B168="","",IF(IFERROR(INDEX('RAID Log'!$1:$1048576,$B168,MATCH("Status",'RAID Log'!$1:$1,0)),"")="","",IFERROR(INDEX('RAID Log'!$1:$1048576,$B168,MATCH("Status",'RAID Log'!$1:$1,0)),"")))</f>
        <v/>
      </c>
      <c r="M168" s="85" t="str">
        <f>IF($B168="","",IF(IFERROR(INDEX('RAID Log'!$1:$1048576,$B168,MATCH("RAID Owner",'RAID Log'!$1:$1,0)),"")="","",IFERROR(INDEX('RAID Log'!$1:$1048576,$B168,MATCH("RAID Owner",'RAID Log'!$1:$1,0)),"")))</f>
        <v/>
      </c>
      <c r="N168" s="87" t="str">
        <f>IF($B168="","",IF(IFERROR(INDEX('RAID Log'!$1:$1048576,$B168,MATCH("Date Raised",'RAID Log'!$1:$1,0)),"")="","",IFERROR(INDEX('RAID Log'!$1:$1048576,$B168,MATCH("Date Raised",'RAID Log'!$1:$1,0)),"")))</f>
        <v/>
      </c>
      <c r="O168" s="87" t="str">
        <f>IF($B168="","",IF(IFERROR(INDEX('RAID Log'!$1:$1048576,$B168,MATCH("Closed Date",'RAID Log'!$1:$1,0)),"")="","",IFERROR(INDEX('RAID Log'!$1:$1048576,$B168,MATCH("Closed Date",'RAID Log'!$1:$1,0)),"")))</f>
        <v/>
      </c>
      <c r="P168" s="85" t="str">
        <f>IF($B168="","",IF(IFERROR(INDEX('RAID Log'!$1:$1048576,$B168,MATCH("Mitigation Strategy",'RAID Log'!$1:$1,0)),"")="","",IFERROR(INDEX('RAID Log'!$1:$1048576,$B168,MATCH("Mitigation Strategy",'RAID Log'!$1:$1,0)),"")))</f>
        <v/>
      </c>
      <c r="Q168" s="88" t="str">
        <f>IF($B168="","",IF(IFERROR(INDEX('RAID Log'!$1:$1048576,$B168,MATCH("RAID Response/Plan",'RAID Log'!$1:$1,0)),"")="","",IFERROR(INDEX('RAID Log'!$1:$1048576,$B168,MATCH("RAID Response/Plan",'RAID Log'!$1:$1,0)),"")))</f>
        <v/>
      </c>
    </row>
    <row r="169" spans="1:17" ht="14.25" customHeight="1">
      <c r="A169" s="82" t="str">
        <f>IF($B169="","",IF(IFERROR(INDEX('RAID Log'!$1:$1048576,$B169,MATCH("RAID ID",'RAID Log'!$1:$1,0)),"")="","",IFERROR(INDEX('RAID Log'!$1:$1048576,$B169,MATCH("RAID ID",'RAID Log'!$1:$1,0)),"")))</f>
        <v/>
      </c>
      <c r="B169" s="83" t="str">
        <f>IFERROR(MATCH(ROW()-1,'RAID Log'!$S:$S,0),"")</f>
        <v/>
      </c>
      <c r="C169" s="84" t="str">
        <f>IF($B169="","",IF(IFERROR(INDEX('RAID Log'!$1:$1048576,$B169,MATCH("Description",'RAID Log'!$1:$1,0)),"")="","",IFERROR(INDEX('RAID Log'!$1:$1048576,$B169,MATCH("Description",'RAID Log'!$1:$1,0)),"")))</f>
        <v/>
      </c>
      <c r="D169" s="84" t="str">
        <f>IF($B169="","",IF(IFERROR(INDEX('RAID Log'!$1:$1048576,$B169,MATCH("Impact/Effect of the RAID",'RAID Log'!$1:$1,0)),"")="","",IFERROR(INDEX('RAID Log'!$1:$1048576,$B169,MATCH("Impact/Effect of the RAID",'RAID Log'!$1:$1,0)),"")))</f>
        <v/>
      </c>
      <c r="E169" s="85" t="str">
        <f>IF($B169="","",IF(IFERROR(INDEX('RAID Log'!$1:$1048576,$B169,MATCH("Impact Area",'RAID Log'!$1:$1,0)),"")="","",IFERROR(INDEX('RAID Log'!$1:$1048576,$B169,MATCH("Impact Area",'RAID Log'!$1:$1,0)),"")))</f>
        <v/>
      </c>
      <c r="F169" s="85" t="str">
        <f>IF($B169="","",IF(IFERROR(INDEX('RAID Log'!$1:$1048576,$B169,MATCH("Impact Area",'RAID Log'!$1:$1,0)),"")="","",IFERROR(INDEX('RAID Log'!$1:$1048576,$B169,MATCH("Impact Area",'RAID Log'!$1:$1,0)),"")))</f>
        <v/>
      </c>
      <c r="G169" s="85" t="str">
        <f>IF($B169="","",IF(IFERROR(INDEX('RAID Log'!$1:$1048576,$B169,MATCH("Impact Rating",'RAID Log'!$1:$1,0)),"")="","",IFERROR(INDEX('RAID Log'!$1:$1048576,$B169,MATCH("Impact Rating",'RAID Log'!$1:$1,0)),"")))</f>
        <v/>
      </c>
      <c r="H169" s="85" t="str">
        <f>IF($B169="","",IF(IFERROR(INDEX('RAID Log'!$1:$1048576,$B169,MATCH("Initial Probability",'RAID Log'!$1:$1,0)),"")="","",IFERROR(INDEX('RAID Log'!$1:$1048576,$B169,MATCH("Initial Probability",'RAID Log'!$1:$1,0)),"")))</f>
        <v/>
      </c>
      <c r="I169" s="86" t="str">
        <f t="shared" si="6"/>
        <v/>
      </c>
      <c r="J169" s="85" t="str">
        <f t="shared" si="7"/>
        <v/>
      </c>
      <c r="K169" s="86" t="str">
        <f t="shared" si="8"/>
        <v/>
      </c>
      <c r="L169" s="85" t="str">
        <f>IF($B169="","",IF(IFERROR(INDEX('RAID Log'!$1:$1048576,$B169,MATCH("Status",'RAID Log'!$1:$1,0)),"")="","",IFERROR(INDEX('RAID Log'!$1:$1048576,$B169,MATCH("Status",'RAID Log'!$1:$1,0)),"")))</f>
        <v/>
      </c>
      <c r="M169" s="85" t="str">
        <f>IF($B169="","",IF(IFERROR(INDEX('RAID Log'!$1:$1048576,$B169,MATCH("RAID Owner",'RAID Log'!$1:$1,0)),"")="","",IFERROR(INDEX('RAID Log'!$1:$1048576,$B169,MATCH("RAID Owner",'RAID Log'!$1:$1,0)),"")))</f>
        <v/>
      </c>
      <c r="N169" s="87" t="str">
        <f>IF($B169="","",IF(IFERROR(INDEX('RAID Log'!$1:$1048576,$B169,MATCH("Date Raised",'RAID Log'!$1:$1,0)),"")="","",IFERROR(INDEX('RAID Log'!$1:$1048576,$B169,MATCH("Date Raised",'RAID Log'!$1:$1,0)),"")))</f>
        <v/>
      </c>
      <c r="O169" s="87" t="str">
        <f>IF($B169="","",IF(IFERROR(INDEX('RAID Log'!$1:$1048576,$B169,MATCH("Closed Date",'RAID Log'!$1:$1,0)),"")="","",IFERROR(INDEX('RAID Log'!$1:$1048576,$B169,MATCH("Closed Date",'RAID Log'!$1:$1,0)),"")))</f>
        <v/>
      </c>
      <c r="P169" s="85" t="str">
        <f>IF($B169="","",IF(IFERROR(INDEX('RAID Log'!$1:$1048576,$B169,MATCH("Mitigation Strategy",'RAID Log'!$1:$1,0)),"")="","",IFERROR(INDEX('RAID Log'!$1:$1048576,$B169,MATCH("Mitigation Strategy",'RAID Log'!$1:$1,0)),"")))</f>
        <v/>
      </c>
      <c r="Q169" s="88" t="str">
        <f>IF($B169="","",IF(IFERROR(INDEX('RAID Log'!$1:$1048576,$B169,MATCH("RAID Response/Plan",'RAID Log'!$1:$1,0)),"")="","",IFERROR(INDEX('RAID Log'!$1:$1048576,$B169,MATCH("RAID Response/Plan",'RAID Log'!$1:$1,0)),"")))</f>
        <v/>
      </c>
    </row>
    <row r="170" spans="1:17" ht="14.25" customHeight="1">
      <c r="A170" s="82" t="str">
        <f>IF($B170="","",IF(IFERROR(INDEX('RAID Log'!$1:$1048576,$B170,MATCH("RAID ID",'RAID Log'!$1:$1,0)),"")="","",IFERROR(INDEX('RAID Log'!$1:$1048576,$B170,MATCH("RAID ID",'RAID Log'!$1:$1,0)),"")))</f>
        <v/>
      </c>
      <c r="B170" s="83" t="str">
        <f>IFERROR(MATCH(ROW()-1,'RAID Log'!$S:$S,0),"")</f>
        <v/>
      </c>
      <c r="C170" s="84" t="str">
        <f>IF($B170="","",IF(IFERROR(INDEX('RAID Log'!$1:$1048576,$B170,MATCH("Description",'RAID Log'!$1:$1,0)),"")="","",IFERROR(INDEX('RAID Log'!$1:$1048576,$B170,MATCH("Description",'RAID Log'!$1:$1,0)),"")))</f>
        <v/>
      </c>
      <c r="D170" s="84" t="str">
        <f>IF($B170="","",IF(IFERROR(INDEX('RAID Log'!$1:$1048576,$B170,MATCH("Impact/Effect of the RAID",'RAID Log'!$1:$1,0)),"")="","",IFERROR(INDEX('RAID Log'!$1:$1048576,$B170,MATCH("Impact/Effect of the RAID",'RAID Log'!$1:$1,0)),"")))</f>
        <v/>
      </c>
      <c r="E170" s="85" t="str">
        <f>IF($B170="","",IF(IFERROR(INDEX('RAID Log'!$1:$1048576,$B170,MATCH("Impact Area",'RAID Log'!$1:$1,0)),"")="","",IFERROR(INDEX('RAID Log'!$1:$1048576,$B170,MATCH("Impact Area",'RAID Log'!$1:$1,0)),"")))</f>
        <v/>
      </c>
      <c r="F170" s="85" t="str">
        <f>IF($B170="","",IF(IFERROR(INDEX('RAID Log'!$1:$1048576,$B170,MATCH("Impact Area",'RAID Log'!$1:$1,0)),"")="","",IFERROR(INDEX('RAID Log'!$1:$1048576,$B170,MATCH("Impact Area",'RAID Log'!$1:$1,0)),"")))</f>
        <v/>
      </c>
      <c r="G170" s="85" t="str">
        <f>IF($B170="","",IF(IFERROR(INDEX('RAID Log'!$1:$1048576,$B170,MATCH("Impact Rating",'RAID Log'!$1:$1,0)),"")="","",IFERROR(INDEX('RAID Log'!$1:$1048576,$B170,MATCH("Impact Rating",'RAID Log'!$1:$1,0)),"")))</f>
        <v/>
      </c>
      <c r="H170" s="85" t="str">
        <f>IF($B170="","",IF(IFERROR(INDEX('RAID Log'!$1:$1048576,$B170,MATCH("Initial Probability",'RAID Log'!$1:$1,0)),"")="","",IFERROR(INDEX('RAID Log'!$1:$1048576,$B170,MATCH("Initial Probability",'RAID Log'!$1:$1,0)),"")))</f>
        <v/>
      </c>
      <c r="I170" s="86" t="str">
        <f t="shared" si="6"/>
        <v/>
      </c>
      <c r="J170" s="85" t="str">
        <f t="shared" si="7"/>
        <v/>
      </c>
      <c r="K170" s="86" t="str">
        <f t="shared" si="8"/>
        <v/>
      </c>
      <c r="L170" s="85" t="str">
        <f>IF($B170="","",IF(IFERROR(INDEX('RAID Log'!$1:$1048576,$B170,MATCH("Status",'RAID Log'!$1:$1,0)),"")="","",IFERROR(INDEX('RAID Log'!$1:$1048576,$B170,MATCH("Status",'RAID Log'!$1:$1,0)),"")))</f>
        <v/>
      </c>
      <c r="M170" s="85" t="str">
        <f>IF($B170="","",IF(IFERROR(INDEX('RAID Log'!$1:$1048576,$B170,MATCH("RAID Owner",'RAID Log'!$1:$1,0)),"")="","",IFERROR(INDEX('RAID Log'!$1:$1048576,$B170,MATCH("RAID Owner",'RAID Log'!$1:$1,0)),"")))</f>
        <v/>
      </c>
      <c r="N170" s="87" t="str">
        <f>IF($B170="","",IF(IFERROR(INDEX('RAID Log'!$1:$1048576,$B170,MATCH("Date Raised",'RAID Log'!$1:$1,0)),"")="","",IFERROR(INDEX('RAID Log'!$1:$1048576,$B170,MATCH("Date Raised",'RAID Log'!$1:$1,0)),"")))</f>
        <v/>
      </c>
      <c r="O170" s="87" t="str">
        <f>IF($B170="","",IF(IFERROR(INDEX('RAID Log'!$1:$1048576,$B170,MATCH("Closed Date",'RAID Log'!$1:$1,0)),"")="","",IFERROR(INDEX('RAID Log'!$1:$1048576,$B170,MATCH("Closed Date",'RAID Log'!$1:$1,0)),"")))</f>
        <v/>
      </c>
      <c r="P170" s="85" t="str">
        <f>IF($B170="","",IF(IFERROR(INDEX('RAID Log'!$1:$1048576,$B170,MATCH("Mitigation Strategy",'RAID Log'!$1:$1,0)),"")="","",IFERROR(INDEX('RAID Log'!$1:$1048576,$B170,MATCH("Mitigation Strategy",'RAID Log'!$1:$1,0)),"")))</f>
        <v/>
      </c>
      <c r="Q170" s="88" t="str">
        <f>IF($B170="","",IF(IFERROR(INDEX('RAID Log'!$1:$1048576,$B170,MATCH("RAID Response/Plan",'RAID Log'!$1:$1,0)),"")="","",IFERROR(INDEX('RAID Log'!$1:$1048576,$B170,MATCH("RAID Response/Plan",'RAID Log'!$1:$1,0)),"")))</f>
        <v/>
      </c>
    </row>
    <row r="171" spans="1:17" ht="14.25" customHeight="1">
      <c r="A171" s="82" t="str">
        <f>IF($B171="","",IF(IFERROR(INDEX('RAID Log'!$1:$1048576,$B171,MATCH("RAID ID",'RAID Log'!$1:$1,0)),"")="","",IFERROR(INDEX('RAID Log'!$1:$1048576,$B171,MATCH("RAID ID",'RAID Log'!$1:$1,0)),"")))</f>
        <v/>
      </c>
      <c r="B171" s="83" t="str">
        <f>IFERROR(MATCH(ROW()-1,'RAID Log'!$S:$S,0),"")</f>
        <v/>
      </c>
      <c r="C171" s="84" t="str">
        <f>IF($B171="","",IF(IFERROR(INDEX('RAID Log'!$1:$1048576,$B171,MATCH("Description",'RAID Log'!$1:$1,0)),"")="","",IFERROR(INDEX('RAID Log'!$1:$1048576,$B171,MATCH("Description",'RAID Log'!$1:$1,0)),"")))</f>
        <v/>
      </c>
      <c r="D171" s="84" t="str">
        <f>IF($B171="","",IF(IFERROR(INDEX('RAID Log'!$1:$1048576,$B171,MATCH("Impact/Effect of the RAID",'RAID Log'!$1:$1,0)),"")="","",IFERROR(INDEX('RAID Log'!$1:$1048576,$B171,MATCH("Impact/Effect of the RAID",'RAID Log'!$1:$1,0)),"")))</f>
        <v/>
      </c>
      <c r="E171" s="85" t="str">
        <f>IF($B171="","",IF(IFERROR(INDEX('RAID Log'!$1:$1048576,$B171,MATCH("Impact Area",'RAID Log'!$1:$1,0)),"")="","",IFERROR(INDEX('RAID Log'!$1:$1048576,$B171,MATCH("Impact Area",'RAID Log'!$1:$1,0)),"")))</f>
        <v/>
      </c>
      <c r="F171" s="85" t="str">
        <f>IF($B171="","",IF(IFERROR(INDEX('RAID Log'!$1:$1048576,$B171,MATCH("Impact Area",'RAID Log'!$1:$1,0)),"")="","",IFERROR(INDEX('RAID Log'!$1:$1048576,$B171,MATCH("Impact Area",'RAID Log'!$1:$1,0)),"")))</f>
        <v/>
      </c>
      <c r="G171" s="85" t="str">
        <f>IF($B171="","",IF(IFERROR(INDEX('RAID Log'!$1:$1048576,$B171,MATCH("Impact Rating",'RAID Log'!$1:$1,0)),"")="","",IFERROR(INDEX('RAID Log'!$1:$1048576,$B171,MATCH("Impact Rating",'RAID Log'!$1:$1,0)),"")))</f>
        <v/>
      </c>
      <c r="H171" s="85" t="str">
        <f>IF($B171="","",IF(IFERROR(INDEX('RAID Log'!$1:$1048576,$B171,MATCH("Initial Probability",'RAID Log'!$1:$1,0)),"")="","",IFERROR(INDEX('RAID Log'!$1:$1048576,$B171,MATCH("Initial Probability",'RAID Log'!$1:$1,0)),"")))</f>
        <v/>
      </c>
      <c r="I171" s="86" t="str">
        <f t="shared" si="6"/>
        <v/>
      </c>
      <c r="J171" s="85" t="str">
        <f t="shared" si="7"/>
        <v/>
      </c>
      <c r="K171" s="86" t="str">
        <f t="shared" si="8"/>
        <v/>
      </c>
      <c r="L171" s="85" t="str">
        <f>IF($B171="","",IF(IFERROR(INDEX('RAID Log'!$1:$1048576,$B171,MATCH("Status",'RAID Log'!$1:$1,0)),"")="","",IFERROR(INDEX('RAID Log'!$1:$1048576,$B171,MATCH("Status",'RAID Log'!$1:$1,0)),"")))</f>
        <v/>
      </c>
      <c r="M171" s="85" t="str">
        <f>IF($B171="","",IF(IFERROR(INDEX('RAID Log'!$1:$1048576,$B171,MATCH("RAID Owner",'RAID Log'!$1:$1,0)),"")="","",IFERROR(INDEX('RAID Log'!$1:$1048576,$B171,MATCH("RAID Owner",'RAID Log'!$1:$1,0)),"")))</f>
        <v/>
      </c>
      <c r="N171" s="87" t="str">
        <f>IF($B171="","",IF(IFERROR(INDEX('RAID Log'!$1:$1048576,$B171,MATCH("Date Raised",'RAID Log'!$1:$1,0)),"")="","",IFERROR(INDEX('RAID Log'!$1:$1048576,$B171,MATCH("Date Raised",'RAID Log'!$1:$1,0)),"")))</f>
        <v/>
      </c>
      <c r="O171" s="87" t="str">
        <f>IF($B171="","",IF(IFERROR(INDEX('RAID Log'!$1:$1048576,$B171,MATCH("Closed Date",'RAID Log'!$1:$1,0)),"")="","",IFERROR(INDEX('RAID Log'!$1:$1048576,$B171,MATCH("Closed Date",'RAID Log'!$1:$1,0)),"")))</f>
        <v/>
      </c>
      <c r="P171" s="85" t="str">
        <f>IF($B171="","",IF(IFERROR(INDEX('RAID Log'!$1:$1048576,$B171,MATCH("Mitigation Strategy",'RAID Log'!$1:$1,0)),"")="","",IFERROR(INDEX('RAID Log'!$1:$1048576,$B171,MATCH("Mitigation Strategy",'RAID Log'!$1:$1,0)),"")))</f>
        <v/>
      </c>
      <c r="Q171" s="88" t="str">
        <f>IF($B171="","",IF(IFERROR(INDEX('RAID Log'!$1:$1048576,$B171,MATCH("RAID Response/Plan",'RAID Log'!$1:$1,0)),"")="","",IFERROR(INDEX('RAID Log'!$1:$1048576,$B171,MATCH("RAID Response/Plan",'RAID Log'!$1:$1,0)),"")))</f>
        <v/>
      </c>
    </row>
    <row r="172" spans="1:17" ht="14.25" customHeight="1">
      <c r="A172" s="82" t="str">
        <f>IF($B172="","",IF(IFERROR(INDEX('RAID Log'!$1:$1048576,$B172,MATCH("RAID ID",'RAID Log'!$1:$1,0)),"")="","",IFERROR(INDEX('RAID Log'!$1:$1048576,$B172,MATCH("RAID ID",'RAID Log'!$1:$1,0)),"")))</f>
        <v/>
      </c>
      <c r="B172" s="83" t="str">
        <f>IFERROR(MATCH(ROW()-1,'RAID Log'!$S:$S,0),"")</f>
        <v/>
      </c>
      <c r="C172" s="84" t="str">
        <f>IF($B172="","",IF(IFERROR(INDEX('RAID Log'!$1:$1048576,$B172,MATCH("Description",'RAID Log'!$1:$1,0)),"")="","",IFERROR(INDEX('RAID Log'!$1:$1048576,$B172,MATCH("Description",'RAID Log'!$1:$1,0)),"")))</f>
        <v/>
      </c>
      <c r="D172" s="84" t="str">
        <f>IF($B172="","",IF(IFERROR(INDEX('RAID Log'!$1:$1048576,$B172,MATCH("Impact/Effect of the RAID",'RAID Log'!$1:$1,0)),"")="","",IFERROR(INDEX('RAID Log'!$1:$1048576,$B172,MATCH("Impact/Effect of the RAID",'RAID Log'!$1:$1,0)),"")))</f>
        <v/>
      </c>
      <c r="E172" s="85" t="str">
        <f>IF($B172="","",IF(IFERROR(INDEX('RAID Log'!$1:$1048576,$B172,MATCH("Impact Area",'RAID Log'!$1:$1,0)),"")="","",IFERROR(INDEX('RAID Log'!$1:$1048576,$B172,MATCH("Impact Area",'RAID Log'!$1:$1,0)),"")))</f>
        <v/>
      </c>
      <c r="F172" s="85" t="str">
        <f>IF($B172="","",IF(IFERROR(INDEX('RAID Log'!$1:$1048576,$B172,MATCH("Impact Area",'RAID Log'!$1:$1,0)),"")="","",IFERROR(INDEX('RAID Log'!$1:$1048576,$B172,MATCH("Impact Area",'RAID Log'!$1:$1,0)),"")))</f>
        <v/>
      </c>
      <c r="G172" s="85" t="str">
        <f>IF($B172="","",IF(IFERROR(INDEX('RAID Log'!$1:$1048576,$B172,MATCH("Impact Rating",'RAID Log'!$1:$1,0)),"")="","",IFERROR(INDEX('RAID Log'!$1:$1048576,$B172,MATCH("Impact Rating",'RAID Log'!$1:$1,0)),"")))</f>
        <v/>
      </c>
      <c r="H172" s="85" t="str">
        <f>IF($B172="","",IF(IFERROR(INDEX('RAID Log'!$1:$1048576,$B172,MATCH("Initial Probability",'RAID Log'!$1:$1,0)),"")="","",IFERROR(INDEX('RAID Log'!$1:$1048576,$B172,MATCH("Initial Probability",'RAID Log'!$1:$1,0)),"")))</f>
        <v/>
      </c>
      <c r="I172" s="86" t="str">
        <f t="shared" si="6"/>
        <v/>
      </c>
      <c r="J172" s="85" t="str">
        <f t="shared" si="7"/>
        <v/>
      </c>
      <c r="K172" s="86" t="str">
        <f t="shared" si="8"/>
        <v/>
      </c>
      <c r="L172" s="85" t="str">
        <f>IF($B172="","",IF(IFERROR(INDEX('RAID Log'!$1:$1048576,$B172,MATCH("Status",'RAID Log'!$1:$1,0)),"")="","",IFERROR(INDEX('RAID Log'!$1:$1048576,$B172,MATCH("Status",'RAID Log'!$1:$1,0)),"")))</f>
        <v/>
      </c>
      <c r="M172" s="85" t="str">
        <f>IF($B172="","",IF(IFERROR(INDEX('RAID Log'!$1:$1048576,$B172,MATCH("RAID Owner",'RAID Log'!$1:$1,0)),"")="","",IFERROR(INDEX('RAID Log'!$1:$1048576,$B172,MATCH("RAID Owner",'RAID Log'!$1:$1,0)),"")))</f>
        <v/>
      </c>
      <c r="N172" s="87" t="str">
        <f>IF($B172="","",IF(IFERROR(INDEX('RAID Log'!$1:$1048576,$B172,MATCH("Date Raised",'RAID Log'!$1:$1,0)),"")="","",IFERROR(INDEX('RAID Log'!$1:$1048576,$B172,MATCH("Date Raised",'RAID Log'!$1:$1,0)),"")))</f>
        <v/>
      </c>
      <c r="O172" s="87" t="str">
        <f>IF($B172="","",IF(IFERROR(INDEX('RAID Log'!$1:$1048576,$B172,MATCH("Closed Date",'RAID Log'!$1:$1,0)),"")="","",IFERROR(INDEX('RAID Log'!$1:$1048576,$B172,MATCH("Closed Date",'RAID Log'!$1:$1,0)),"")))</f>
        <v/>
      </c>
      <c r="P172" s="85" t="str">
        <f>IF($B172="","",IF(IFERROR(INDEX('RAID Log'!$1:$1048576,$B172,MATCH("Mitigation Strategy",'RAID Log'!$1:$1,0)),"")="","",IFERROR(INDEX('RAID Log'!$1:$1048576,$B172,MATCH("Mitigation Strategy",'RAID Log'!$1:$1,0)),"")))</f>
        <v/>
      </c>
      <c r="Q172" s="88" t="str">
        <f>IF($B172="","",IF(IFERROR(INDEX('RAID Log'!$1:$1048576,$B172,MATCH("RAID Response/Plan",'RAID Log'!$1:$1,0)),"")="","",IFERROR(INDEX('RAID Log'!$1:$1048576,$B172,MATCH("RAID Response/Plan",'RAID Log'!$1:$1,0)),"")))</f>
        <v/>
      </c>
    </row>
    <row r="173" spans="1:17" ht="14.25" customHeight="1">
      <c r="A173" s="82" t="str">
        <f>IF($B173="","",IF(IFERROR(INDEX('RAID Log'!$1:$1048576,$B173,MATCH("RAID ID",'RAID Log'!$1:$1,0)),"")="","",IFERROR(INDEX('RAID Log'!$1:$1048576,$B173,MATCH("RAID ID",'RAID Log'!$1:$1,0)),"")))</f>
        <v/>
      </c>
      <c r="B173" s="83" t="str">
        <f>IFERROR(MATCH(ROW()-1,'RAID Log'!$S:$S,0),"")</f>
        <v/>
      </c>
      <c r="C173" s="84" t="str">
        <f>IF($B173="","",IF(IFERROR(INDEX('RAID Log'!$1:$1048576,$B173,MATCH("Description",'RAID Log'!$1:$1,0)),"")="","",IFERROR(INDEX('RAID Log'!$1:$1048576,$B173,MATCH("Description",'RAID Log'!$1:$1,0)),"")))</f>
        <v/>
      </c>
      <c r="D173" s="84" t="str">
        <f>IF($B173="","",IF(IFERROR(INDEX('RAID Log'!$1:$1048576,$B173,MATCH("Impact/Effect of the RAID",'RAID Log'!$1:$1,0)),"")="","",IFERROR(INDEX('RAID Log'!$1:$1048576,$B173,MATCH("Impact/Effect of the RAID",'RAID Log'!$1:$1,0)),"")))</f>
        <v/>
      </c>
      <c r="E173" s="85" t="str">
        <f>IF($B173="","",IF(IFERROR(INDEX('RAID Log'!$1:$1048576,$B173,MATCH("Impact Area",'RAID Log'!$1:$1,0)),"")="","",IFERROR(INDEX('RAID Log'!$1:$1048576,$B173,MATCH("Impact Area",'RAID Log'!$1:$1,0)),"")))</f>
        <v/>
      </c>
      <c r="F173" s="85" t="str">
        <f>IF($B173="","",IF(IFERROR(INDEX('RAID Log'!$1:$1048576,$B173,MATCH("Impact Area",'RAID Log'!$1:$1,0)),"")="","",IFERROR(INDEX('RAID Log'!$1:$1048576,$B173,MATCH("Impact Area",'RAID Log'!$1:$1,0)),"")))</f>
        <v/>
      </c>
      <c r="G173" s="85" t="str">
        <f>IF($B173="","",IF(IFERROR(INDEX('RAID Log'!$1:$1048576,$B173,MATCH("Impact Rating",'RAID Log'!$1:$1,0)),"")="","",IFERROR(INDEX('RAID Log'!$1:$1048576,$B173,MATCH("Impact Rating",'RAID Log'!$1:$1,0)),"")))</f>
        <v/>
      </c>
      <c r="H173" s="85" t="str">
        <f>IF($B173="","",IF(IFERROR(INDEX('RAID Log'!$1:$1048576,$B173,MATCH("Initial Probability",'RAID Log'!$1:$1,0)),"")="","",IFERROR(INDEX('RAID Log'!$1:$1048576,$B173,MATCH("Initial Probability",'RAID Log'!$1:$1,0)),"")))</f>
        <v/>
      </c>
      <c r="I173" s="86" t="str">
        <f t="shared" si="6"/>
        <v/>
      </c>
      <c r="J173" s="85" t="str">
        <f t="shared" si="7"/>
        <v/>
      </c>
      <c r="K173" s="86" t="str">
        <f t="shared" si="8"/>
        <v/>
      </c>
      <c r="L173" s="85" t="str">
        <f>IF($B173="","",IF(IFERROR(INDEX('RAID Log'!$1:$1048576,$B173,MATCH("Status",'RAID Log'!$1:$1,0)),"")="","",IFERROR(INDEX('RAID Log'!$1:$1048576,$B173,MATCH("Status",'RAID Log'!$1:$1,0)),"")))</f>
        <v/>
      </c>
      <c r="M173" s="85" t="str">
        <f>IF($B173="","",IF(IFERROR(INDEX('RAID Log'!$1:$1048576,$B173,MATCH("RAID Owner",'RAID Log'!$1:$1,0)),"")="","",IFERROR(INDEX('RAID Log'!$1:$1048576,$B173,MATCH("RAID Owner",'RAID Log'!$1:$1,0)),"")))</f>
        <v/>
      </c>
      <c r="N173" s="87" t="str">
        <f>IF($B173="","",IF(IFERROR(INDEX('RAID Log'!$1:$1048576,$B173,MATCH("Date Raised",'RAID Log'!$1:$1,0)),"")="","",IFERROR(INDEX('RAID Log'!$1:$1048576,$B173,MATCH("Date Raised",'RAID Log'!$1:$1,0)),"")))</f>
        <v/>
      </c>
      <c r="O173" s="87" t="str">
        <f>IF($B173="","",IF(IFERROR(INDEX('RAID Log'!$1:$1048576,$B173,MATCH("Closed Date",'RAID Log'!$1:$1,0)),"")="","",IFERROR(INDEX('RAID Log'!$1:$1048576,$B173,MATCH("Closed Date",'RAID Log'!$1:$1,0)),"")))</f>
        <v/>
      </c>
      <c r="P173" s="85" t="str">
        <f>IF($B173="","",IF(IFERROR(INDEX('RAID Log'!$1:$1048576,$B173,MATCH("Mitigation Strategy",'RAID Log'!$1:$1,0)),"")="","",IFERROR(INDEX('RAID Log'!$1:$1048576,$B173,MATCH("Mitigation Strategy",'RAID Log'!$1:$1,0)),"")))</f>
        <v/>
      </c>
      <c r="Q173" s="88" t="str">
        <f>IF($B173="","",IF(IFERROR(INDEX('RAID Log'!$1:$1048576,$B173,MATCH("RAID Response/Plan",'RAID Log'!$1:$1,0)),"")="","",IFERROR(INDEX('RAID Log'!$1:$1048576,$B173,MATCH("RAID Response/Plan",'RAID Log'!$1:$1,0)),"")))</f>
        <v/>
      </c>
    </row>
    <row r="174" spans="1:17" ht="14.25" customHeight="1">
      <c r="A174" s="82" t="str">
        <f>IF($B174="","",IF(IFERROR(INDEX('RAID Log'!$1:$1048576,$B174,MATCH("RAID ID",'RAID Log'!$1:$1,0)),"")="","",IFERROR(INDEX('RAID Log'!$1:$1048576,$B174,MATCH("RAID ID",'RAID Log'!$1:$1,0)),"")))</f>
        <v/>
      </c>
      <c r="B174" s="83" t="str">
        <f>IFERROR(MATCH(ROW()-1,'RAID Log'!$S:$S,0),"")</f>
        <v/>
      </c>
      <c r="C174" s="84" t="str">
        <f>IF($B174="","",IF(IFERROR(INDEX('RAID Log'!$1:$1048576,$B174,MATCH("Description",'RAID Log'!$1:$1,0)),"")="","",IFERROR(INDEX('RAID Log'!$1:$1048576,$B174,MATCH("Description",'RAID Log'!$1:$1,0)),"")))</f>
        <v/>
      </c>
      <c r="D174" s="84" t="str">
        <f>IF($B174="","",IF(IFERROR(INDEX('RAID Log'!$1:$1048576,$B174,MATCH("Impact/Effect of the RAID",'RAID Log'!$1:$1,0)),"")="","",IFERROR(INDEX('RAID Log'!$1:$1048576,$B174,MATCH("Impact/Effect of the RAID",'RAID Log'!$1:$1,0)),"")))</f>
        <v/>
      </c>
      <c r="E174" s="85" t="str">
        <f>IF($B174="","",IF(IFERROR(INDEX('RAID Log'!$1:$1048576,$B174,MATCH("Impact Area",'RAID Log'!$1:$1,0)),"")="","",IFERROR(INDEX('RAID Log'!$1:$1048576,$B174,MATCH("Impact Area",'RAID Log'!$1:$1,0)),"")))</f>
        <v/>
      </c>
      <c r="F174" s="85" t="str">
        <f>IF($B174="","",IF(IFERROR(INDEX('RAID Log'!$1:$1048576,$B174,MATCH("Impact Area",'RAID Log'!$1:$1,0)),"")="","",IFERROR(INDEX('RAID Log'!$1:$1048576,$B174,MATCH("Impact Area",'RAID Log'!$1:$1,0)),"")))</f>
        <v/>
      </c>
      <c r="G174" s="85" t="str">
        <f>IF($B174="","",IF(IFERROR(INDEX('RAID Log'!$1:$1048576,$B174,MATCH("Impact Rating",'RAID Log'!$1:$1,0)),"")="","",IFERROR(INDEX('RAID Log'!$1:$1048576,$B174,MATCH("Impact Rating",'RAID Log'!$1:$1,0)),"")))</f>
        <v/>
      </c>
      <c r="H174" s="85" t="str">
        <f>IF($B174="","",IF(IFERROR(INDEX('RAID Log'!$1:$1048576,$B174,MATCH("Initial Probability",'RAID Log'!$1:$1,0)),"")="","",IFERROR(INDEX('RAID Log'!$1:$1048576,$B174,MATCH("Initial Probability",'RAID Log'!$1:$1,0)),"")))</f>
        <v/>
      </c>
      <c r="I174" s="86" t="str">
        <f t="shared" si="6"/>
        <v/>
      </c>
      <c r="J174" s="85" t="str">
        <f t="shared" si="7"/>
        <v/>
      </c>
      <c r="K174" s="86" t="str">
        <f t="shared" si="8"/>
        <v/>
      </c>
      <c r="L174" s="85" t="str">
        <f>IF($B174="","",IF(IFERROR(INDEX('RAID Log'!$1:$1048576,$B174,MATCH("Status",'RAID Log'!$1:$1,0)),"")="","",IFERROR(INDEX('RAID Log'!$1:$1048576,$B174,MATCH("Status",'RAID Log'!$1:$1,0)),"")))</f>
        <v/>
      </c>
      <c r="M174" s="85" t="str">
        <f>IF($B174="","",IF(IFERROR(INDEX('RAID Log'!$1:$1048576,$B174,MATCH("RAID Owner",'RAID Log'!$1:$1,0)),"")="","",IFERROR(INDEX('RAID Log'!$1:$1048576,$B174,MATCH("RAID Owner",'RAID Log'!$1:$1,0)),"")))</f>
        <v/>
      </c>
      <c r="N174" s="87" t="str">
        <f>IF($B174="","",IF(IFERROR(INDEX('RAID Log'!$1:$1048576,$B174,MATCH("Date Raised",'RAID Log'!$1:$1,0)),"")="","",IFERROR(INDEX('RAID Log'!$1:$1048576,$B174,MATCH("Date Raised",'RAID Log'!$1:$1,0)),"")))</f>
        <v/>
      </c>
      <c r="O174" s="87" t="str">
        <f>IF($B174="","",IF(IFERROR(INDEX('RAID Log'!$1:$1048576,$B174,MATCH("Closed Date",'RAID Log'!$1:$1,0)),"")="","",IFERROR(INDEX('RAID Log'!$1:$1048576,$B174,MATCH("Closed Date",'RAID Log'!$1:$1,0)),"")))</f>
        <v/>
      </c>
      <c r="P174" s="85" t="str">
        <f>IF($B174="","",IF(IFERROR(INDEX('RAID Log'!$1:$1048576,$B174,MATCH("Mitigation Strategy",'RAID Log'!$1:$1,0)),"")="","",IFERROR(INDEX('RAID Log'!$1:$1048576,$B174,MATCH("Mitigation Strategy",'RAID Log'!$1:$1,0)),"")))</f>
        <v/>
      </c>
      <c r="Q174" s="88" t="str">
        <f>IF($B174="","",IF(IFERROR(INDEX('RAID Log'!$1:$1048576,$B174,MATCH("RAID Response/Plan",'RAID Log'!$1:$1,0)),"")="","",IFERROR(INDEX('RAID Log'!$1:$1048576,$B174,MATCH("RAID Response/Plan",'RAID Log'!$1:$1,0)),"")))</f>
        <v/>
      </c>
    </row>
    <row r="175" spans="1:17" ht="14.25" customHeight="1">
      <c r="A175" s="82" t="str">
        <f>IF($B175="","",IF(IFERROR(INDEX('RAID Log'!$1:$1048576,$B175,MATCH("RAID ID",'RAID Log'!$1:$1,0)),"")="","",IFERROR(INDEX('RAID Log'!$1:$1048576,$B175,MATCH("RAID ID",'RAID Log'!$1:$1,0)),"")))</f>
        <v/>
      </c>
      <c r="B175" s="83" t="str">
        <f>IFERROR(MATCH(ROW()-1,'RAID Log'!$S:$S,0),"")</f>
        <v/>
      </c>
      <c r="C175" s="84" t="str">
        <f>IF($B175="","",IF(IFERROR(INDEX('RAID Log'!$1:$1048576,$B175,MATCH("Description",'RAID Log'!$1:$1,0)),"")="","",IFERROR(INDEX('RAID Log'!$1:$1048576,$B175,MATCH("Description",'RAID Log'!$1:$1,0)),"")))</f>
        <v/>
      </c>
      <c r="D175" s="84" t="str">
        <f>IF($B175="","",IF(IFERROR(INDEX('RAID Log'!$1:$1048576,$B175,MATCH("Impact/Effect of the RAID",'RAID Log'!$1:$1,0)),"")="","",IFERROR(INDEX('RAID Log'!$1:$1048576,$B175,MATCH("Impact/Effect of the RAID",'RAID Log'!$1:$1,0)),"")))</f>
        <v/>
      </c>
      <c r="E175" s="85" t="str">
        <f>IF($B175="","",IF(IFERROR(INDEX('RAID Log'!$1:$1048576,$B175,MATCH("Impact Area",'RAID Log'!$1:$1,0)),"")="","",IFERROR(INDEX('RAID Log'!$1:$1048576,$B175,MATCH("Impact Area",'RAID Log'!$1:$1,0)),"")))</f>
        <v/>
      </c>
      <c r="F175" s="85" t="str">
        <f>IF($B175="","",IF(IFERROR(INDEX('RAID Log'!$1:$1048576,$B175,MATCH("Impact Area",'RAID Log'!$1:$1,0)),"")="","",IFERROR(INDEX('RAID Log'!$1:$1048576,$B175,MATCH("Impact Area",'RAID Log'!$1:$1,0)),"")))</f>
        <v/>
      </c>
      <c r="G175" s="85" t="str">
        <f>IF($B175="","",IF(IFERROR(INDEX('RAID Log'!$1:$1048576,$B175,MATCH("Impact Rating",'RAID Log'!$1:$1,0)),"")="","",IFERROR(INDEX('RAID Log'!$1:$1048576,$B175,MATCH("Impact Rating",'RAID Log'!$1:$1,0)),"")))</f>
        <v/>
      </c>
      <c r="H175" s="85" t="str">
        <f>IF($B175="","",IF(IFERROR(INDEX('RAID Log'!$1:$1048576,$B175,MATCH("Initial Probability",'RAID Log'!$1:$1,0)),"")="","",IFERROR(INDEX('RAID Log'!$1:$1048576,$B175,MATCH("Initial Probability",'RAID Log'!$1:$1,0)),"")))</f>
        <v/>
      </c>
      <c r="I175" s="86" t="str">
        <f t="shared" si="6"/>
        <v/>
      </c>
      <c r="J175" s="85" t="str">
        <f t="shared" si="7"/>
        <v/>
      </c>
      <c r="K175" s="86" t="str">
        <f t="shared" si="8"/>
        <v/>
      </c>
      <c r="L175" s="85" t="str">
        <f>IF($B175="","",IF(IFERROR(INDEX('RAID Log'!$1:$1048576,$B175,MATCH("Status",'RAID Log'!$1:$1,0)),"")="","",IFERROR(INDEX('RAID Log'!$1:$1048576,$B175,MATCH("Status",'RAID Log'!$1:$1,0)),"")))</f>
        <v/>
      </c>
      <c r="M175" s="85" t="str">
        <f>IF($B175="","",IF(IFERROR(INDEX('RAID Log'!$1:$1048576,$B175,MATCH("RAID Owner",'RAID Log'!$1:$1,0)),"")="","",IFERROR(INDEX('RAID Log'!$1:$1048576,$B175,MATCH("RAID Owner",'RAID Log'!$1:$1,0)),"")))</f>
        <v/>
      </c>
      <c r="N175" s="87" t="str">
        <f>IF($B175="","",IF(IFERROR(INDEX('RAID Log'!$1:$1048576,$B175,MATCH("Date Raised",'RAID Log'!$1:$1,0)),"")="","",IFERROR(INDEX('RAID Log'!$1:$1048576,$B175,MATCH("Date Raised",'RAID Log'!$1:$1,0)),"")))</f>
        <v/>
      </c>
      <c r="O175" s="87" t="str">
        <f>IF($B175="","",IF(IFERROR(INDEX('RAID Log'!$1:$1048576,$B175,MATCH("Closed Date",'RAID Log'!$1:$1,0)),"")="","",IFERROR(INDEX('RAID Log'!$1:$1048576,$B175,MATCH("Closed Date",'RAID Log'!$1:$1,0)),"")))</f>
        <v/>
      </c>
      <c r="P175" s="85" t="str">
        <f>IF($B175="","",IF(IFERROR(INDEX('RAID Log'!$1:$1048576,$B175,MATCH("Mitigation Strategy",'RAID Log'!$1:$1,0)),"")="","",IFERROR(INDEX('RAID Log'!$1:$1048576,$B175,MATCH("Mitigation Strategy",'RAID Log'!$1:$1,0)),"")))</f>
        <v/>
      </c>
      <c r="Q175" s="88" t="str">
        <f>IF($B175="","",IF(IFERROR(INDEX('RAID Log'!$1:$1048576,$B175,MATCH("RAID Response/Plan",'RAID Log'!$1:$1,0)),"")="","",IFERROR(INDEX('RAID Log'!$1:$1048576,$B175,MATCH("RAID Response/Plan",'RAID Log'!$1:$1,0)),"")))</f>
        <v/>
      </c>
    </row>
    <row r="176" spans="1:17" ht="14.25" customHeight="1">
      <c r="A176" s="82" t="str">
        <f>IF($B176="","",IF(IFERROR(INDEX('RAID Log'!$1:$1048576,$B176,MATCH("RAID ID",'RAID Log'!$1:$1,0)),"")="","",IFERROR(INDEX('RAID Log'!$1:$1048576,$B176,MATCH("RAID ID",'RAID Log'!$1:$1,0)),"")))</f>
        <v/>
      </c>
      <c r="B176" s="83" t="str">
        <f>IFERROR(MATCH(ROW()-1,'RAID Log'!$S:$S,0),"")</f>
        <v/>
      </c>
      <c r="C176" s="84" t="str">
        <f>IF($B176="","",IF(IFERROR(INDEX('RAID Log'!$1:$1048576,$B176,MATCH("Description",'RAID Log'!$1:$1,0)),"")="","",IFERROR(INDEX('RAID Log'!$1:$1048576,$B176,MATCH("Description",'RAID Log'!$1:$1,0)),"")))</f>
        <v/>
      </c>
      <c r="D176" s="84" t="str">
        <f>IF($B176="","",IF(IFERROR(INDEX('RAID Log'!$1:$1048576,$B176,MATCH("Impact/Effect of the RAID",'RAID Log'!$1:$1,0)),"")="","",IFERROR(INDEX('RAID Log'!$1:$1048576,$B176,MATCH("Impact/Effect of the RAID",'RAID Log'!$1:$1,0)),"")))</f>
        <v/>
      </c>
      <c r="E176" s="85" t="str">
        <f>IF($B176="","",IF(IFERROR(INDEX('RAID Log'!$1:$1048576,$B176,MATCH("Impact Area",'RAID Log'!$1:$1,0)),"")="","",IFERROR(INDEX('RAID Log'!$1:$1048576,$B176,MATCH("Impact Area",'RAID Log'!$1:$1,0)),"")))</f>
        <v/>
      </c>
      <c r="F176" s="85" t="str">
        <f>IF($B176="","",IF(IFERROR(INDEX('RAID Log'!$1:$1048576,$B176,MATCH("Impact Area",'RAID Log'!$1:$1,0)),"")="","",IFERROR(INDEX('RAID Log'!$1:$1048576,$B176,MATCH("Impact Area",'RAID Log'!$1:$1,0)),"")))</f>
        <v/>
      </c>
      <c r="G176" s="85" t="str">
        <f>IF($B176="","",IF(IFERROR(INDEX('RAID Log'!$1:$1048576,$B176,MATCH("Impact Rating",'RAID Log'!$1:$1,0)),"")="","",IFERROR(INDEX('RAID Log'!$1:$1048576,$B176,MATCH("Impact Rating",'RAID Log'!$1:$1,0)),"")))</f>
        <v/>
      </c>
      <c r="H176" s="85" t="str">
        <f>IF($B176="","",IF(IFERROR(INDEX('RAID Log'!$1:$1048576,$B176,MATCH("Initial Probability",'RAID Log'!$1:$1,0)),"")="","",IFERROR(INDEX('RAID Log'!$1:$1048576,$B176,MATCH("Initial Probability",'RAID Log'!$1:$1,0)),"")))</f>
        <v/>
      </c>
      <c r="I176" s="86" t="str">
        <f t="shared" si="6"/>
        <v/>
      </c>
      <c r="J176" s="85" t="str">
        <f t="shared" si="7"/>
        <v/>
      </c>
      <c r="K176" s="86" t="str">
        <f t="shared" si="8"/>
        <v/>
      </c>
      <c r="L176" s="85" t="str">
        <f>IF($B176="","",IF(IFERROR(INDEX('RAID Log'!$1:$1048576,$B176,MATCH("Status",'RAID Log'!$1:$1,0)),"")="","",IFERROR(INDEX('RAID Log'!$1:$1048576,$B176,MATCH("Status",'RAID Log'!$1:$1,0)),"")))</f>
        <v/>
      </c>
      <c r="M176" s="85" t="str">
        <f>IF($B176="","",IF(IFERROR(INDEX('RAID Log'!$1:$1048576,$B176,MATCH("RAID Owner",'RAID Log'!$1:$1,0)),"")="","",IFERROR(INDEX('RAID Log'!$1:$1048576,$B176,MATCH("RAID Owner",'RAID Log'!$1:$1,0)),"")))</f>
        <v/>
      </c>
      <c r="N176" s="87" t="str">
        <f>IF($B176="","",IF(IFERROR(INDEX('RAID Log'!$1:$1048576,$B176,MATCH("Date Raised",'RAID Log'!$1:$1,0)),"")="","",IFERROR(INDEX('RAID Log'!$1:$1048576,$B176,MATCH("Date Raised",'RAID Log'!$1:$1,0)),"")))</f>
        <v/>
      </c>
      <c r="O176" s="87" t="str">
        <f>IF($B176="","",IF(IFERROR(INDEX('RAID Log'!$1:$1048576,$B176,MATCH("Closed Date",'RAID Log'!$1:$1,0)),"")="","",IFERROR(INDEX('RAID Log'!$1:$1048576,$B176,MATCH("Closed Date",'RAID Log'!$1:$1,0)),"")))</f>
        <v/>
      </c>
      <c r="P176" s="85" t="str">
        <f>IF($B176="","",IF(IFERROR(INDEX('RAID Log'!$1:$1048576,$B176,MATCH("Mitigation Strategy",'RAID Log'!$1:$1,0)),"")="","",IFERROR(INDEX('RAID Log'!$1:$1048576,$B176,MATCH("Mitigation Strategy",'RAID Log'!$1:$1,0)),"")))</f>
        <v/>
      </c>
      <c r="Q176" s="88" t="str">
        <f>IF($B176="","",IF(IFERROR(INDEX('RAID Log'!$1:$1048576,$B176,MATCH("RAID Response/Plan",'RAID Log'!$1:$1,0)),"")="","",IFERROR(INDEX('RAID Log'!$1:$1048576,$B176,MATCH("RAID Response/Plan",'RAID Log'!$1:$1,0)),"")))</f>
        <v/>
      </c>
    </row>
    <row r="177" spans="1:17" ht="14.25" customHeight="1">
      <c r="A177" s="82" t="str">
        <f>IF($B177="","",IF(IFERROR(INDEX('RAID Log'!$1:$1048576,$B177,MATCH("RAID ID",'RAID Log'!$1:$1,0)),"")="","",IFERROR(INDEX('RAID Log'!$1:$1048576,$B177,MATCH("RAID ID",'RAID Log'!$1:$1,0)),"")))</f>
        <v/>
      </c>
      <c r="B177" s="83" t="str">
        <f>IFERROR(MATCH(ROW()-1,'RAID Log'!$S:$S,0),"")</f>
        <v/>
      </c>
      <c r="C177" s="84" t="str">
        <f>IF($B177="","",IF(IFERROR(INDEX('RAID Log'!$1:$1048576,$B177,MATCH("Description",'RAID Log'!$1:$1,0)),"")="","",IFERROR(INDEX('RAID Log'!$1:$1048576,$B177,MATCH("Description",'RAID Log'!$1:$1,0)),"")))</f>
        <v/>
      </c>
      <c r="D177" s="84" t="str">
        <f>IF($B177="","",IF(IFERROR(INDEX('RAID Log'!$1:$1048576,$B177,MATCH("Impact/Effect of the RAID",'RAID Log'!$1:$1,0)),"")="","",IFERROR(INDEX('RAID Log'!$1:$1048576,$B177,MATCH("Impact/Effect of the RAID",'RAID Log'!$1:$1,0)),"")))</f>
        <v/>
      </c>
      <c r="E177" s="85" t="str">
        <f>IF($B177="","",IF(IFERROR(INDEX('RAID Log'!$1:$1048576,$B177,MATCH("Impact Area",'RAID Log'!$1:$1,0)),"")="","",IFERROR(INDEX('RAID Log'!$1:$1048576,$B177,MATCH("Impact Area",'RAID Log'!$1:$1,0)),"")))</f>
        <v/>
      </c>
      <c r="F177" s="85" t="str">
        <f>IF($B177="","",IF(IFERROR(INDEX('RAID Log'!$1:$1048576,$B177,MATCH("Impact Area",'RAID Log'!$1:$1,0)),"")="","",IFERROR(INDEX('RAID Log'!$1:$1048576,$B177,MATCH("Impact Area",'RAID Log'!$1:$1,0)),"")))</f>
        <v/>
      </c>
      <c r="G177" s="85" t="str">
        <f>IF($B177="","",IF(IFERROR(INDEX('RAID Log'!$1:$1048576,$B177,MATCH("Impact Rating",'RAID Log'!$1:$1,0)),"")="","",IFERROR(INDEX('RAID Log'!$1:$1048576,$B177,MATCH("Impact Rating",'RAID Log'!$1:$1,0)),"")))</f>
        <v/>
      </c>
      <c r="H177" s="85" t="str">
        <f>IF($B177="","",IF(IFERROR(INDEX('RAID Log'!$1:$1048576,$B177,MATCH("Initial Probability",'RAID Log'!$1:$1,0)),"")="","",IFERROR(INDEX('RAID Log'!$1:$1048576,$B177,MATCH("Initial Probability",'RAID Log'!$1:$1,0)),"")))</f>
        <v/>
      </c>
      <c r="I177" s="86" t="str">
        <f t="shared" si="6"/>
        <v/>
      </c>
      <c r="J177" s="85" t="str">
        <f t="shared" si="7"/>
        <v/>
      </c>
      <c r="K177" s="86" t="str">
        <f t="shared" si="8"/>
        <v/>
      </c>
      <c r="L177" s="85" t="str">
        <f>IF($B177="","",IF(IFERROR(INDEX('RAID Log'!$1:$1048576,$B177,MATCH("Status",'RAID Log'!$1:$1,0)),"")="","",IFERROR(INDEX('RAID Log'!$1:$1048576,$B177,MATCH("Status",'RAID Log'!$1:$1,0)),"")))</f>
        <v/>
      </c>
      <c r="M177" s="85" t="str">
        <f>IF($B177="","",IF(IFERROR(INDEX('RAID Log'!$1:$1048576,$B177,MATCH("RAID Owner",'RAID Log'!$1:$1,0)),"")="","",IFERROR(INDEX('RAID Log'!$1:$1048576,$B177,MATCH("RAID Owner",'RAID Log'!$1:$1,0)),"")))</f>
        <v/>
      </c>
      <c r="N177" s="87" t="str">
        <f>IF($B177="","",IF(IFERROR(INDEX('RAID Log'!$1:$1048576,$B177,MATCH("Date Raised",'RAID Log'!$1:$1,0)),"")="","",IFERROR(INDEX('RAID Log'!$1:$1048576,$B177,MATCH("Date Raised",'RAID Log'!$1:$1,0)),"")))</f>
        <v/>
      </c>
      <c r="O177" s="87" t="str">
        <f>IF($B177="","",IF(IFERROR(INDEX('RAID Log'!$1:$1048576,$B177,MATCH("Closed Date",'RAID Log'!$1:$1,0)),"")="","",IFERROR(INDEX('RAID Log'!$1:$1048576,$B177,MATCH("Closed Date",'RAID Log'!$1:$1,0)),"")))</f>
        <v/>
      </c>
      <c r="P177" s="85" t="str">
        <f>IF($B177="","",IF(IFERROR(INDEX('RAID Log'!$1:$1048576,$B177,MATCH("Mitigation Strategy",'RAID Log'!$1:$1,0)),"")="","",IFERROR(INDEX('RAID Log'!$1:$1048576,$B177,MATCH("Mitigation Strategy",'RAID Log'!$1:$1,0)),"")))</f>
        <v/>
      </c>
      <c r="Q177" s="88" t="str">
        <f>IF($B177="","",IF(IFERROR(INDEX('RAID Log'!$1:$1048576,$B177,MATCH("RAID Response/Plan",'RAID Log'!$1:$1,0)),"")="","",IFERROR(INDEX('RAID Log'!$1:$1048576,$B177,MATCH("RAID Response/Plan",'RAID Log'!$1:$1,0)),"")))</f>
        <v/>
      </c>
    </row>
    <row r="178" spans="1:17" ht="14.25" customHeight="1">
      <c r="A178" s="82" t="str">
        <f>IF($B178="","",IF(IFERROR(INDEX('RAID Log'!$1:$1048576,$B178,MATCH("RAID ID",'RAID Log'!$1:$1,0)),"")="","",IFERROR(INDEX('RAID Log'!$1:$1048576,$B178,MATCH("RAID ID",'RAID Log'!$1:$1,0)),"")))</f>
        <v/>
      </c>
      <c r="B178" s="83" t="str">
        <f>IFERROR(MATCH(ROW()-1,'RAID Log'!$S:$S,0),"")</f>
        <v/>
      </c>
      <c r="C178" s="84" t="str">
        <f>IF($B178="","",IF(IFERROR(INDEX('RAID Log'!$1:$1048576,$B178,MATCH("Description",'RAID Log'!$1:$1,0)),"")="","",IFERROR(INDEX('RAID Log'!$1:$1048576,$B178,MATCH("Description",'RAID Log'!$1:$1,0)),"")))</f>
        <v/>
      </c>
      <c r="D178" s="84" t="str">
        <f>IF($B178="","",IF(IFERROR(INDEX('RAID Log'!$1:$1048576,$B178,MATCH("Impact/Effect of the RAID",'RAID Log'!$1:$1,0)),"")="","",IFERROR(INDEX('RAID Log'!$1:$1048576,$B178,MATCH("Impact/Effect of the RAID",'RAID Log'!$1:$1,0)),"")))</f>
        <v/>
      </c>
      <c r="E178" s="85" t="str">
        <f>IF($B178="","",IF(IFERROR(INDEX('RAID Log'!$1:$1048576,$B178,MATCH("Impact Area",'RAID Log'!$1:$1,0)),"")="","",IFERROR(INDEX('RAID Log'!$1:$1048576,$B178,MATCH("Impact Area",'RAID Log'!$1:$1,0)),"")))</f>
        <v/>
      </c>
      <c r="F178" s="85" t="str">
        <f>IF($B178="","",IF(IFERROR(INDEX('RAID Log'!$1:$1048576,$B178,MATCH("Impact Area",'RAID Log'!$1:$1,0)),"")="","",IFERROR(INDEX('RAID Log'!$1:$1048576,$B178,MATCH("Impact Area",'RAID Log'!$1:$1,0)),"")))</f>
        <v/>
      </c>
      <c r="G178" s="85" t="str">
        <f>IF($B178="","",IF(IFERROR(INDEX('RAID Log'!$1:$1048576,$B178,MATCH("Impact Rating",'RAID Log'!$1:$1,0)),"")="","",IFERROR(INDEX('RAID Log'!$1:$1048576,$B178,MATCH("Impact Rating",'RAID Log'!$1:$1,0)),"")))</f>
        <v/>
      </c>
      <c r="H178" s="85" t="str">
        <f>IF($B178="","",IF(IFERROR(INDEX('RAID Log'!$1:$1048576,$B178,MATCH("Initial Probability",'RAID Log'!$1:$1,0)),"")="","",IFERROR(INDEX('RAID Log'!$1:$1048576,$B178,MATCH("Initial Probability",'RAID Log'!$1:$1,0)),"")))</f>
        <v/>
      </c>
      <c r="I178" s="86" t="str">
        <f t="shared" si="6"/>
        <v/>
      </c>
      <c r="J178" s="85" t="str">
        <f t="shared" si="7"/>
        <v/>
      </c>
      <c r="K178" s="86" t="str">
        <f t="shared" si="8"/>
        <v/>
      </c>
      <c r="L178" s="85" t="str">
        <f>IF($B178="","",IF(IFERROR(INDEX('RAID Log'!$1:$1048576,$B178,MATCH("Status",'RAID Log'!$1:$1,0)),"")="","",IFERROR(INDEX('RAID Log'!$1:$1048576,$B178,MATCH("Status",'RAID Log'!$1:$1,0)),"")))</f>
        <v/>
      </c>
      <c r="M178" s="85" t="str">
        <f>IF($B178="","",IF(IFERROR(INDEX('RAID Log'!$1:$1048576,$B178,MATCH("RAID Owner",'RAID Log'!$1:$1,0)),"")="","",IFERROR(INDEX('RAID Log'!$1:$1048576,$B178,MATCH("RAID Owner",'RAID Log'!$1:$1,0)),"")))</f>
        <v/>
      </c>
      <c r="N178" s="87" t="str">
        <f>IF($B178="","",IF(IFERROR(INDEX('RAID Log'!$1:$1048576,$B178,MATCH("Date Raised",'RAID Log'!$1:$1,0)),"")="","",IFERROR(INDEX('RAID Log'!$1:$1048576,$B178,MATCH("Date Raised",'RAID Log'!$1:$1,0)),"")))</f>
        <v/>
      </c>
      <c r="O178" s="87" t="str">
        <f>IF($B178="","",IF(IFERROR(INDEX('RAID Log'!$1:$1048576,$B178,MATCH("Closed Date",'RAID Log'!$1:$1,0)),"")="","",IFERROR(INDEX('RAID Log'!$1:$1048576,$B178,MATCH("Closed Date",'RAID Log'!$1:$1,0)),"")))</f>
        <v/>
      </c>
      <c r="P178" s="85" t="str">
        <f>IF($B178="","",IF(IFERROR(INDEX('RAID Log'!$1:$1048576,$B178,MATCH("Mitigation Strategy",'RAID Log'!$1:$1,0)),"")="","",IFERROR(INDEX('RAID Log'!$1:$1048576,$B178,MATCH("Mitigation Strategy",'RAID Log'!$1:$1,0)),"")))</f>
        <v/>
      </c>
      <c r="Q178" s="88" t="str">
        <f>IF($B178="","",IF(IFERROR(INDEX('RAID Log'!$1:$1048576,$B178,MATCH("RAID Response/Plan",'RAID Log'!$1:$1,0)),"")="","",IFERROR(INDEX('RAID Log'!$1:$1048576,$B178,MATCH("RAID Response/Plan",'RAID Log'!$1:$1,0)),"")))</f>
        <v/>
      </c>
    </row>
    <row r="179" spans="1:17" ht="14.25" customHeight="1">
      <c r="A179" s="82" t="str">
        <f>IF($B179="","",IF(IFERROR(INDEX('RAID Log'!$1:$1048576,$B179,MATCH("RAID ID",'RAID Log'!$1:$1,0)),"")="","",IFERROR(INDEX('RAID Log'!$1:$1048576,$B179,MATCH("RAID ID",'RAID Log'!$1:$1,0)),"")))</f>
        <v/>
      </c>
      <c r="B179" s="83" t="str">
        <f>IFERROR(MATCH(ROW()-1,'RAID Log'!$S:$S,0),"")</f>
        <v/>
      </c>
      <c r="C179" s="84" t="str">
        <f>IF($B179="","",IF(IFERROR(INDEX('RAID Log'!$1:$1048576,$B179,MATCH("Description",'RAID Log'!$1:$1,0)),"")="","",IFERROR(INDEX('RAID Log'!$1:$1048576,$B179,MATCH("Description",'RAID Log'!$1:$1,0)),"")))</f>
        <v/>
      </c>
      <c r="D179" s="84" t="str">
        <f>IF($B179="","",IF(IFERROR(INDEX('RAID Log'!$1:$1048576,$B179,MATCH("Impact/Effect of the RAID",'RAID Log'!$1:$1,0)),"")="","",IFERROR(INDEX('RAID Log'!$1:$1048576,$B179,MATCH("Impact/Effect of the RAID",'RAID Log'!$1:$1,0)),"")))</f>
        <v/>
      </c>
      <c r="E179" s="85" t="str">
        <f>IF($B179="","",IF(IFERROR(INDEX('RAID Log'!$1:$1048576,$B179,MATCH("Impact Area",'RAID Log'!$1:$1,0)),"")="","",IFERROR(INDEX('RAID Log'!$1:$1048576,$B179,MATCH("Impact Area",'RAID Log'!$1:$1,0)),"")))</f>
        <v/>
      </c>
      <c r="F179" s="85" t="str">
        <f>IF($B179="","",IF(IFERROR(INDEX('RAID Log'!$1:$1048576,$B179,MATCH("Impact Area",'RAID Log'!$1:$1,0)),"")="","",IFERROR(INDEX('RAID Log'!$1:$1048576,$B179,MATCH("Impact Area",'RAID Log'!$1:$1,0)),"")))</f>
        <v/>
      </c>
      <c r="G179" s="85" t="str">
        <f>IF($B179="","",IF(IFERROR(INDEX('RAID Log'!$1:$1048576,$B179,MATCH("Impact Rating",'RAID Log'!$1:$1,0)),"")="","",IFERROR(INDEX('RAID Log'!$1:$1048576,$B179,MATCH("Impact Rating",'RAID Log'!$1:$1,0)),"")))</f>
        <v/>
      </c>
      <c r="H179" s="85" t="str">
        <f>IF($B179="","",IF(IFERROR(INDEX('RAID Log'!$1:$1048576,$B179,MATCH("Initial Probability",'RAID Log'!$1:$1,0)),"")="","",IFERROR(INDEX('RAID Log'!$1:$1048576,$B179,MATCH("Initial Probability",'RAID Log'!$1:$1,0)),"")))</f>
        <v/>
      </c>
      <c r="I179" s="86" t="str">
        <f t="shared" si="6"/>
        <v/>
      </c>
      <c r="J179" s="85" t="str">
        <f t="shared" si="7"/>
        <v/>
      </c>
      <c r="K179" s="86" t="str">
        <f t="shared" si="8"/>
        <v/>
      </c>
      <c r="L179" s="85" t="str">
        <f>IF($B179="","",IF(IFERROR(INDEX('RAID Log'!$1:$1048576,$B179,MATCH("Status",'RAID Log'!$1:$1,0)),"")="","",IFERROR(INDEX('RAID Log'!$1:$1048576,$B179,MATCH("Status",'RAID Log'!$1:$1,0)),"")))</f>
        <v/>
      </c>
      <c r="M179" s="85" t="str">
        <f>IF($B179="","",IF(IFERROR(INDEX('RAID Log'!$1:$1048576,$B179,MATCH("RAID Owner",'RAID Log'!$1:$1,0)),"")="","",IFERROR(INDEX('RAID Log'!$1:$1048576,$B179,MATCH("RAID Owner",'RAID Log'!$1:$1,0)),"")))</f>
        <v/>
      </c>
      <c r="N179" s="87" t="str">
        <f>IF($B179="","",IF(IFERROR(INDEX('RAID Log'!$1:$1048576,$B179,MATCH("Date Raised",'RAID Log'!$1:$1,0)),"")="","",IFERROR(INDEX('RAID Log'!$1:$1048576,$B179,MATCH("Date Raised",'RAID Log'!$1:$1,0)),"")))</f>
        <v/>
      </c>
      <c r="O179" s="87" t="str">
        <f>IF($B179="","",IF(IFERROR(INDEX('RAID Log'!$1:$1048576,$B179,MATCH("Closed Date",'RAID Log'!$1:$1,0)),"")="","",IFERROR(INDEX('RAID Log'!$1:$1048576,$B179,MATCH("Closed Date",'RAID Log'!$1:$1,0)),"")))</f>
        <v/>
      </c>
      <c r="P179" s="85" t="str">
        <f>IF($B179="","",IF(IFERROR(INDEX('RAID Log'!$1:$1048576,$B179,MATCH("Mitigation Strategy",'RAID Log'!$1:$1,0)),"")="","",IFERROR(INDEX('RAID Log'!$1:$1048576,$B179,MATCH("Mitigation Strategy",'RAID Log'!$1:$1,0)),"")))</f>
        <v/>
      </c>
      <c r="Q179" s="88" t="str">
        <f>IF($B179="","",IF(IFERROR(INDEX('RAID Log'!$1:$1048576,$B179,MATCH("RAID Response/Plan",'RAID Log'!$1:$1,0)),"")="","",IFERROR(INDEX('RAID Log'!$1:$1048576,$B179,MATCH("RAID Response/Plan",'RAID Log'!$1:$1,0)),"")))</f>
        <v/>
      </c>
    </row>
    <row r="180" spans="1:17" ht="14.25" customHeight="1">
      <c r="A180" s="82" t="str">
        <f>IF($B180="","",IF(IFERROR(INDEX('RAID Log'!$1:$1048576,$B180,MATCH("RAID ID",'RAID Log'!$1:$1,0)),"")="","",IFERROR(INDEX('RAID Log'!$1:$1048576,$B180,MATCH("RAID ID",'RAID Log'!$1:$1,0)),"")))</f>
        <v/>
      </c>
      <c r="B180" s="83" t="str">
        <f>IFERROR(MATCH(ROW()-1,'RAID Log'!$S:$S,0),"")</f>
        <v/>
      </c>
      <c r="C180" s="84" t="str">
        <f>IF($B180="","",IF(IFERROR(INDEX('RAID Log'!$1:$1048576,$B180,MATCH("Description",'RAID Log'!$1:$1,0)),"")="","",IFERROR(INDEX('RAID Log'!$1:$1048576,$B180,MATCH("Description",'RAID Log'!$1:$1,0)),"")))</f>
        <v/>
      </c>
      <c r="D180" s="84" t="str">
        <f>IF($B180="","",IF(IFERROR(INDEX('RAID Log'!$1:$1048576,$B180,MATCH("Impact/Effect of the RAID",'RAID Log'!$1:$1,0)),"")="","",IFERROR(INDEX('RAID Log'!$1:$1048576,$B180,MATCH("Impact/Effect of the RAID",'RAID Log'!$1:$1,0)),"")))</f>
        <v/>
      </c>
      <c r="E180" s="85" t="str">
        <f>IF($B180="","",IF(IFERROR(INDEX('RAID Log'!$1:$1048576,$B180,MATCH("Impact Area",'RAID Log'!$1:$1,0)),"")="","",IFERROR(INDEX('RAID Log'!$1:$1048576,$B180,MATCH("Impact Area",'RAID Log'!$1:$1,0)),"")))</f>
        <v/>
      </c>
      <c r="F180" s="85" t="str">
        <f>IF($B180="","",IF(IFERROR(INDEX('RAID Log'!$1:$1048576,$B180,MATCH("Impact Area",'RAID Log'!$1:$1,0)),"")="","",IFERROR(INDEX('RAID Log'!$1:$1048576,$B180,MATCH("Impact Area",'RAID Log'!$1:$1,0)),"")))</f>
        <v/>
      </c>
      <c r="G180" s="85" t="str">
        <f>IF($B180="","",IF(IFERROR(INDEX('RAID Log'!$1:$1048576,$B180,MATCH("Impact Rating",'RAID Log'!$1:$1,0)),"")="","",IFERROR(INDEX('RAID Log'!$1:$1048576,$B180,MATCH("Impact Rating",'RAID Log'!$1:$1,0)),"")))</f>
        <v/>
      </c>
      <c r="H180" s="85" t="str">
        <f>IF($B180="","",IF(IFERROR(INDEX('RAID Log'!$1:$1048576,$B180,MATCH("Initial Probability",'RAID Log'!$1:$1,0)),"")="","",IFERROR(INDEX('RAID Log'!$1:$1048576,$B180,MATCH("Initial Probability",'RAID Log'!$1:$1,0)),"")))</f>
        <v/>
      </c>
      <c r="I180" s="86" t="str">
        <f t="shared" si="6"/>
        <v/>
      </c>
      <c r="J180" s="85" t="str">
        <f t="shared" si="7"/>
        <v/>
      </c>
      <c r="K180" s="86" t="str">
        <f t="shared" si="8"/>
        <v/>
      </c>
      <c r="L180" s="85" t="str">
        <f>IF($B180="","",IF(IFERROR(INDEX('RAID Log'!$1:$1048576,$B180,MATCH("Status",'RAID Log'!$1:$1,0)),"")="","",IFERROR(INDEX('RAID Log'!$1:$1048576,$B180,MATCH("Status",'RAID Log'!$1:$1,0)),"")))</f>
        <v/>
      </c>
      <c r="M180" s="85" t="str">
        <f>IF($B180="","",IF(IFERROR(INDEX('RAID Log'!$1:$1048576,$B180,MATCH("RAID Owner",'RAID Log'!$1:$1,0)),"")="","",IFERROR(INDEX('RAID Log'!$1:$1048576,$B180,MATCH("RAID Owner",'RAID Log'!$1:$1,0)),"")))</f>
        <v/>
      </c>
      <c r="N180" s="87" t="str">
        <f>IF($B180="","",IF(IFERROR(INDEX('RAID Log'!$1:$1048576,$B180,MATCH("Date Raised",'RAID Log'!$1:$1,0)),"")="","",IFERROR(INDEX('RAID Log'!$1:$1048576,$B180,MATCH("Date Raised",'RAID Log'!$1:$1,0)),"")))</f>
        <v/>
      </c>
      <c r="O180" s="87" t="str">
        <f>IF($B180="","",IF(IFERROR(INDEX('RAID Log'!$1:$1048576,$B180,MATCH("Closed Date",'RAID Log'!$1:$1,0)),"")="","",IFERROR(INDEX('RAID Log'!$1:$1048576,$B180,MATCH("Closed Date",'RAID Log'!$1:$1,0)),"")))</f>
        <v/>
      </c>
      <c r="P180" s="85" t="str">
        <f>IF($B180="","",IF(IFERROR(INDEX('RAID Log'!$1:$1048576,$B180,MATCH("Mitigation Strategy",'RAID Log'!$1:$1,0)),"")="","",IFERROR(INDEX('RAID Log'!$1:$1048576,$B180,MATCH("Mitigation Strategy",'RAID Log'!$1:$1,0)),"")))</f>
        <v/>
      </c>
      <c r="Q180" s="88" t="str">
        <f>IF($B180="","",IF(IFERROR(INDEX('RAID Log'!$1:$1048576,$B180,MATCH("RAID Response/Plan",'RAID Log'!$1:$1,0)),"")="","",IFERROR(INDEX('RAID Log'!$1:$1048576,$B180,MATCH("RAID Response/Plan",'RAID Log'!$1:$1,0)),"")))</f>
        <v/>
      </c>
    </row>
    <row r="181" spans="1:17" ht="14.25" customHeight="1">
      <c r="A181" s="82" t="str">
        <f>IF($B181="","",IF(IFERROR(INDEX('RAID Log'!$1:$1048576,$B181,MATCH("RAID ID",'RAID Log'!$1:$1,0)),"")="","",IFERROR(INDEX('RAID Log'!$1:$1048576,$B181,MATCH("RAID ID",'RAID Log'!$1:$1,0)),"")))</f>
        <v/>
      </c>
      <c r="B181" s="83" t="str">
        <f>IFERROR(MATCH(ROW()-1,'RAID Log'!$S:$S,0),"")</f>
        <v/>
      </c>
      <c r="C181" s="84" t="str">
        <f>IF($B181="","",IF(IFERROR(INDEX('RAID Log'!$1:$1048576,$B181,MATCH("Description",'RAID Log'!$1:$1,0)),"")="","",IFERROR(INDEX('RAID Log'!$1:$1048576,$B181,MATCH("Description",'RAID Log'!$1:$1,0)),"")))</f>
        <v/>
      </c>
      <c r="D181" s="84" t="str">
        <f>IF($B181="","",IF(IFERROR(INDEX('RAID Log'!$1:$1048576,$B181,MATCH("Impact/Effect of the RAID",'RAID Log'!$1:$1,0)),"")="","",IFERROR(INDEX('RAID Log'!$1:$1048576,$B181,MATCH("Impact/Effect of the RAID",'RAID Log'!$1:$1,0)),"")))</f>
        <v/>
      </c>
      <c r="E181" s="85" t="str">
        <f>IF($B181="","",IF(IFERROR(INDEX('RAID Log'!$1:$1048576,$B181,MATCH("Impact Area",'RAID Log'!$1:$1,0)),"")="","",IFERROR(INDEX('RAID Log'!$1:$1048576,$B181,MATCH("Impact Area",'RAID Log'!$1:$1,0)),"")))</f>
        <v/>
      </c>
      <c r="F181" s="85" t="str">
        <f>IF($B181="","",IF(IFERROR(INDEX('RAID Log'!$1:$1048576,$B181,MATCH("Impact Area",'RAID Log'!$1:$1,0)),"")="","",IFERROR(INDEX('RAID Log'!$1:$1048576,$B181,MATCH("Impact Area",'RAID Log'!$1:$1,0)),"")))</f>
        <v/>
      </c>
      <c r="G181" s="85" t="str">
        <f>IF($B181="","",IF(IFERROR(INDEX('RAID Log'!$1:$1048576,$B181,MATCH("Impact Rating",'RAID Log'!$1:$1,0)),"")="","",IFERROR(INDEX('RAID Log'!$1:$1048576,$B181,MATCH("Impact Rating",'RAID Log'!$1:$1,0)),"")))</f>
        <v/>
      </c>
      <c r="H181" s="85" t="str">
        <f>IF($B181="","",IF(IFERROR(INDEX('RAID Log'!$1:$1048576,$B181,MATCH("Initial Probability",'RAID Log'!$1:$1,0)),"")="","",IFERROR(INDEX('RAID Log'!$1:$1048576,$B181,MATCH("Initial Probability",'RAID Log'!$1:$1,0)),"")))</f>
        <v/>
      </c>
      <c r="I181" s="86" t="str">
        <f t="shared" si="6"/>
        <v/>
      </c>
      <c r="J181" s="85" t="str">
        <f t="shared" si="7"/>
        <v/>
      </c>
      <c r="K181" s="86" t="str">
        <f t="shared" si="8"/>
        <v/>
      </c>
      <c r="L181" s="85" t="str">
        <f>IF($B181="","",IF(IFERROR(INDEX('RAID Log'!$1:$1048576,$B181,MATCH("Status",'RAID Log'!$1:$1,0)),"")="","",IFERROR(INDEX('RAID Log'!$1:$1048576,$B181,MATCH("Status",'RAID Log'!$1:$1,0)),"")))</f>
        <v/>
      </c>
      <c r="M181" s="85" t="str">
        <f>IF($B181="","",IF(IFERROR(INDEX('RAID Log'!$1:$1048576,$B181,MATCH("RAID Owner",'RAID Log'!$1:$1,0)),"")="","",IFERROR(INDEX('RAID Log'!$1:$1048576,$B181,MATCH("RAID Owner",'RAID Log'!$1:$1,0)),"")))</f>
        <v/>
      </c>
      <c r="N181" s="87" t="str">
        <f>IF($B181="","",IF(IFERROR(INDEX('RAID Log'!$1:$1048576,$B181,MATCH("Date Raised",'RAID Log'!$1:$1,0)),"")="","",IFERROR(INDEX('RAID Log'!$1:$1048576,$B181,MATCH("Date Raised",'RAID Log'!$1:$1,0)),"")))</f>
        <v/>
      </c>
      <c r="O181" s="87" t="str">
        <f>IF($B181="","",IF(IFERROR(INDEX('RAID Log'!$1:$1048576,$B181,MATCH("Closed Date",'RAID Log'!$1:$1,0)),"")="","",IFERROR(INDEX('RAID Log'!$1:$1048576,$B181,MATCH("Closed Date",'RAID Log'!$1:$1,0)),"")))</f>
        <v/>
      </c>
      <c r="P181" s="85" t="str">
        <f>IF($B181="","",IF(IFERROR(INDEX('RAID Log'!$1:$1048576,$B181,MATCH("Mitigation Strategy",'RAID Log'!$1:$1,0)),"")="","",IFERROR(INDEX('RAID Log'!$1:$1048576,$B181,MATCH("Mitigation Strategy",'RAID Log'!$1:$1,0)),"")))</f>
        <v/>
      </c>
      <c r="Q181" s="88" t="str">
        <f>IF($B181="","",IF(IFERROR(INDEX('RAID Log'!$1:$1048576,$B181,MATCH("RAID Response/Plan",'RAID Log'!$1:$1,0)),"")="","",IFERROR(INDEX('RAID Log'!$1:$1048576,$B181,MATCH("RAID Response/Plan",'RAID Log'!$1:$1,0)),"")))</f>
        <v/>
      </c>
    </row>
    <row r="182" spans="1:17" ht="14.25" customHeight="1">
      <c r="A182" s="82" t="str">
        <f>IF($B182="","",IF(IFERROR(INDEX('RAID Log'!$1:$1048576,$B182,MATCH("RAID ID",'RAID Log'!$1:$1,0)),"")="","",IFERROR(INDEX('RAID Log'!$1:$1048576,$B182,MATCH("RAID ID",'RAID Log'!$1:$1,0)),"")))</f>
        <v/>
      </c>
      <c r="B182" s="83" t="str">
        <f>IFERROR(MATCH(ROW()-1,'RAID Log'!$S:$S,0),"")</f>
        <v/>
      </c>
      <c r="C182" s="84" t="str">
        <f>IF($B182="","",IF(IFERROR(INDEX('RAID Log'!$1:$1048576,$B182,MATCH("Description",'RAID Log'!$1:$1,0)),"")="","",IFERROR(INDEX('RAID Log'!$1:$1048576,$B182,MATCH("Description",'RAID Log'!$1:$1,0)),"")))</f>
        <v/>
      </c>
      <c r="D182" s="84" t="str">
        <f>IF($B182="","",IF(IFERROR(INDEX('RAID Log'!$1:$1048576,$B182,MATCH("Impact/Effect of the RAID",'RAID Log'!$1:$1,0)),"")="","",IFERROR(INDEX('RAID Log'!$1:$1048576,$B182,MATCH("Impact/Effect of the RAID",'RAID Log'!$1:$1,0)),"")))</f>
        <v/>
      </c>
      <c r="E182" s="85" t="str">
        <f>IF($B182="","",IF(IFERROR(INDEX('RAID Log'!$1:$1048576,$B182,MATCH("Impact Area",'RAID Log'!$1:$1,0)),"")="","",IFERROR(INDEX('RAID Log'!$1:$1048576,$B182,MATCH("Impact Area",'RAID Log'!$1:$1,0)),"")))</f>
        <v/>
      </c>
      <c r="F182" s="85" t="str">
        <f>IF($B182="","",IF(IFERROR(INDEX('RAID Log'!$1:$1048576,$B182,MATCH("Impact Area",'RAID Log'!$1:$1,0)),"")="","",IFERROR(INDEX('RAID Log'!$1:$1048576,$B182,MATCH("Impact Area",'RAID Log'!$1:$1,0)),"")))</f>
        <v/>
      </c>
      <c r="G182" s="85" t="str">
        <f>IF($B182="","",IF(IFERROR(INDEX('RAID Log'!$1:$1048576,$B182,MATCH("Impact Rating",'RAID Log'!$1:$1,0)),"")="","",IFERROR(INDEX('RAID Log'!$1:$1048576,$B182,MATCH("Impact Rating",'RAID Log'!$1:$1,0)),"")))</f>
        <v/>
      </c>
      <c r="H182" s="85" t="str">
        <f>IF($B182="","",IF(IFERROR(INDEX('RAID Log'!$1:$1048576,$B182,MATCH("Initial Probability",'RAID Log'!$1:$1,0)),"")="","",IFERROR(INDEX('RAID Log'!$1:$1048576,$B182,MATCH("Initial Probability",'RAID Log'!$1:$1,0)),"")))</f>
        <v/>
      </c>
      <c r="I182" s="86" t="str">
        <f t="shared" si="6"/>
        <v/>
      </c>
      <c r="J182" s="85" t="str">
        <f t="shared" si="7"/>
        <v/>
      </c>
      <c r="K182" s="86" t="str">
        <f t="shared" si="8"/>
        <v/>
      </c>
      <c r="L182" s="85" t="str">
        <f>IF($B182="","",IF(IFERROR(INDEX('RAID Log'!$1:$1048576,$B182,MATCH("Status",'RAID Log'!$1:$1,0)),"")="","",IFERROR(INDEX('RAID Log'!$1:$1048576,$B182,MATCH("Status",'RAID Log'!$1:$1,0)),"")))</f>
        <v/>
      </c>
      <c r="M182" s="85" t="str">
        <f>IF($B182="","",IF(IFERROR(INDEX('RAID Log'!$1:$1048576,$B182,MATCH("RAID Owner",'RAID Log'!$1:$1,0)),"")="","",IFERROR(INDEX('RAID Log'!$1:$1048576,$B182,MATCH("RAID Owner",'RAID Log'!$1:$1,0)),"")))</f>
        <v/>
      </c>
      <c r="N182" s="87" t="str">
        <f>IF($B182="","",IF(IFERROR(INDEX('RAID Log'!$1:$1048576,$B182,MATCH("Date Raised",'RAID Log'!$1:$1,0)),"")="","",IFERROR(INDEX('RAID Log'!$1:$1048576,$B182,MATCH("Date Raised",'RAID Log'!$1:$1,0)),"")))</f>
        <v/>
      </c>
      <c r="O182" s="87" t="str">
        <f>IF($B182="","",IF(IFERROR(INDEX('RAID Log'!$1:$1048576,$B182,MATCH("Closed Date",'RAID Log'!$1:$1,0)),"")="","",IFERROR(INDEX('RAID Log'!$1:$1048576,$B182,MATCH("Closed Date",'RAID Log'!$1:$1,0)),"")))</f>
        <v/>
      </c>
      <c r="P182" s="85" t="str">
        <f>IF($B182="","",IF(IFERROR(INDEX('RAID Log'!$1:$1048576,$B182,MATCH("Mitigation Strategy",'RAID Log'!$1:$1,0)),"")="","",IFERROR(INDEX('RAID Log'!$1:$1048576,$B182,MATCH("Mitigation Strategy",'RAID Log'!$1:$1,0)),"")))</f>
        <v/>
      </c>
      <c r="Q182" s="88" t="str">
        <f>IF($B182="","",IF(IFERROR(INDEX('RAID Log'!$1:$1048576,$B182,MATCH("RAID Response/Plan",'RAID Log'!$1:$1,0)),"")="","",IFERROR(INDEX('RAID Log'!$1:$1048576,$B182,MATCH("RAID Response/Plan",'RAID Log'!$1:$1,0)),"")))</f>
        <v/>
      </c>
    </row>
    <row r="183" spans="1:17" ht="14.25" customHeight="1">
      <c r="A183" s="82" t="str">
        <f>IF($B183="","",IF(IFERROR(INDEX('RAID Log'!$1:$1048576,$B183,MATCH("RAID ID",'RAID Log'!$1:$1,0)),"")="","",IFERROR(INDEX('RAID Log'!$1:$1048576,$B183,MATCH("RAID ID",'RAID Log'!$1:$1,0)),"")))</f>
        <v/>
      </c>
      <c r="B183" s="83" t="str">
        <f>IFERROR(MATCH(ROW()-1,'RAID Log'!$S:$S,0),"")</f>
        <v/>
      </c>
      <c r="C183" s="84" t="str">
        <f>IF($B183="","",IF(IFERROR(INDEX('RAID Log'!$1:$1048576,$B183,MATCH("Description",'RAID Log'!$1:$1,0)),"")="","",IFERROR(INDEX('RAID Log'!$1:$1048576,$B183,MATCH("Description",'RAID Log'!$1:$1,0)),"")))</f>
        <v/>
      </c>
      <c r="D183" s="84" t="str">
        <f>IF($B183="","",IF(IFERROR(INDEX('RAID Log'!$1:$1048576,$B183,MATCH("Impact/Effect of the RAID",'RAID Log'!$1:$1,0)),"")="","",IFERROR(INDEX('RAID Log'!$1:$1048576,$B183,MATCH("Impact/Effect of the RAID",'RAID Log'!$1:$1,0)),"")))</f>
        <v/>
      </c>
      <c r="E183" s="85" t="str">
        <f>IF($B183="","",IF(IFERROR(INDEX('RAID Log'!$1:$1048576,$B183,MATCH("Impact Area",'RAID Log'!$1:$1,0)),"")="","",IFERROR(INDEX('RAID Log'!$1:$1048576,$B183,MATCH("Impact Area",'RAID Log'!$1:$1,0)),"")))</f>
        <v/>
      </c>
      <c r="F183" s="85" t="str">
        <f>IF($B183="","",IF(IFERROR(INDEX('RAID Log'!$1:$1048576,$B183,MATCH("Impact Area",'RAID Log'!$1:$1,0)),"")="","",IFERROR(INDEX('RAID Log'!$1:$1048576,$B183,MATCH("Impact Area",'RAID Log'!$1:$1,0)),"")))</f>
        <v/>
      </c>
      <c r="G183" s="85" t="str">
        <f>IF($B183="","",IF(IFERROR(INDEX('RAID Log'!$1:$1048576,$B183,MATCH("Impact Rating",'RAID Log'!$1:$1,0)),"")="","",IFERROR(INDEX('RAID Log'!$1:$1048576,$B183,MATCH("Impact Rating",'RAID Log'!$1:$1,0)),"")))</f>
        <v/>
      </c>
      <c r="H183" s="85" t="str">
        <f>IF($B183="","",IF(IFERROR(INDEX('RAID Log'!$1:$1048576,$B183,MATCH("Initial Probability",'RAID Log'!$1:$1,0)),"")="","",IFERROR(INDEX('RAID Log'!$1:$1048576,$B183,MATCH("Initial Probability",'RAID Log'!$1:$1,0)),"")))</f>
        <v/>
      </c>
      <c r="I183" s="86" t="str">
        <f t="shared" si="6"/>
        <v/>
      </c>
      <c r="J183" s="85" t="str">
        <f t="shared" si="7"/>
        <v/>
      </c>
      <c r="K183" s="86" t="str">
        <f t="shared" si="8"/>
        <v/>
      </c>
      <c r="L183" s="85" t="str">
        <f>IF($B183="","",IF(IFERROR(INDEX('RAID Log'!$1:$1048576,$B183,MATCH("Status",'RAID Log'!$1:$1,0)),"")="","",IFERROR(INDEX('RAID Log'!$1:$1048576,$B183,MATCH("Status",'RAID Log'!$1:$1,0)),"")))</f>
        <v/>
      </c>
      <c r="M183" s="85" t="str">
        <f>IF($B183="","",IF(IFERROR(INDEX('RAID Log'!$1:$1048576,$B183,MATCH("RAID Owner",'RAID Log'!$1:$1,0)),"")="","",IFERROR(INDEX('RAID Log'!$1:$1048576,$B183,MATCH("RAID Owner",'RAID Log'!$1:$1,0)),"")))</f>
        <v/>
      </c>
      <c r="N183" s="87" t="str">
        <f>IF($B183="","",IF(IFERROR(INDEX('RAID Log'!$1:$1048576,$B183,MATCH("Date Raised",'RAID Log'!$1:$1,0)),"")="","",IFERROR(INDEX('RAID Log'!$1:$1048576,$B183,MATCH("Date Raised",'RAID Log'!$1:$1,0)),"")))</f>
        <v/>
      </c>
      <c r="O183" s="87" t="str">
        <f>IF($B183="","",IF(IFERROR(INDEX('RAID Log'!$1:$1048576,$B183,MATCH("Closed Date",'RAID Log'!$1:$1,0)),"")="","",IFERROR(INDEX('RAID Log'!$1:$1048576,$B183,MATCH("Closed Date",'RAID Log'!$1:$1,0)),"")))</f>
        <v/>
      </c>
      <c r="P183" s="85" t="str">
        <f>IF($B183="","",IF(IFERROR(INDEX('RAID Log'!$1:$1048576,$B183,MATCH("Mitigation Strategy",'RAID Log'!$1:$1,0)),"")="","",IFERROR(INDEX('RAID Log'!$1:$1048576,$B183,MATCH("Mitigation Strategy",'RAID Log'!$1:$1,0)),"")))</f>
        <v/>
      </c>
      <c r="Q183" s="88" t="str">
        <f>IF($B183="","",IF(IFERROR(INDEX('RAID Log'!$1:$1048576,$B183,MATCH("RAID Response/Plan",'RAID Log'!$1:$1,0)),"")="","",IFERROR(INDEX('RAID Log'!$1:$1048576,$B183,MATCH("RAID Response/Plan",'RAID Log'!$1:$1,0)),"")))</f>
        <v/>
      </c>
    </row>
    <row r="184" spans="1:17" ht="14.25" customHeight="1">
      <c r="A184" s="82" t="str">
        <f>IF($B184="","",IF(IFERROR(INDEX('RAID Log'!$1:$1048576,$B184,MATCH("RAID ID",'RAID Log'!$1:$1,0)),"")="","",IFERROR(INDEX('RAID Log'!$1:$1048576,$B184,MATCH("RAID ID",'RAID Log'!$1:$1,0)),"")))</f>
        <v/>
      </c>
      <c r="B184" s="83" t="str">
        <f>IFERROR(MATCH(ROW()-1,'RAID Log'!$S:$S,0),"")</f>
        <v/>
      </c>
      <c r="C184" s="84" t="str">
        <f>IF($B184="","",IF(IFERROR(INDEX('RAID Log'!$1:$1048576,$B184,MATCH("Description",'RAID Log'!$1:$1,0)),"")="","",IFERROR(INDEX('RAID Log'!$1:$1048576,$B184,MATCH("Description",'RAID Log'!$1:$1,0)),"")))</f>
        <v/>
      </c>
      <c r="D184" s="84" t="str">
        <f>IF($B184="","",IF(IFERROR(INDEX('RAID Log'!$1:$1048576,$B184,MATCH("Impact/Effect of the RAID",'RAID Log'!$1:$1,0)),"")="","",IFERROR(INDEX('RAID Log'!$1:$1048576,$B184,MATCH("Impact/Effect of the RAID",'RAID Log'!$1:$1,0)),"")))</f>
        <v/>
      </c>
      <c r="E184" s="85" t="str">
        <f>IF($B184="","",IF(IFERROR(INDEX('RAID Log'!$1:$1048576,$B184,MATCH("Impact Area",'RAID Log'!$1:$1,0)),"")="","",IFERROR(INDEX('RAID Log'!$1:$1048576,$B184,MATCH("Impact Area",'RAID Log'!$1:$1,0)),"")))</f>
        <v/>
      </c>
      <c r="F184" s="85" t="str">
        <f>IF($B184="","",IF(IFERROR(INDEX('RAID Log'!$1:$1048576,$B184,MATCH("Impact Area",'RAID Log'!$1:$1,0)),"")="","",IFERROR(INDEX('RAID Log'!$1:$1048576,$B184,MATCH("Impact Area",'RAID Log'!$1:$1,0)),"")))</f>
        <v/>
      </c>
      <c r="G184" s="85" t="str">
        <f>IF($B184="","",IF(IFERROR(INDEX('RAID Log'!$1:$1048576,$B184,MATCH("Impact Rating",'RAID Log'!$1:$1,0)),"")="","",IFERROR(INDEX('RAID Log'!$1:$1048576,$B184,MATCH("Impact Rating",'RAID Log'!$1:$1,0)),"")))</f>
        <v/>
      </c>
      <c r="H184" s="85" t="str">
        <f>IF($B184="","",IF(IFERROR(INDEX('RAID Log'!$1:$1048576,$B184,MATCH("Initial Probability",'RAID Log'!$1:$1,0)),"")="","",IFERROR(INDEX('RAID Log'!$1:$1048576,$B184,MATCH("Initial Probability",'RAID Log'!$1:$1,0)),"")))</f>
        <v/>
      </c>
      <c r="I184" s="86" t="str">
        <f t="shared" si="6"/>
        <v/>
      </c>
      <c r="J184" s="85" t="str">
        <f t="shared" si="7"/>
        <v/>
      </c>
      <c r="K184" s="86" t="str">
        <f t="shared" si="8"/>
        <v/>
      </c>
      <c r="L184" s="85" t="str">
        <f>IF($B184="","",IF(IFERROR(INDEX('RAID Log'!$1:$1048576,$B184,MATCH("Status",'RAID Log'!$1:$1,0)),"")="","",IFERROR(INDEX('RAID Log'!$1:$1048576,$B184,MATCH("Status",'RAID Log'!$1:$1,0)),"")))</f>
        <v/>
      </c>
      <c r="M184" s="85" t="str">
        <f>IF($B184="","",IF(IFERROR(INDEX('RAID Log'!$1:$1048576,$B184,MATCH("RAID Owner",'RAID Log'!$1:$1,0)),"")="","",IFERROR(INDEX('RAID Log'!$1:$1048576,$B184,MATCH("RAID Owner",'RAID Log'!$1:$1,0)),"")))</f>
        <v/>
      </c>
      <c r="N184" s="87" t="str">
        <f>IF($B184="","",IF(IFERROR(INDEX('RAID Log'!$1:$1048576,$B184,MATCH("Date Raised",'RAID Log'!$1:$1,0)),"")="","",IFERROR(INDEX('RAID Log'!$1:$1048576,$B184,MATCH("Date Raised",'RAID Log'!$1:$1,0)),"")))</f>
        <v/>
      </c>
      <c r="O184" s="87" t="str">
        <f>IF($B184="","",IF(IFERROR(INDEX('RAID Log'!$1:$1048576,$B184,MATCH("Closed Date",'RAID Log'!$1:$1,0)),"")="","",IFERROR(INDEX('RAID Log'!$1:$1048576,$B184,MATCH("Closed Date",'RAID Log'!$1:$1,0)),"")))</f>
        <v/>
      </c>
      <c r="P184" s="85" t="str">
        <f>IF($B184="","",IF(IFERROR(INDEX('RAID Log'!$1:$1048576,$B184,MATCH("Mitigation Strategy",'RAID Log'!$1:$1,0)),"")="","",IFERROR(INDEX('RAID Log'!$1:$1048576,$B184,MATCH("Mitigation Strategy",'RAID Log'!$1:$1,0)),"")))</f>
        <v/>
      </c>
      <c r="Q184" s="88" t="str">
        <f>IF($B184="","",IF(IFERROR(INDEX('RAID Log'!$1:$1048576,$B184,MATCH("RAID Response/Plan",'RAID Log'!$1:$1,0)),"")="","",IFERROR(INDEX('RAID Log'!$1:$1048576,$B184,MATCH("RAID Response/Plan",'RAID Log'!$1:$1,0)),"")))</f>
        <v/>
      </c>
    </row>
    <row r="185" spans="1:17" ht="14.25" customHeight="1">
      <c r="A185" s="82" t="str">
        <f>IF($B185="","",IF(IFERROR(INDEX('RAID Log'!$1:$1048576,$B185,MATCH("RAID ID",'RAID Log'!$1:$1,0)),"")="","",IFERROR(INDEX('RAID Log'!$1:$1048576,$B185,MATCH("RAID ID",'RAID Log'!$1:$1,0)),"")))</f>
        <v/>
      </c>
      <c r="B185" s="83" t="str">
        <f>IFERROR(MATCH(ROW()-1,'RAID Log'!$S:$S,0),"")</f>
        <v/>
      </c>
      <c r="C185" s="84" t="str">
        <f>IF($B185="","",IF(IFERROR(INDEX('RAID Log'!$1:$1048576,$B185,MATCH("Description",'RAID Log'!$1:$1,0)),"")="","",IFERROR(INDEX('RAID Log'!$1:$1048576,$B185,MATCH("Description",'RAID Log'!$1:$1,0)),"")))</f>
        <v/>
      </c>
      <c r="D185" s="84" t="str">
        <f>IF($B185="","",IF(IFERROR(INDEX('RAID Log'!$1:$1048576,$B185,MATCH("Impact/Effect of the RAID",'RAID Log'!$1:$1,0)),"")="","",IFERROR(INDEX('RAID Log'!$1:$1048576,$B185,MATCH("Impact/Effect of the RAID",'RAID Log'!$1:$1,0)),"")))</f>
        <v/>
      </c>
      <c r="E185" s="85" t="str">
        <f>IF($B185="","",IF(IFERROR(INDEX('RAID Log'!$1:$1048576,$B185,MATCH("Impact Area",'RAID Log'!$1:$1,0)),"")="","",IFERROR(INDEX('RAID Log'!$1:$1048576,$B185,MATCH("Impact Area",'RAID Log'!$1:$1,0)),"")))</f>
        <v/>
      </c>
      <c r="F185" s="85" t="str">
        <f>IF($B185="","",IF(IFERROR(INDEX('RAID Log'!$1:$1048576,$B185,MATCH("Impact Area",'RAID Log'!$1:$1,0)),"")="","",IFERROR(INDEX('RAID Log'!$1:$1048576,$B185,MATCH("Impact Area",'RAID Log'!$1:$1,0)),"")))</f>
        <v/>
      </c>
      <c r="G185" s="85" t="str">
        <f>IF($B185="","",IF(IFERROR(INDEX('RAID Log'!$1:$1048576,$B185,MATCH("Impact Rating",'RAID Log'!$1:$1,0)),"")="","",IFERROR(INDEX('RAID Log'!$1:$1048576,$B185,MATCH("Impact Rating",'RAID Log'!$1:$1,0)),"")))</f>
        <v/>
      </c>
      <c r="H185" s="85" t="str">
        <f>IF($B185="","",IF(IFERROR(INDEX('RAID Log'!$1:$1048576,$B185,MATCH("Initial Probability",'RAID Log'!$1:$1,0)),"")="","",IFERROR(INDEX('RAID Log'!$1:$1048576,$B185,MATCH("Initial Probability",'RAID Log'!$1:$1,0)),"")))</f>
        <v/>
      </c>
      <c r="I185" s="86" t="str">
        <f t="shared" si="6"/>
        <v/>
      </c>
      <c r="J185" s="85" t="str">
        <f t="shared" si="7"/>
        <v/>
      </c>
      <c r="K185" s="86" t="str">
        <f t="shared" si="8"/>
        <v/>
      </c>
      <c r="L185" s="85" t="str">
        <f>IF($B185="","",IF(IFERROR(INDEX('RAID Log'!$1:$1048576,$B185,MATCH("Status",'RAID Log'!$1:$1,0)),"")="","",IFERROR(INDEX('RAID Log'!$1:$1048576,$B185,MATCH("Status",'RAID Log'!$1:$1,0)),"")))</f>
        <v/>
      </c>
      <c r="M185" s="85" t="str">
        <f>IF($B185="","",IF(IFERROR(INDEX('RAID Log'!$1:$1048576,$B185,MATCH("RAID Owner",'RAID Log'!$1:$1,0)),"")="","",IFERROR(INDEX('RAID Log'!$1:$1048576,$B185,MATCH("RAID Owner",'RAID Log'!$1:$1,0)),"")))</f>
        <v/>
      </c>
      <c r="N185" s="87" t="str">
        <f>IF($B185="","",IF(IFERROR(INDEX('RAID Log'!$1:$1048576,$B185,MATCH("Date Raised",'RAID Log'!$1:$1,0)),"")="","",IFERROR(INDEX('RAID Log'!$1:$1048576,$B185,MATCH("Date Raised",'RAID Log'!$1:$1,0)),"")))</f>
        <v/>
      </c>
      <c r="O185" s="87" t="str">
        <f>IF($B185="","",IF(IFERROR(INDEX('RAID Log'!$1:$1048576,$B185,MATCH("Closed Date",'RAID Log'!$1:$1,0)),"")="","",IFERROR(INDEX('RAID Log'!$1:$1048576,$B185,MATCH("Closed Date",'RAID Log'!$1:$1,0)),"")))</f>
        <v/>
      </c>
      <c r="P185" s="85" t="str">
        <f>IF($B185="","",IF(IFERROR(INDEX('RAID Log'!$1:$1048576,$B185,MATCH("Mitigation Strategy",'RAID Log'!$1:$1,0)),"")="","",IFERROR(INDEX('RAID Log'!$1:$1048576,$B185,MATCH("Mitigation Strategy",'RAID Log'!$1:$1,0)),"")))</f>
        <v/>
      </c>
      <c r="Q185" s="88" t="str">
        <f>IF($B185="","",IF(IFERROR(INDEX('RAID Log'!$1:$1048576,$B185,MATCH("RAID Response/Plan",'RAID Log'!$1:$1,0)),"")="","",IFERROR(INDEX('RAID Log'!$1:$1048576,$B185,MATCH("RAID Response/Plan",'RAID Log'!$1:$1,0)),"")))</f>
        <v/>
      </c>
    </row>
    <row r="186" spans="1:17" ht="14.25" customHeight="1">
      <c r="A186" s="82" t="str">
        <f>IF($B186="","",IF(IFERROR(INDEX('RAID Log'!$1:$1048576,$B186,MATCH("RAID ID",'RAID Log'!$1:$1,0)),"")="","",IFERROR(INDEX('RAID Log'!$1:$1048576,$B186,MATCH("RAID ID",'RAID Log'!$1:$1,0)),"")))</f>
        <v/>
      </c>
      <c r="B186" s="83" t="str">
        <f>IFERROR(MATCH(ROW()-1,'RAID Log'!$S:$S,0),"")</f>
        <v/>
      </c>
      <c r="C186" s="84" t="str">
        <f>IF($B186="","",IF(IFERROR(INDEX('RAID Log'!$1:$1048576,$B186,MATCH("Description",'RAID Log'!$1:$1,0)),"")="","",IFERROR(INDEX('RAID Log'!$1:$1048576,$B186,MATCH("Description",'RAID Log'!$1:$1,0)),"")))</f>
        <v/>
      </c>
      <c r="D186" s="84" t="str">
        <f>IF($B186="","",IF(IFERROR(INDEX('RAID Log'!$1:$1048576,$B186,MATCH("Impact/Effect of the RAID",'RAID Log'!$1:$1,0)),"")="","",IFERROR(INDEX('RAID Log'!$1:$1048576,$B186,MATCH("Impact/Effect of the RAID",'RAID Log'!$1:$1,0)),"")))</f>
        <v/>
      </c>
      <c r="E186" s="85" t="str">
        <f>IF($B186="","",IF(IFERROR(INDEX('RAID Log'!$1:$1048576,$B186,MATCH("Impact Area",'RAID Log'!$1:$1,0)),"")="","",IFERROR(INDEX('RAID Log'!$1:$1048576,$B186,MATCH("Impact Area",'RAID Log'!$1:$1,0)),"")))</f>
        <v/>
      </c>
      <c r="F186" s="85" t="str">
        <f>IF($B186="","",IF(IFERROR(INDEX('RAID Log'!$1:$1048576,$B186,MATCH("Impact Area",'RAID Log'!$1:$1,0)),"")="","",IFERROR(INDEX('RAID Log'!$1:$1048576,$B186,MATCH("Impact Area",'RAID Log'!$1:$1,0)),"")))</f>
        <v/>
      </c>
      <c r="G186" s="85" t="str">
        <f>IF($B186="","",IF(IFERROR(INDEX('RAID Log'!$1:$1048576,$B186,MATCH("Impact Rating",'RAID Log'!$1:$1,0)),"")="","",IFERROR(INDEX('RAID Log'!$1:$1048576,$B186,MATCH("Impact Rating",'RAID Log'!$1:$1,0)),"")))</f>
        <v/>
      </c>
      <c r="H186" s="85" t="str">
        <f>IF($B186="","",IF(IFERROR(INDEX('RAID Log'!$1:$1048576,$B186,MATCH("Initial Probability",'RAID Log'!$1:$1,0)),"")="","",IFERROR(INDEX('RAID Log'!$1:$1048576,$B186,MATCH("Initial Probability",'RAID Log'!$1:$1,0)),"")))</f>
        <v/>
      </c>
      <c r="I186" s="86" t="str">
        <f t="shared" si="6"/>
        <v/>
      </c>
      <c r="J186" s="85" t="str">
        <f t="shared" si="7"/>
        <v/>
      </c>
      <c r="K186" s="86" t="str">
        <f t="shared" si="8"/>
        <v/>
      </c>
      <c r="L186" s="85" t="str">
        <f>IF($B186="","",IF(IFERROR(INDEX('RAID Log'!$1:$1048576,$B186,MATCH("Status",'RAID Log'!$1:$1,0)),"")="","",IFERROR(INDEX('RAID Log'!$1:$1048576,$B186,MATCH("Status",'RAID Log'!$1:$1,0)),"")))</f>
        <v/>
      </c>
      <c r="M186" s="85" t="str">
        <f>IF($B186="","",IF(IFERROR(INDEX('RAID Log'!$1:$1048576,$B186,MATCH("RAID Owner",'RAID Log'!$1:$1,0)),"")="","",IFERROR(INDEX('RAID Log'!$1:$1048576,$B186,MATCH("RAID Owner",'RAID Log'!$1:$1,0)),"")))</f>
        <v/>
      </c>
      <c r="N186" s="87" t="str">
        <f>IF($B186="","",IF(IFERROR(INDEX('RAID Log'!$1:$1048576,$B186,MATCH("Date Raised",'RAID Log'!$1:$1,0)),"")="","",IFERROR(INDEX('RAID Log'!$1:$1048576,$B186,MATCH("Date Raised",'RAID Log'!$1:$1,0)),"")))</f>
        <v/>
      </c>
      <c r="O186" s="87" t="str">
        <f>IF($B186="","",IF(IFERROR(INDEX('RAID Log'!$1:$1048576,$B186,MATCH("Closed Date",'RAID Log'!$1:$1,0)),"")="","",IFERROR(INDEX('RAID Log'!$1:$1048576,$B186,MATCH("Closed Date",'RAID Log'!$1:$1,0)),"")))</f>
        <v/>
      </c>
      <c r="P186" s="85" t="str">
        <f>IF($B186="","",IF(IFERROR(INDEX('RAID Log'!$1:$1048576,$B186,MATCH("Mitigation Strategy",'RAID Log'!$1:$1,0)),"")="","",IFERROR(INDEX('RAID Log'!$1:$1048576,$B186,MATCH("Mitigation Strategy",'RAID Log'!$1:$1,0)),"")))</f>
        <v/>
      </c>
      <c r="Q186" s="88" t="str">
        <f>IF($B186="","",IF(IFERROR(INDEX('RAID Log'!$1:$1048576,$B186,MATCH("RAID Response/Plan",'RAID Log'!$1:$1,0)),"")="","",IFERROR(INDEX('RAID Log'!$1:$1048576,$B186,MATCH("RAID Response/Plan",'RAID Log'!$1:$1,0)),"")))</f>
        <v/>
      </c>
    </row>
    <row r="187" spans="1:17" ht="14.25" customHeight="1">
      <c r="A187" s="82" t="str">
        <f>IF($B187="","",IF(IFERROR(INDEX('RAID Log'!$1:$1048576,$B187,MATCH("RAID ID",'RAID Log'!$1:$1,0)),"")="","",IFERROR(INDEX('RAID Log'!$1:$1048576,$B187,MATCH("RAID ID",'RAID Log'!$1:$1,0)),"")))</f>
        <v/>
      </c>
      <c r="B187" s="83" t="str">
        <f>IFERROR(MATCH(ROW()-1,'RAID Log'!$S:$S,0),"")</f>
        <v/>
      </c>
      <c r="C187" s="84" t="str">
        <f>IF($B187="","",IF(IFERROR(INDEX('RAID Log'!$1:$1048576,$B187,MATCH("Description",'RAID Log'!$1:$1,0)),"")="","",IFERROR(INDEX('RAID Log'!$1:$1048576,$B187,MATCH("Description",'RAID Log'!$1:$1,0)),"")))</f>
        <v/>
      </c>
      <c r="D187" s="84" t="str">
        <f>IF($B187="","",IF(IFERROR(INDEX('RAID Log'!$1:$1048576,$B187,MATCH("Impact/Effect of the RAID",'RAID Log'!$1:$1,0)),"")="","",IFERROR(INDEX('RAID Log'!$1:$1048576,$B187,MATCH("Impact/Effect of the RAID",'RAID Log'!$1:$1,0)),"")))</f>
        <v/>
      </c>
      <c r="E187" s="85" t="str">
        <f>IF($B187="","",IF(IFERROR(INDEX('RAID Log'!$1:$1048576,$B187,MATCH("Impact Area",'RAID Log'!$1:$1,0)),"")="","",IFERROR(INDEX('RAID Log'!$1:$1048576,$B187,MATCH("Impact Area",'RAID Log'!$1:$1,0)),"")))</f>
        <v/>
      </c>
      <c r="F187" s="85" t="str">
        <f>IF($B187="","",IF(IFERROR(INDEX('RAID Log'!$1:$1048576,$B187,MATCH("Impact Area",'RAID Log'!$1:$1,0)),"")="","",IFERROR(INDEX('RAID Log'!$1:$1048576,$B187,MATCH("Impact Area",'RAID Log'!$1:$1,0)),"")))</f>
        <v/>
      </c>
      <c r="G187" s="85" t="str">
        <f>IF($B187="","",IF(IFERROR(INDEX('RAID Log'!$1:$1048576,$B187,MATCH("Impact Rating",'RAID Log'!$1:$1,0)),"")="","",IFERROR(INDEX('RAID Log'!$1:$1048576,$B187,MATCH("Impact Rating",'RAID Log'!$1:$1,0)),"")))</f>
        <v/>
      </c>
      <c r="H187" s="85" t="str">
        <f>IF($B187="","",IF(IFERROR(INDEX('RAID Log'!$1:$1048576,$B187,MATCH("Initial Probability",'RAID Log'!$1:$1,0)),"")="","",IFERROR(INDEX('RAID Log'!$1:$1048576,$B187,MATCH("Initial Probability",'RAID Log'!$1:$1,0)),"")))</f>
        <v/>
      </c>
      <c r="I187" s="86" t="str">
        <f t="shared" si="6"/>
        <v/>
      </c>
      <c r="J187" s="85" t="str">
        <f t="shared" si="7"/>
        <v/>
      </c>
      <c r="K187" s="86" t="str">
        <f t="shared" si="8"/>
        <v/>
      </c>
      <c r="L187" s="85" t="str">
        <f>IF($B187="","",IF(IFERROR(INDEX('RAID Log'!$1:$1048576,$B187,MATCH("Status",'RAID Log'!$1:$1,0)),"")="","",IFERROR(INDEX('RAID Log'!$1:$1048576,$B187,MATCH("Status",'RAID Log'!$1:$1,0)),"")))</f>
        <v/>
      </c>
      <c r="M187" s="85" t="str">
        <f>IF($B187="","",IF(IFERROR(INDEX('RAID Log'!$1:$1048576,$B187,MATCH("RAID Owner",'RAID Log'!$1:$1,0)),"")="","",IFERROR(INDEX('RAID Log'!$1:$1048576,$B187,MATCH("RAID Owner",'RAID Log'!$1:$1,0)),"")))</f>
        <v/>
      </c>
      <c r="N187" s="87" t="str">
        <f>IF($B187="","",IF(IFERROR(INDEX('RAID Log'!$1:$1048576,$B187,MATCH("Date Raised",'RAID Log'!$1:$1,0)),"")="","",IFERROR(INDEX('RAID Log'!$1:$1048576,$B187,MATCH("Date Raised",'RAID Log'!$1:$1,0)),"")))</f>
        <v/>
      </c>
      <c r="O187" s="87" t="str">
        <f>IF($B187="","",IF(IFERROR(INDEX('RAID Log'!$1:$1048576,$B187,MATCH("Closed Date",'RAID Log'!$1:$1,0)),"")="","",IFERROR(INDEX('RAID Log'!$1:$1048576,$B187,MATCH("Closed Date",'RAID Log'!$1:$1,0)),"")))</f>
        <v/>
      </c>
      <c r="P187" s="85" t="str">
        <f>IF($B187="","",IF(IFERROR(INDEX('RAID Log'!$1:$1048576,$B187,MATCH("Mitigation Strategy",'RAID Log'!$1:$1,0)),"")="","",IFERROR(INDEX('RAID Log'!$1:$1048576,$B187,MATCH("Mitigation Strategy",'RAID Log'!$1:$1,0)),"")))</f>
        <v/>
      </c>
      <c r="Q187" s="88" t="str">
        <f>IF($B187="","",IF(IFERROR(INDEX('RAID Log'!$1:$1048576,$B187,MATCH("RAID Response/Plan",'RAID Log'!$1:$1,0)),"")="","",IFERROR(INDEX('RAID Log'!$1:$1048576,$B187,MATCH("RAID Response/Plan",'RAID Log'!$1:$1,0)),"")))</f>
        <v/>
      </c>
    </row>
    <row r="188" spans="1:17" ht="14.25" customHeight="1">
      <c r="A188" s="82" t="str">
        <f>IF($B188="","",IF(IFERROR(INDEX('RAID Log'!$1:$1048576,$B188,MATCH("RAID ID",'RAID Log'!$1:$1,0)),"")="","",IFERROR(INDEX('RAID Log'!$1:$1048576,$B188,MATCH("RAID ID",'RAID Log'!$1:$1,0)),"")))</f>
        <v/>
      </c>
      <c r="B188" s="83" t="str">
        <f>IFERROR(MATCH(ROW()-1,'RAID Log'!$S:$S,0),"")</f>
        <v/>
      </c>
      <c r="C188" s="84" t="str">
        <f>IF($B188="","",IF(IFERROR(INDEX('RAID Log'!$1:$1048576,$B188,MATCH("Description",'RAID Log'!$1:$1,0)),"")="","",IFERROR(INDEX('RAID Log'!$1:$1048576,$B188,MATCH("Description",'RAID Log'!$1:$1,0)),"")))</f>
        <v/>
      </c>
      <c r="D188" s="84" t="str">
        <f>IF($B188="","",IF(IFERROR(INDEX('RAID Log'!$1:$1048576,$B188,MATCH("Impact/Effect of the RAID",'RAID Log'!$1:$1,0)),"")="","",IFERROR(INDEX('RAID Log'!$1:$1048576,$B188,MATCH("Impact/Effect of the RAID",'RAID Log'!$1:$1,0)),"")))</f>
        <v/>
      </c>
      <c r="E188" s="85" t="str">
        <f>IF($B188="","",IF(IFERROR(INDEX('RAID Log'!$1:$1048576,$B188,MATCH("Impact Area",'RAID Log'!$1:$1,0)),"")="","",IFERROR(INDEX('RAID Log'!$1:$1048576,$B188,MATCH("Impact Area",'RAID Log'!$1:$1,0)),"")))</f>
        <v/>
      </c>
      <c r="F188" s="85" t="str">
        <f>IF($B188="","",IF(IFERROR(INDEX('RAID Log'!$1:$1048576,$B188,MATCH("Impact Area",'RAID Log'!$1:$1,0)),"")="","",IFERROR(INDEX('RAID Log'!$1:$1048576,$B188,MATCH("Impact Area",'RAID Log'!$1:$1,0)),"")))</f>
        <v/>
      </c>
      <c r="G188" s="85" t="str">
        <f>IF($B188="","",IF(IFERROR(INDEX('RAID Log'!$1:$1048576,$B188,MATCH("Impact Rating",'RAID Log'!$1:$1,0)),"")="","",IFERROR(INDEX('RAID Log'!$1:$1048576,$B188,MATCH("Impact Rating",'RAID Log'!$1:$1,0)),"")))</f>
        <v/>
      </c>
      <c r="H188" s="85" t="str">
        <f>IF($B188="","",IF(IFERROR(INDEX('RAID Log'!$1:$1048576,$B188,MATCH("Initial Probability",'RAID Log'!$1:$1,0)),"")="","",IFERROR(INDEX('RAID Log'!$1:$1048576,$B188,MATCH("Initial Probability",'RAID Log'!$1:$1,0)),"")))</f>
        <v/>
      </c>
      <c r="I188" s="86" t="str">
        <f t="shared" si="6"/>
        <v/>
      </c>
      <c r="J188" s="85" t="str">
        <f t="shared" si="7"/>
        <v/>
      </c>
      <c r="K188" s="86" t="str">
        <f t="shared" si="8"/>
        <v/>
      </c>
      <c r="L188" s="85" t="str">
        <f>IF($B188="","",IF(IFERROR(INDEX('RAID Log'!$1:$1048576,$B188,MATCH("Status",'RAID Log'!$1:$1,0)),"")="","",IFERROR(INDEX('RAID Log'!$1:$1048576,$B188,MATCH("Status",'RAID Log'!$1:$1,0)),"")))</f>
        <v/>
      </c>
      <c r="M188" s="85" t="str">
        <f>IF($B188="","",IF(IFERROR(INDEX('RAID Log'!$1:$1048576,$B188,MATCH("RAID Owner",'RAID Log'!$1:$1,0)),"")="","",IFERROR(INDEX('RAID Log'!$1:$1048576,$B188,MATCH("RAID Owner",'RAID Log'!$1:$1,0)),"")))</f>
        <v/>
      </c>
      <c r="N188" s="87" t="str">
        <f>IF($B188="","",IF(IFERROR(INDEX('RAID Log'!$1:$1048576,$B188,MATCH("Date Raised",'RAID Log'!$1:$1,0)),"")="","",IFERROR(INDEX('RAID Log'!$1:$1048576,$B188,MATCH("Date Raised",'RAID Log'!$1:$1,0)),"")))</f>
        <v/>
      </c>
      <c r="O188" s="87" t="str">
        <f>IF($B188="","",IF(IFERROR(INDEX('RAID Log'!$1:$1048576,$B188,MATCH("Closed Date",'RAID Log'!$1:$1,0)),"")="","",IFERROR(INDEX('RAID Log'!$1:$1048576,$B188,MATCH("Closed Date",'RAID Log'!$1:$1,0)),"")))</f>
        <v/>
      </c>
      <c r="P188" s="85" t="str">
        <f>IF($B188="","",IF(IFERROR(INDEX('RAID Log'!$1:$1048576,$B188,MATCH("Mitigation Strategy",'RAID Log'!$1:$1,0)),"")="","",IFERROR(INDEX('RAID Log'!$1:$1048576,$B188,MATCH("Mitigation Strategy",'RAID Log'!$1:$1,0)),"")))</f>
        <v/>
      </c>
      <c r="Q188" s="88" t="str">
        <f>IF($B188="","",IF(IFERROR(INDEX('RAID Log'!$1:$1048576,$B188,MATCH("RAID Response/Plan",'RAID Log'!$1:$1,0)),"")="","",IFERROR(INDEX('RAID Log'!$1:$1048576,$B188,MATCH("RAID Response/Plan",'RAID Log'!$1:$1,0)),"")))</f>
        <v/>
      </c>
    </row>
    <row r="189" spans="1:17" ht="14.25" customHeight="1">
      <c r="A189" s="82" t="str">
        <f>IF($B189="","",IF(IFERROR(INDEX('RAID Log'!$1:$1048576,$B189,MATCH("RAID ID",'RAID Log'!$1:$1,0)),"")="","",IFERROR(INDEX('RAID Log'!$1:$1048576,$B189,MATCH("RAID ID",'RAID Log'!$1:$1,0)),"")))</f>
        <v/>
      </c>
      <c r="B189" s="83" t="str">
        <f>IFERROR(MATCH(ROW()-1,'RAID Log'!$S:$S,0),"")</f>
        <v/>
      </c>
      <c r="C189" s="84" t="str">
        <f>IF($B189="","",IF(IFERROR(INDEX('RAID Log'!$1:$1048576,$B189,MATCH("Description",'RAID Log'!$1:$1,0)),"")="","",IFERROR(INDEX('RAID Log'!$1:$1048576,$B189,MATCH("Description",'RAID Log'!$1:$1,0)),"")))</f>
        <v/>
      </c>
      <c r="D189" s="84" t="str">
        <f>IF($B189="","",IF(IFERROR(INDEX('RAID Log'!$1:$1048576,$B189,MATCH("Impact/Effect of the RAID",'RAID Log'!$1:$1,0)),"")="","",IFERROR(INDEX('RAID Log'!$1:$1048576,$B189,MATCH("Impact/Effect of the RAID",'RAID Log'!$1:$1,0)),"")))</f>
        <v/>
      </c>
      <c r="E189" s="85" t="str">
        <f>IF($B189="","",IF(IFERROR(INDEX('RAID Log'!$1:$1048576,$B189,MATCH("Impact Area",'RAID Log'!$1:$1,0)),"")="","",IFERROR(INDEX('RAID Log'!$1:$1048576,$B189,MATCH("Impact Area",'RAID Log'!$1:$1,0)),"")))</f>
        <v/>
      </c>
      <c r="F189" s="85" t="str">
        <f>IF($B189="","",IF(IFERROR(INDEX('RAID Log'!$1:$1048576,$B189,MATCH("Impact Area",'RAID Log'!$1:$1,0)),"")="","",IFERROR(INDEX('RAID Log'!$1:$1048576,$B189,MATCH("Impact Area",'RAID Log'!$1:$1,0)),"")))</f>
        <v/>
      </c>
      <c r="G189" s="85" t="str">
        <f>IF($B189="","",IF(IFERROR(INDEX('RAID Log'!$1:$1048576,$B189,MATCH("Impact Rating",'RAID Log'!$1:$1,0)),"")="","",IFERROR(INDEX('RAID Log'!$1:$1048576,$B189,MATCH("Impact Rating",'RAID Log'!$1:$1,0)),"")))</f>
        <v/>
      </c>
      <c r="H189" s="85" t="str">
        <f>IF($B189="","",IF(IFERROR(INDEX('RAID Log'!$1:$1048576,$B189,MATCH("Initial Probability",'RAID Log'!$1:$1,0)),"")="","",IFERROR(INDEX('RAID Log'!$1:$1048576,$B189,MATCH("Initial Probability",'RAID Log'!$1:$1,0)),"")))</f>
        <v/>
      </c>
      <c r="I189" s="86" t="str">
        <f t="shared" si="6"/>
        <v/>
      </c>
      <c r="J189" s="85" t="str">
        <f t="shared" si="7"/>
        <v/>
      </c>
      <c r="K189" s="86" t="str">
        <f t="shared" si="8"/>
        <v/>
      </c>
      <c r="L189" s="85" t="str">
        <f>IF($B189="","",IF(IFERROR(INDEX('RAID Log'!$1:$1048576,$B189,MATCH("Status",'RAID Log'!$1:$1,0)),"")="","",IFERROR(INDEX('RAID Log'!$1:$1048576,$B189,MATCH("Status",'RAID Log'!$1:$1,0)),"")))</f>
        <v/>
      </c>
      <c r="M189" s="85" t="str">
        <f>IF($B189="","",IF(IFERROR(INDEX('RAID Log'!$1:$1048576,$B189,MATCH("RAID Owner",'RAID Log'!$1:$1,0)),"")="","",IFERROR(INDEX('RAID Log'!$1:$1048576,$B189,MATCH("RAID Owner",'RAID Log'!$1:$1,0)),"")))</f>
        <v/>
      </c>
      <c r="N189" s="87" t="str">
        <f>IF($B189="","",IF(IFERROR(INDEX('RAID Log'!$1:$1048576,$B189,MATCH("Date Raised",'RAID Log'!$1:$1,0)),"")="","",IFERROR(INDEX('RAID Log'!$1:$1048576,$B189,MATCH("Date Raised",'RAID Log'!$1:$1,0)),"")))</f>
        <v/>
      </c>
      <c r="O189" s="87" t="str">
        <f>IF($B189="","",IF(IFERROR(INDEX('RAID Log'!$1:$1048576,$B189,MATCH("Closed Date",'RAID Log'!$1:$1,0)),"")="","",IFERROR(INDEX('RAID Log'!$1:$1048576,$B189,MATCH("Closed Date",'RAID Log'!$1:$1,0)),"")))</f>
        <v/>
      </c>
      <c r="P189" s="85" t="str">
        <f>IF($B189="","",IF(IFERROR(INDEX('RAID Log'!$1:$1048576,$B189,MATCH("Mitigation Strategy",'RAID Log'!$1:$1,0)),"")="","",IFERROR(INDEX('RAID Log'!$1:$1048576,$B189,MATCH("Mitigation Strategy",'RAID Log'!$1:$1,0)),"")))</f>
        <v/>
      </c>
      <c r="Q189" s="88" t="str">
        <f>IF($B189="","",IF(IFERROR(INDEX('RAID Log'!$1:$1048576,$B189,MATCH("RAID Response/Plan",'RAID Log'!$1:$1,0)),"")="","",IFERROR(INDEX('RAID Log'!$1:$1048576,$B189,MATCH("RAID Response/Plan",'RAID Log'!$1:$1,0)),"")))</f>
        <v/>
      </c>
    </row>
    <row r="190" spans="1:17" ht="14.25" customHeight="1">
      <c r="A190" s="82" t="str">
        <f>IF($B190="","",IF(IFERROR(INDEX('RAID Log'!$1:$1048576,$B190,MATCH("RAID ID",'RAID Log'!$1:$1,0)),"")="","",IFERROR(INDEX('RAID Log'!$1:$1048576,$B190,MATCH("RAID ID",'RAID Log'!$1:$1,0)),"")))</f>
        <v/>
      </c>
      <c r="B190" s="83" t="str">
        <f>IFERROR(MATCH(ROW()-1,'RAID Log'!$S:$S,0),"")</f>
        <v/>
      </c>
      <c r="C190" s="84" t="str">
        <f>IF($B190="","",IF(IFERROR(INDEX('RAID Log'!$1:$1048576,$B190,MATCH("Description",'RAID Log'!$1:$1,0)),"")="","",IFERROR(INDEX('RAID Log'!$1:$1048576,$B190,MATCH("Description",'RAID Log'!$1:$1,0)),"")))</f>
        <v/>
      </c>
      <c r="D190" s="84" t="str">
        <f>IF($B190="","",IF(IFERROR(INDEX('RAID Log'!$1:$1048576,$B190,MATCH("Impact/Effect of the RAID",'RAID Log'!$1:$1,0)),"")="","",IFERROR(INDEX('RAID Log'!$1:$1048576,$B190,MATCH("Impact/Effect of the RAID",'RAID Log'!$1:$1,0)),"")))</f>
        <v/>
      </c>
      <c r="E190" s="85" t="str">
        <f>IF($B190="","",IF(IFERROR(INDEX('RAID Log'!$1:$1048576,$B190,MATCH("Impact Area",'RAID Log'!$1:$1,0)),"")="","",IFERROR(INDEX('RAID Log'!$1:$1048576,$B190,MATCH("Impact Area",'RAID Log'!$1:$1,0)),"")))</f>
        <v/>
      </c>
      <c r="F190" s="85" t="str">
        <f>IF($B190="","",IF(IFERROR(INDEX('RAID Log'!$1:$1048576,$B190,MATCH("Impact Area",'RAID Log'!$1:$1,0)),"")="","",IFERROR(INDEX('RAID Log'!$1:$1048576,$B190,MATCH("Impact Area",'RAID Log'!$1:$1,0)),"")))</f>
        <v/>
      </c>
      <c r="G190" s="85" t="str">
        <f>IF($B190="","",IF(IFERROR(INDEX('RAID Log'!$1:$1048576,$B190,MATCH("Impact Rating",'RAID Log'!$1:$1,0)),"")="","",IFERROR(INDEX('RAID Log'!$1:$1048576,$B190,MATCH("Impact Rating",'RAID Log'!$1:$1,0)),"")))</f>
        <v/>
      </c>
      <c r="H190" s="85" t="str">
        <f>IF($B190="","",IF(IFERROR(INDEX('RAID Log'!$1:$1048576,$B190,MATCH("Initial Probability",'RAID Log'!$1:$1,0)),"")="","",IFERROR(INDEX('RAID Log'!$1:$1048576,$B190,MATCH("Initial Probability",'RAID Log'!$1:$1,0)),"")))</f>
        <v/>
      </c>
      <c r="I190" s="86" t="str">
        <f t="shared" si="6"/>
        <v/>
      </c>
      <c r="J190" s="85" t="str">
        <f t="shared" si="7"/>
        <v/>
      </c>
      <c r="K190" s="86" t="str">
        <f t="shared" si="8"/>
        <v/>
      </c>
      <c r="L190" s="85" t="str">
        <f>IF($B190="","",IF(IFERROR(INDEX('RAID Log'!$1:$1048576,$B190,MATCH("Status",'RAID Log'!$1:$1,0)),"")="","",IFERROR(INDEX('RAID Log'!$1:$1048576,$B190,MATCH("Status",'RAID Log'!$1:$1,0)),"")))</f>
        <v/>
      </c>
      <c r="M190" s="85" t="str">
        <f>IF($B190="","",IF(IFERROR(INDEX('RAID Log'!$1:$1048576,$B190,MATCH("RAID Owner",'RAID Log'!$1:$1,0)),"")="","",IFERROR(INDEX('RAID Log'!$1:$1048576,$B190,MATCH("RAID Owner",'RAID Log'!$1:$1,0)),"")))</f>
        <v/>
      </c>
      <c r="N190" s="87" t="str">
        <f>IF($B190="","",IF(IFERROR(INDEX('RAID Log'!$1:$1048576,$B190,MATCH("Date Raised",'RAID Log'!$1:$1,0)),"")="","",IFERROR(INDEX('RAID Log'!$1:$1048576,$B190,MATCH("Date Raised",'RAID Log'!$1:$1,0)),"")))</f>
        <v/>
      </c>
      <c r="O190" s="87" t="str">
        <f>IF($B190="","",IF(IFERROR(INDEX('RAID Log'!$1:$1048576,$B190,MATCH("Closed Date",'RAID Log'!$1:$1,0)),"")="","",IFERROR(INDEX('RAID Log'!$1:$1048576,$B190,MATCH("Closed Date",'RAID Log'!$1:$1,0)),"")))</f>
        <v/>
      </c>
      <c r="P190" s="85" t="str">
        <f>IF($B190="","",IF(IFERROR(INDEX('RAID Log'!$1:$1048576,$B190,MATCH("Mitigation Strategy",'RAID Log'!$1:$1,0)),"")="","",IFERROR(INDEX('RAID Log'!$1:$1048576,$B190,MATCH("Mitigation Strategy",'RAID Log'!$1:$1,0)),"")))</f>
        <v/>
      </c>
      <c r="Q190" s="88" t="str">
        <f>IF($B190="","",IF(IFERROR(INDEX('RAID Log'!$1:$1048576,$B190,MATCH("RAID Response/Plan",'RAID Log'!$1:$1,0)),"")="","",IFERROR(INDEX('RAID Log'!$1:$1048576,$B190,MATCH("RAID Response/Plan",'RAID Log'!$1:$1,0)),"")))</f>
        <v/>
      </c>
    </row>
    <row r="191" spans="1:17" ht="14.25" customHeight="1">
      <c r="A191" s="82" t="str">
        <f>IF($B191="","",IF(IFERROR(INDEX('RAID Log'!$1:$1048576,$B191,MATCH("RAID ID",'RAID Log'!$1:$1,0)),"")="","",IFERROR(INDEX('RAID Log'!$1:$1048576,$B191,MATCH("RAID ID",'RAID Log'!$1:$1,0)),"")))</f>
        <v/>
      </c>
      <c r="B191" s="83" t="str">
        <f>IFERROR(MATCH(ROW()-1,'RAID Log'!$S:$S,0),"")</f>
        <v/>
      </c>
      <c r="C191" s="84" t="str">
        <f>IF($B191="","",IF(IFERROR(INDEX('RAID Log'!$1:$1048576,$B191,MATCH("Description",'RAID Log'!$1:$1,0)),"")="","",IFERROR(INDEX('RAID Log'!$1:$1048576,$B191,MATCH("Description",'RAID Log'!$1:$1,0)),"")))</f>
        <v/>
      </c>
      <c r="D191" s="84" t="str">
        <f>IF($B191="","",IF(IFERROR(INDEX('RAID Log'!$1:$1048576,$B191,MATCH("Impact/Effect of the RAID",'RAID Log'!$1:$1,0)),"")="","",IFERROR(INDEX('RAID Log'!$1:$1048576,$B191,MATCH("Impact/Effect of the RAID",'RAID Log'!$1:$1,0)),"")))</f>
        <v/>
      </c>
      <c r="E191" s="85" t="str">
        <f>IF($B191="","",IF(IFERROR(INDEX('RAID Log'!$1:$1048576,$B191,MATCH("Impact Area",'RAID Log'!$1:$1,0)),"")="","",IFERROR(INDEX('RAID Log'!$1:$1048576,$B191,MATCH("Impact Area",'RAID Log'!$1:$1,0)),"")))</f>
        <v/>
      </c>
      <c r="F191" s="85" t="str">
        <f>IF($B191="","",IF(IFERROR(INDEX('RAID Log'!$1:$1048576,$B191,MATCH("Impact Area",'RAID Log'!$1:$1,0)),"")="","",IFERROR(INDEX('RAID Log'!$1:$1048576,$B191,MATCH("Impact Area",'RAID Log'!$1:$1,0)),"")))</f>
        <v/>
      </c>
      <c r="G191" s="85" t="str">
        <f>IF($B191="","",IF(IFERROR(INDEX('RAID Log'!$1:$1048576,$B191,MATCH("Impact Rating",'RAID Log'!$1:$1,0)),"")="","",IFERROR(INDEX('RAID Log'!$1:$1048576,$B191,MATCH("Impact Rating",'RAID Log'!$1:$1,0)),"")))</f>
        <v/>
      </c>
      <c r="H191" s="85" t="str">
        <f>IF($B191="","",IF(IFERROR(INDEX('RAID Log'!$1:$1048576,$B191,MATCH("Initial Probability",'RAID Log'!$1:$1,0)),"")="","",IFERROR(INDEX('RAID Log'!$1:$1048576,$B191,MATCH("Initial Probability",'RAID Log'!$1:$1,0)),"")))</f>
        <v/>
      </c>
      <c r="I191" s="86" t="str">
        <f t="shared" si="6"/>
        <v/>
      </c>
      <c r="J191" s="85" t="str">
        <f t="shared" si="7"/>
        <v/>
      </c>
      <c r="K191" s="86" t="str">
        <f t="shared" si="8"/>
        <v/>
      </c>
      <c r="L191" s="85" t="str">
        <f>IF($B191="","",IF(IFERROR(INDEX('RAID Log'!$1:$1048576,$B191,MATCH("Status",'RAID Log'!$1:$1,0)),"")="","",IFERROR(INDEX('RAID Log'!$1:$1048576,$B191,MATCH("Status",'RAID Log'!$1:$1,0)),"")))</f>
        <v/>
      </c>
      <c r="M191" s="85" t="str">
        <f>IF($B191="","",IF(IFERROR(INDEX('RAID Log'!$1:$1048576,$B191,MATCH("RAID Owner",'RAID Log'!$1:$1,0)),"")="","",IFERROR(INDEX('RAID Log'!$1:$1048576,$B191,MATCH("RAID Owner",'RAID Log'!$1:$1,0)),"")))</f>
        <v/>
      </c>
      <c r="N191" s="87" t="str">
        <f>IF($B191="","",IF(IFERROR(INDEX('RAID Log'!$1:$1048576,$B191,MATCH("Date Raised",'RAID Log'!$1:$1,0)),"")="","",IFERROR(INDEX('RAID Log'!$1:$1048576,$B191,MATCH("Date Raised",'RAID Log'!$1:$1,0)),"")))</f>
        <v/>
      </c>
      <c r="O191" s="87" t="str">
        <f>IF($B191="","",IF(IFERROR(INDEX('RAID Log'!$1:$1048576,$B191,MATCH("Closed Date",'RAID Log'!$1:$1,0)),"")="","",IFERROR(INDEX('RAID Log'!$1:$1048576,$B191,MATCH("Closed Date",'RAID Log'!$1:$1,0)),"")))</f>
        <v/>
      </c>
      <c r="P191" s="85" t="str">
        <f>IF($B191="","",IF(IFERROR(INDEX('RAID Log'!$1:$1048576,$B191,MATCH("Mitigation Strategy",'RAID Log'!$1:$1,0)),"")="","",IFERROR(INDEX('RAID Log'!$1:$1048576,$B191,MATCH("Mitigation Strategy",'RAID Log'!$1:$1,0)),"")))</f>
        <v/>
      </c>
      <c r="Q191" s="88" t="str">
        <f>IF($B191="","",IF(IFERROR(INDEX('RAID Log'!$1:$1048576,$B191,MATCH("RAID Response/Plan",'RAID Log'!$1:$1,0)),"")="","",IFERROR(INDEX('RAID Log'!$1:$1048576,$B191,MATCH("RAID Response/Plan",'RAID Log'!$1:$1,0)),"")))</f>
        <v/>
      </c>
    </row>
    <row r="192" spans="1:17" ht="14.25" customHeight="1">
      <c r="A192" s="82" t="str">
        <f>IF($B192="","",IF(IFERROR(INDEX('RAID Log'!$1:$1048576,$B192,MATCH("RAID ID",'RAID Log'!$1:$1,0)),"")="","",IFERROR(INDEX('RAID Log'!$1:$1048576,$B192,MATCH("RAID ID",'RAID Log'!$1:$1,0)),"")))</f>
        <v/>
      </c>
      <c r="B192" s="83" t="str">
        <f>IFERROR(MATCH(ROW()-1,'RAID Log'!$S:$S,0),"")</f>
        <v/>
      </c>
      <c r="C192" s="84" t="str">
        <f>IF($B192="","",IF(IFERROR(INDEX('RAID Log'!$1:$1048576,$B192,MATCH("Description",'RAID Log'!$1:$1,0)),"")="","",IFERROR(INDEX('RAID Log'!$1:$1048576,$B192,MATCH("Description",'RAID Log'!$1:$1,0)),"")))</f>
        <v/>
      </c>
      <c r="D192" s="84" t="str">
        <f>IF($B192="","",IF(IFERROR(INDEX('RAID Log'!$1:$1048576,$B192,MATCH("Impact/Effect of the RAID",'RAID Log'!$1:$1,0)),"")="","",IFERROR(INDEX('RAID Log'!$1:$1048576,$B192,MATCH("Impact/Effect of the RAID",'RAID Log'!$1:$1,0)),"")))</f>
        <v/>
      </c>
      <c r="E192" s="85" t="str">
        <f>IF($B192="","",IF(IFERROR(INDEX('RAID Log'!$1:$1048576,$B192,MATCH("Impact Area",'RAID Log'!$1:$1,0)),"")="","",IFERROR(INDEX('RAID Log'!$1:$1048576,$B192,MATCH("Impact Area",'RAID Log'!$1:$1,0)),"")))</f>
        <v/>
      </c>
      <c r="F192" s="85" t="str">
        <f>IF($B192="","",IF(IFERROR(INDEX('RAID Log'!$1:$1048576,$B192,MATCH("Impact Area",'RAID Log'!$1:$1,0)),"")="","",IFERROR(INDEX('RAID Log'!$1:$1048576,$B192,MATCH("Impact Area",'RAID Log'!$1:$1,0)),"")))</f>
        <v/>
      </c>
      <c r="G192" s="85" t="str">
        <f>IF($B192="","",IF(IFERROR(INDEX('RAID Log'!$1:$1048576,$B192,MATCH("Impact Rating",'RAID Log'!$1:$1,0)),"")="","",IFERROR(INDEX('RAID Log'!$1:$1048576,$B192,MATCH("Impact Rating",'RAID Log'!$1:$1,0)),"")))</f>
        <v/>
      </c>
      <c r="H192" s="85" t="str">
        <f>IF($B192="","",IF(IFERROR(INDEX('RAID Log'!$1:$1048576,$B192,MATCH("Initial Probability",'RAID Log'!$1:$1,0)),"")="","",IFERROR(INDEX('RAID Log'!$1:$1048576,$B192,MATCH("Initial Probability",'RAID Log'!$1:$1,0)),"")))</f>
        <v/>
      </c>
      <c r="I192" s="86" t="str">
        <f t="shared" si="6"/>
        <v/>
      </c>
      <c r="J192" s="85" t="str">
        <f t="shared" si="7"/>
        <v/>
      </c>
      <c r="K192" s="86" t="str">
        <f t="shared" si="8"/>
        <v/>
      </c>
      <c r="L192" s="85" t="str">
        <f>IF($B192="","",IF(IFERROR(INDEX('RAID Log'!$1:$1048576,$B192,MATCH("Status",'RAID Log'!$1:$1,0)),"")="","",IFERROR(INDEX('RAID Log'!$1:$1048576,$B192,MATCH("Status",'RAID Log'!$1:$1,0)),"")))</f>
        <v/>
      </c>
      <c r="M192" s="85" t="str">
        <f>IF($B192="","",IF(IFERROR(INDEX('RAID Log'!$1:$1048576,$B192,MATCH("RAID Owner",'RAID Log'!$1:$1,0)),"")="","",IFERROR(INDEX('RAID Log'!$1:$1048576,$B192,MATCH("RAID Owner",'RAID Log'!$1:$1,0)),"")))</f>
        <v/>
      </c>
      <c r="N192" s="87" t="str">
        <f>IF($B192="","",IF(IFERROR(INDEX('RAID Log'!$1:$1048576,$B192,MATCH("Date Raised",'RAID Log'!$1:$1,0)),"")="","",IFERROR(INDEX('RAID Log'!$1:$1048576,$B192,MATCH("Date Raised",'RAID Log'!$1:$1,0)),"")))</f>
        <v/>
      </c>
      <c r="O192" s="87" t="str">
        <f>IF($B192="","",IF(IFERROR(INDEX('RAID Log'!$1:$1048576,$B192,MATCH("Closed Date",'RAID Log'!$1:$1,0)),"")="","",IFERROR(INDEX('RAID Log'!$1:$1048576,$B192,MATCH("Closed Date",'RAID Log'!$1:$1,0)),"")))</f>
        <v/>
      </c>
      <c r="P192" s="85" t="str">
        <f>IF($B192="","",IF(IFERROR(INDEX('RAID Log'!$1:$1048576,$B192,MATCH("Mitigation Strategy",'RAID Log'!$1:$1,0)),"")="","",IFERROR(INDEX('RAID Log'!$1:$1048576,$B192,MATCH("Mitigation Strategy",'RAID Log'!$1:$1,0)),"")))</f>
        <v/>
      </c>
      <c r="Q192" s="88" t="str">
        <f>IF($B192="","",IF(IFERROR(INDEX('RAID Log'!$1:$1048576,$B192,MATCH("RAID Response/Plan",'RAID Log'!$1:$1,0)),"")="","",IFERROR(INDEX('RAID Log'!$1:$1048576,$B192,MATCH("RAID Response/Plan",'RAID Log'!$1:$1,0)),"")))</f>
        <v/>
      </c>
    </row>
    <row r="193" spans="1:17" ht="14.25" customHeight="1">
      <c r="A193" s="82" t="str">
        <f>IF($B193="","",IF(IFERROR(INDEX('RAID Log'!$1:$1048576,$B193,MATCH("RAID ID",'RAID Log'!$1:$1,0)),"")="","",IFERROR(INDEX('RAID Log'!$1:$1048576,$B193,MATCH("RAID ID",'RAID Log'!$1:$1,0)),"")))</f>
        <v/>
      </c>
      <c r="B193" s="83" t="str">
        <f>IFERROR(MATCH(ROW()-1,'RAID Log'!$S:$S,0),"")</f>
        <v/>
      </c>
      <c r="C193" s="84" t="str">
        <f>IF($B193="","",IF(IFERROR(INDEX('RAID Log'!$1:$1048576,$B193,MATCH("Description",'RAID Log'!$1:$1,0)),"")="","",IFERROR(INDEX('RAID Log'!$1:$1048576,$B193,MATCH("Description",'RAID Log'!$1:$1,0)),"")))</f>
        <v/>
      </c>
      <c r="D193" s="84" t="str">
        <f>IF($B193="","",IF(IFERROR(INDEX('RAID Log'!$1:$1048576,$B193,MATCH("Impact/Effect of the RAID",'RAID Log'!$1:$1,0)),"")="","",IFERROR(INDEX('RAID Log'!$1:$1048576,$B193,MATCH("Impact/Effect of the RAID",'RAID Log'!$1:$1,0)),"")))</f>
        <v/>
      </c>
      <c r="E193" s="85" t="str">
        <f>IF($B193="","",IF(IFERROR(INDEX('RAID Log'!$1:$1048576,$B193,MATCH("Impact Area",'RAID Log'!$1:$1,0)),"")="","",IFERROR(INDEX('RAID Log'!$1:$1048576,$B193,MATCH("Impact Area",'RAID Log'!$1:$1,0)),"")))</f>
        <v/>
      </c>
      <c r="F193" s="85" t="str">
        <f>IF($B193="","",IF(IFERROR(INDEX('RAID Log'!$1:$1048576,$B193,MATCH("Impact Area",'RAID Log'!$1:$1,0)),"")="","",IFERROR(INDEX('RAID Log'!$1:$1048576,$B193,MATCH("Impact Area",'RAID Log'!$1:$1,0)),"")))</f>
        <v/>
      </c>
      <c r="G193" s="85" t="str">
        <f>IF($B193="","",IF(IFERROR(INDEX('RAID Log'!$1:$1048576,$B193,MATCH("Impact Rating",'RAID Log'!$1:$1,0)),"")="","",IFERROR(INDEX('RAID Log'!$1:$1048576,$B193,MATCH("Impact Rating",'RAID Log'!$1:$1,0)),"")))</f>
        <v/>
      </c>
      <c r="H193" s="85" t="str">
        <f>IF($B193="","",IF(IFERROR(INDEX('RAID Log'!$1:$1048576,$B193,MATCH("Initial Probability",'RAID Log'!$1:$1,0)),"")="","",IFERROR(INDEX('RAID Log'!$1:$1048576,$B193,MATCH("Initial Probability",'RAID Log'!$1:$1,0)),"")))</f>
        <v/>
      </c>
      <c r="I193" s="86" t="str">
        <f t="shared" si="6"/>
        <v/>
      </c>
      <c r="J193" s="85" t="str">
        <f t="shared" si="7"/>
        <v/>
      </c>
      <c r="K193" s="86" t="str">
        <f t="shared" si="8"/>
        <v/>
      </c>
      <c r="L193" s="85" t="str">
        <f>IF($B193="","",IF(IFERROR(INDEX('RAID Log'!$1:$1048576,$B193,MATCH("Status",'RAID Log'!$1:$1,0)),"")="","",IFERROR(INDEX('RAID Log'!$1:$1048576,$B193,MATCH("Status",'RAID Log'!$1:$1,0)),"")))</f>
        <v/>
      </c>
      <c r="M193" s="85" t="str">
        <f>IF($B193="","",IF(IFERROR(INDEX('RAID Log'!$1:$1048576,$B193,MATCH("RAID Owner",'RAID Log'!$1:$1,0)),"")="","",IFERROR(INDEX('RAID Log'!$1:$1048576,$B193,MATCH("RAID Owner",'RAID Log'!$1:$1,0)),"")))</f>
        <v/>
      </c>
      <c r="N193" s="87" t="str">
        <f>IF($B193="","",IF(IFERROR(INDEX('RAID Log'!$1:$1048576,$B193,MATCH("Date Raised",'RAID Log'!$1:$1,0)),"")="","",IFERROR(INDEX('RAID Log'!$1:$1048576,$B193,MATCH("Date Raised",'RAID Log'!$1:$1,0)),"")))</f>
        <v/>
      </c>
      <c r="O193" s="87" t="str">
        <f>IF($B193="","",IF(IFERROR(INDEX('RAID Log'!$1:$1048576,$B193,MATCH("Closed Date",'RAID Log'!$1:$1,0)),"")="","",IFERROR(INDEX('RAID Log'!$1:$1048576,$B193,MATCH("Closed Date",'RAID Log'!$1:$1,0)),"")))</f>
        <v/>
      </c>
      <c r="P193" s="85" t="str">
        <f>IF($B193="","",IF(IFERROR(INDEX('RAID Log'!$1:$1048576,$B193,MATCH("Mitigation Strategy",'RAID Log'!$1:$1,0)),"")="","",IFERROR(INDEX('RAID Log'!$1:$1048576,$B193,MATCH("Mitigation Strategy",'RAID Log'!$1:$1,0)),"")))</f>
        <v/>
      </c>
      <c r="Q193" s="88" t="str">
        <f>IF($B193="","",IF(IFERROR(INDEX('RAID Log'!$1:$1048576,$B193,MATCH("RAID Response/Plan",'RAID Log'!$1:$1,0)),"")="","",IFERROR(INDEX('RAID Log'!$1:$1048576,$B193,MATCH("RAID Response/Plan",'RAID Log'!$1:$1,0)),"")))</f>
        <v/>
      </c>
    </row>
    <row r="194" spans="1:17" ht="14.25" customHeight="1">
      <c r="A194" s="82" t="str">
        <f>IF($B194="","",IF(IFERROR(INDEX('RAID Log'!$1:$1048576,$B194,MATCH("RAID ID",'RAID Log'!$1:$1,0)),"")="","",IFERROR(INDEX('RAID Log'!$1:$1048576,$B194,MATCH("RAID ID",'RAID Log'!$1:$1,0)),"")))</f>
        <v/>
      </c>
      <c r="B194" s="83" t="str">
        <f>IFERROR(MATCH(ROW()-1,'RAID Log'!$S:$S,0),"")</f>
        <v/>
      </c>
      <c r="C194" s="84" t="str">
        <f>IF($B194="","",IF(IFERROR(INDEX('RAID Log'!$1:$1048576,$B194,MATCH("Description",'RAID Log'!$1:$1,0)),"")="","",IFERROR(INDEX('RAID Log'!$1:$1048576,$B194,MATCH("Description",'RAID Log'!$1:$1,0)),"")))</f>
        <v/>
      </c>
      <c r="D194" s="84" t="str">
        <f>IF($B194="","",IF(IFERROR(INDEX('RAID Log'!$1:$1048576,$B194,MATCH("Impact/Effect of the RAID",'RAID Log'!$1:$1,0)),"")="","",IFERROR(INDEX('RAID Log'!$1:$1048576,$B194,MATCH("Impact/Effect of the RAID",'RAID Log'!$1:$1,0)),"")))</f>
        <v/>
      </c>
      <c r="E194" s="85" t="str">
        <f>IF($B194="","",IF(IFERROR(INDEX('RAID Log'!$1:$1048576,$B194,MATCH("Impact Area",'RAID Log'!$1:$1,0)),"")="","",IFERROR(INDEX('RAID Log'!$1:$1048576,$B194,MATCH("Impact Area",'RAID Log'!$1:$1,0)),"")))</f>
        <v/>
      </c>
      <c r="F194" s="85" t="str">
        <f>IF($B194="","",IF(IFERROR(INDEX('RAID Log'!$1:$1048576,$B194,MATCH("Impact Area",'RAID Log'!$1:$1,0)),"")="","",IFERROR(INDEX('RAID Log'!$1:$1048576,$B194,MATCH("Impact Area",'RAID Log'!$1:$1,0)),"")))</f>
        <v/>
      </c>
      <c r="G194" s="85" t="str">
        <f>IF($B194="","",IF(IFERROR(INDEX('RAID Log'!$1:$1048576,$B194,MATCH("Impact Rating",'RAID Log'!$1:$1,0)),"")="","",IFERROR(INDEX('RAID Log'!$1:$1048576,$B194,MATCH("Impact Rating",'RAID Log'!$1:$1,0)),"")))</f>
        <v/>
      </c>
      <c r="H194" s="85" t="str">
        <f>IF($B194="","",IF(IFERROR(INDEX('RAID Log'!$1:$1048576,$B194,MATCH("Initial Probability",'RAID Log'!$1:$1,0)),"")="","",IFERROR(INDEX('RAID Log'!$1:$1048576,$B194,MATCH("Initial Probability",'RAID Log'!$1:$1,0)),"")))</f>
        <v/>
      </c>
      <c r="I194" s="86" t="str">
        <f t="shared" ref="I194:I257" si="9">IF($B194="","",(IF($G194="Severe",25,IF($G194="Major",20,IF($G194="Moderate",15,IF($G194="Minor",10,IF($G194="Insignificant",5,0))))))*IF($H194="Very High",1,IF($H194="High",0.8,IF($H194="Average",0.6,IF($H194="Low",0.4,IF($H194="Very Low",0.2,0))))))</f>
        <v/>
      </c>
      <c r="J194" s="85" t="str">
        <f t="shared" ref="J194:J257" si="10">IF($B194="","",IF($I194&gt;20,"Critical",IF($I194&gt;15,"High",IF($I194&gt;8,"Moderate",IF($I194&gt;3,"Tolerable","Negligible")))))</f>
        <v/>
      </c>
      <c r="K194" s="86" t="str">
        <f t="shared" ref="K194:K257" si="11">IF(OR($B194="",UPPER($L194)="CLOSED"),"",COUNTIFS($L$2:$L$880,"&lt;&gt;Closed",$I$2:$I$880,"&gt;"&amp;$I194)+COUNTIFS($L$2:$L$880,"&lt;&gt;Closed",$I$2:$I$880,$I194,$N$2:$N$880,"&lt;"&amp;$N194)+COUNTIFS($L$2:$L$880,"&lt;&gt;Closed",$I$2:$I$880,$I194,$N$2:$N$880,$N194,$B$2:$B$880,"&lt;"&amp;$B194)+1)</f>
        <v/>
      </c>
      <c r="L194" s="85" t="str">
        <f>IF($B194="","",IF(IFERROR(INDEX('RAID Log'!$1:$1048576,$B194,MATCH("Status",'RAID Log'!$1:$1,0)),"")="","",IFERROR(INDEX('RAID Log'!$1:$1048576,$B194,MATCH("Status",'RAID Log'!$1:$1,0)),"")))</f>
        <v/>
      </c>
      <c r="M194" s="85" t="str">
        <f>IF($B194="","",IF(IFERROR(INDEX('RAID Log'!$1:$1048576,$B194,MATCH("RAID Owner",'RAID Log'!$1:$1,0)),"")="","",IFERROR(INDEX('RAID Log'!$1:$1048576,$B194,MATCH("RAID Owner",'RAID Log'!$1:$1,0)),"")))</f>
        <v/>
      </c>
      <c r="N194" s="87" t="str">
        <f>IF($B194="","",IF(IFERROR(INDEX('RAID Log'!$1:$1048576,$B194,MATCH("Date Raised",'RAID Log'!$1:$1,0)),"")="","",IFERROR(INDEX('RAID Log'!$1:$1048576,$B194,MATCH("Date Raised",'RAID Log'!$1:$1,0)),"")))</f>
        <v/>
      </c>
      <c r="O194" s="87" t="str">
        <f>IF($B194="","",IF(IFERROR(INDEX('RAID Log'!$1:$1048576,$B194,MATCH("Closed Date",'RAID Log'!$1:$1,0)),"")="","",IFERROR(INDEX('RAID Log'!$1:$1048576,$B194,MATCH("Closed Date",'RAID Log'!$1:$1,0)),"")))</f>
        <v/>
      </c>
      <c r="P194" s="85" t="str">
        <f>IF($B194="","",IF(IFERROR(INDEX('RAID Log'!$1:$1048576,$B194,MATCH("Mitigation Strategy",'RAID Log'!$1:$1,0)),"")="","",IFERROR(INDEX('RAID Log'!$1:$1048576,$B194,MATCH("Mitigation Strategy",'RAID Log'!$1:$1,0)),"")))</f>
        <v/>
      </c>
      <c r="Q194" s="88" t="str">
        <f>IF($B194="","",IF(IFERROR(INDEX('RAID Log'!$1:$1048576,$B194,MATCH("RAID Response/Plan",'RAID Log'!$1:$1,0)),"")="","",IFERROR(INDEX('RAID Log'!$1:$1048576,$B194,MATCH("RAID Response/Plan",'RAID Log'!$1:$1,0)),"")))</f>
        <v/>
      </c>
    </row>
    <row r="195" spans="1:17" ht="14.25" customHeight="1">
      <c r="A195" s="82" t="str">
        <f>IF($B195="","",IF(IFERROR(INDEX('RAID Log'!$1:$1048576,$B195,MATCH("RAID ID",'RAID Log'!$1:$1,0)),"")="","",IFERROR(INDEX('RAID Log'!$1:$1048576,$B195,MATCH("RAID ID",'RAID Log'!$1:$1,0)),"")))</f>
        <v/>
      </c>
      <c r="B195" s="83" t="str">
        <f>IFERROR(MATCH(ROW()-1,'RAID Log'!$S:$S,0),"")</f>
        <v/>
      </c>
      <c r="C195" s="84" t="str">
        <f>IF($B195="","",IF(IFERROR(INDEX('RAID Log'!$1:$1048576,$B195,MATCH("Description",'RAID Log'!$1:$1,0)),"")="","",IFERROR(INDEX('RAID Log'!$1:$1048576,$B195,MATCH("Description",'RAID Log'!$1:$1,0)),"")))</f>
        <v/>
      </c>
      <c r="D195" s="84" t="str">
        <f>IF($B195="","",IF(IFERROR(INDEX('RAID Log'!$1:$1048576,$B195,MATCH("Impact/Effect of the RAID",'RAID Log'!$1:$1,0)),"")="","",IFERROR(INDEX('RAID Log'!$1:$1048576,$B195,MATCH("Impact/Effect of the RAID",'RAID Log'!$1:$1,0)),"")))</f>
        <v/>
      </c>
      <c r="E195" s="85" t="str">
        <f>IF($B195="","",IF(IFERROR(INDEX('RAID Log'!$1:$1048576,$B195,MATCH("Impact Area",'RAID Log'!$1:$1,0)),"")="","",IFERROR(INDEX('RAID Log'!$1:$1048576,$B195,MATCH("Impact Area",'RAID Log'!$1:$1,0)),"")))</f>
        <v/>
      </c>
      <c r="F195" s="85" t="str">
        <f>IF($B195="","",IF(IFERROR(INDEX('RAID Log'!$1:$1048576,$B195,MATCH("Impact Area",'RAID Log'!$1:$1,0)),"")="","",IFERROR(INDEX('RAID Log'!$1:$1048576,$B195,MATCH("Impact Area",'RAID Log'!$1:$1,0)),"")))</f>
        <v/>
      </c>
      <c r="G195" s="85" t="str">
        <f>IF($B195="","",IF(IFERROR(INDEX('RAID Log'!$1:$1048576,$B195,MATCH("Impact Rating",'RAID Log'!$1:$1,0)),"")="","",IFERROR(INDEX('RAID Log'!$1:$1048576,$B195,MATCH("Impact Rating",'RAID Log'!$1:$1,0)),"")))</f>
        <v/>
      </c>
      <c r="H195" s="85" t="str">
        <f>IF($B195="","",IF(IFERROR(INDEX('RAID Log'!$1:$1048576,$B195,MATCH("Initial Probability",'RAID Log'!$1:$1,0)),"")="","",IFERROR(INDEX('RAID Log'!$1:$1048576,$B195,MATCH("Initial Probability",'RAID Log'!$1:$1,0)),"")))</f>
        <v/>
      </c>
      <c r="I195" s="86" t="str">
        <f t="shared" si="9"/>
        <v/>
      </c>
      <c r="J195" s="85" t="str">
        <f t="shared" si="10"/>
        <v/>
      </c>
      <c r="K195" s="86" t="str">
        <f t="shared" si="11"/>
        <v/>
      </c>
      <c r="L195" s="85" t="str">
        <f>IF($B195="","",IF(IFERROR(INDEX('RAID Log'!$1:$1048576,$B195,MATCH("Status",'RAID Log'!$1:$1,0)),"")="","",IFERROR(INDEX('RAID Log'!$1:$1048576,$B195,MATCH("Status",'RAID Log'!$1:$1,0)),"")))</f>
        <v/>
      </c>
      <c r="M195" s="85" t="str">
        <f>IF($B195="","",IF(IFERROR(INDEX('RAID Log'!$1:$1048576,$B195,MATCH("RAID Owner",'RAID Log'!$1:$1,0)),"")="","",IFERROR(INDEX('RAID Log'!$1:$1048576,$B195,MATCH("RAID Owner",'RAID Log'!$1:$1,0)),"")))</f>
        <v/>
      </c>
      <c r="N195" s="87" t="str">
        <f>IF($B195="","",IF(IFERROR(INDEX('RAID Log'!$1:$1048576,$B195,MATCH("Date Raised",'RAID Log'!$1:$1,0)),"")="","",IFERROR(INDEX('RAID Log'!$1:$1048576,$B195,MATCH("Date Raised",'RAID Log'!$1:$1,0)),"")))</f>
        <v/>
      </c>
      <c r="O195" s="87" t="str">
        <f>IF($B195="","",IF(IFERROR(INDEX('RAID Log'!$1:$1048576,$B195,MATCH("Closed Date",'RAID Log'!$1:$1,0)),"")="","",IFERROR(INDEX('RAID Log'!$1:$1048576,$B195,MATCH("Closed Date",'RAID Log'!$1:$1,0)),"")))</f>
        <v/>
      </c>
      <c r="P195" s="85" t="str">
        <f>IF($B195="","",IF(IFERROR(INDEX('RAID Log'!$1:$1048576,$B195,MATCH("Mitigation Strategy",'RAID Log'!$1:$1,0)),"")="","",IFERROR(INDEX('RAID Log'!$1:$1048576,$B195,MATCH("Mitigation Strategy",'RAID Log'!$1:$1,0)),"")))</f>
        <v/>
      </c>
      <c r="Q195" s="88" t="str">
        <f>IF($B195="","",IF(IFERROR(INDEX('RAID Log'!$1:$1048576,$B195,MATCH("RAID Response/Plan",'RAID Log'!$1:$1,0)),"")="","",IFERROR(INDEX('RAID Log'!$1:$1048576,$B195,MATCH("RAID Response/Plan",'RAID Log'!$1:$1,0)),"")))</f>
        <v/>
      </c>
    </row>
    <row r="196" spans="1:17" ht="14.25" customHeight="1">
      <c r="A196" s="82" t="str">
        <f>IF($B196="","",IF(IFERROR(INDEX('RAID Log'!$1:$1048576,$B196,MATCH("RAID ID",'RAID Log'!$1:$1,0)),"")="","",IFERROR(INDEX('RAID Log'!$1:$1048576,$B196,MATCH("RAID ID",'RAID Log'!$1:$1,0)),"")))</f>
        <v/>
      </c>
      <c r="B196" s="83" t="str">
        <f>IFERROR(MATCH(ROW()-1,'RAID Log'!$S:$S,0),"")</f>
        <v/>
      </c>
      <c r="C196" s="84" t="str">
        <f>IF($B196="","",IF(IFERROR(INDEX('RAID Log'!$1:$1048576,$B196,MATCH("Description",'RAID Log'!$1:$1,0)),"")="","",IFERROR(INDEX('RAID Log'!$1:$1048576,$B196,MATCH("Description",'RAID Log'!$1:$1,0)),"")))</f>
        <v/>
      </c>
      <c r="D196" s="84" t="str">
        <f>IF($B196="","",IF(IFERROR(INDEX('RAID Log'!$1:$1048576,$B196,MATCH("Impact/Effect of the RAID",'RAID Log'!$1:$1,0)),"")="","",IFERROR(INDEX('RAID Log'!$1:$1048576,$B196,MATCH("Impact/Effect of the RAID",'RAID Log'!$1:$1,0)),"")))</f>
        <v/>
      </c>
      <c r="E196" s="85" t="str">
        <f>IF($B196="","",IF(IFERROR(INDEX('RAID Log'!$1:$1048576,$B196,MATCH("Impact Area",'RAID Log'!$1:$1,0)),"")="","",IFERROR(INDEX('RAID Log'!$1:$1048576,$B196,MATCH("Impact Area",'RAID Log'!$1:$1,0)),"")))</f>
        <v/>
      </c>
      <c r="F196" s="85" t="str">
        <f>IF($B196="","",IF(IFERROR(INDEX('RAID Log'!$1:$1048576,$B196,MATCH("Impact Area",'RAID Log'!$1:$1,0)),"")="","",IFERROR(INDEX('RAID Log'!$1:$1048576,$B196,MATCH("Impact Area",'RAID Log'!$1:$1,0)),"")))</f>
        <v/>
      </c>
      <c r="G196" s="85" t="str">
        <f>IF($B196="","",IF(IFERROR(INDEX('RAID Log'!$1:$1048576,$B196,MATCH("Impact Rating",'RAID Log'!$1:$1,0)),"")="","",IFERROR(INDEX('RAID Log'!$1:$1048576,$B196,MATCH("Impact Rating",'RAID Log'!$1:$1,0)),"")))</f>
        <v/>
      </c>
      <c r="H196" s="85" t="str">
        <f>IF($B196="","",IF(IFERROR(INDEX('RAID Log'!$1:$1048576,$B196,MATCH("Initial Probability",'RAID Log'!$1:$1,0)),"")="","",IFERROR(INDEX('RAID Log'!$1:$1048576,$B196,MATCH("Initial Probability",'RAID Log'!$1:$1,0)),"")))</f>
        <v/>
      </c>
      <c r="I196" s="86" t="str">
        <f t="shared" si="9"/>
        <v/>
      </c>
      <c r="J196" s="85" t="str">
        <f t="shared" si="10"/>
        <v/>
      </c>
      <c r="K196" s="86" t="str">
        <f t="shared" si="11"/>
        <v/>
      </c>
      <c r="L196" s="85" t="str">
        <f>IF($B196="","",IF(IFERROR(INDEX('RAID Log'!$1:$1048576,$B196,MATCH("Status",'RAID Log'!$1:$1,0)),"")="","",IFERROR(INDEX('RAID Log'!$1:$1048576,$B196,MATCH("Status",'RAID Log'!$1:$1,0)),"")))</f>
        <v/>
      </c>
      <c r="M196" s="85" t="str">
        <f>IF($B196="","",IF(IFERROR(INDEX('RAID Log'!$1:$1048576,$B196,MATCH("RAID Owner",'RAID Log'!$1:$1,0)),"")="","",IFERROR(INDEX('RAID Log'!$1:$1048576,$B196,MATCH("RAID Owner",'RAID Log'!$1:$1,0)),"")))</f>
        <v/>
      </c>
      <c r="N196" s="87" t="str">
        <f>IF($B196="","",IF(IFERROR(INDEX('RAID Log'!$1:$1048576,$B196,MATCH("Date Raised",'RAID Log'!$1:$1,0)),"")="","",IFERROR(INDEX('RAID Log'!$1:$1048576,$B196,MATCH("Date Raised",'RAID Log'!$1:$1,0)),"")))</f>
        <v/>
      </c>
      <c r="O196" s="87" t="str">
        <f>IF($B196="","",IF(IFERROR(INDEX('RAID Log'!$1:$1048576,$B196,MATCH("Closed Date",'RAID Log'!$1:$1,0)),"")="","",IFERROR(INDEX('RAID Log'!$1:$1048576,$B196,MATCH("Closed Date",'RAID Log'!$1:$1,0)),"")))</f>
        <v/>
      </c>
      <c r="P196" s="85" t="str">
        <f>IF($B196="","",IF(IFERROR(INDEX('RAID Log'!$1:$1048576,$B196,MATCH("Mitigation Strategy",'RAID Log'!$1:$1,0)),"")="","",IFERROR(INDEX('RAID Log'!$1:$1048576,$B196,MATCH("Mitigation Strategy",'RAID Log'!$1:$1,0)),"")))</f>
        <v/>
      </c>
      <c r="Q196" s="88" t="str">
        <f>IF($B196="","",IF(IFERROR(INDEX('RAID Log'!$1:$1048576,$B196,MATCH("RAID Response/Plan",'RAID Log'!$1:$1,0)),"")="","",IFERROR(INDEX('RAID Log'!$1:$1048576,$B196,MATCH("RAID Response/Plan",'RAID Log'!$1:$1,0)),"")))</f>
        <v/>
      </c>
    </row>
    <row r="197" spans="1:17" ht="14.25" customHeight="1">
      <c r="A197" s="82" t="str">
        <f>IF($B197="","",IF(IFERROR(INDEX('RAID Log'!$1:$1048576,$B197,MATCH("RAID ID",'RAID Log'!$1:$1,0)),"")="","",IFERROR(INDEX('RAID Log'!$1:$1048576,$B197,MATCH("RAID ID",'RAID Log'!$1:$1,0)),"")))</f>
        <v/>
      </c>
      <c r="B197" s="83" t="str">
        <f>IFERROR(MATCH(ROW()-1,'RAID Log'!$S:$S,0),"")</f>
        <v/>
      </c>
      <c r="C197" s="84" t="str">
        <f>IF($B197="","",IF(IFERROR(INDEX('RAID Log'!$1:$1048576,$B197,MATCH("Description",'RAID Log'!$1:$1,0)),"")="","",IFERROR(INDEX('RAID Log'!$1:$1048576,$B197,MATCH("Description",'RAID Log'!$1:$1,0)),"")))</f>
        <v/>
      </c>
      <c r="D197" s="84" t="str">
        <f>IF($B197="","",IF(IFERROR(INDEX('RAID Log'!$1:$1048576,$B197,MATCH("Impact/Effect of the RAID",'RAID Log'!$1:$1,0)),"")="","",IFERROR(INDEX('RAID Log'!$1:$1048576,$B197,MATCH("Impact/Effect of the RAID",'RAID Log'!$1:$1,0)),"")))</f>
        <v/>
      </c>
      <c r="E197" s="85" t="str">
        <f>IF($B197="","",IF(IFERROR(INDEX('RAID Log'!$1:$1048576,$B197,MATCH("Impact Area",'RAID Log'!$1:$1,0)),"")="","",IFERROR(INDEX('RAID Log'!$1:$1048576,$B197,MATCH("Impact Area",'RAID Log'!$1:$1,0)),"")))</f>
        <v/>
      </c>
      <c r="F197" s="85" t="str">
        <f>IF($B197="","",IF(IFERROR(INDEX('RAID Log'!$1:$1048576,$B197,MATCH("Impact Area",'RAID Log'!$1:$1,0)),"")="","",IFERROR(INDEX('RAID Log'!$1:$1048576,$B197,MATCH("Impact Area",'RAID Log'!$1:$1,0)),"")))</f>
        <v/>
      </c>
      <c r="G197" s="85" t="str">
        <f>IF($B197="","",IF(IFERROR(INDEX('RAID Log'!$1:$1048576,$B197,MATCH("Impact Rating",'RAID Log'!$1:$1,0)),"")="","",IFERROR(INDEX('RAID Log'!$1:$1048576,$B197,MATCH("Impact Rating",'RAID Log'!$1:$1,0)),"")))</f>
        <v/>
      </c>
      <c r="H197" s="85" t="str">
        <f>IF($B197="","",IF(IFERROR(INDEX('RAID Log'!$1:$1048576,$B197,MATCH("Initial Probability",'RAID Log'!$1:$1,0)),"")="","",IFERROR(INDEX('RAID Log'!$1:$1048576,$B197,MATCH("Initial Probability",'RAID Log'!$1:$1,0)),"")))</f>
        <v/>
      </c>
      <c r="I197" s="86" t="str">
        <f t="shared" si="9"/>
        <v/>
      </c>
      <c r="J197" s="85" t="str">
        <f t="shared" si="10"/>
        <v/>
      </c>
      <c r="K197" s="86" t="str">
        <f t="shared" si="11"/>
        <v/>
      </c>
      <c r="L197" s="85" t="str">
        <f>IF($B197="","",IF(IFERROR(INDEX('RAID Log'!$1:$1048576,$B197,MATCH("Status",'RAID Log'!$1:$1,0)),"")="","",IFERROR(INDEX('RAID Log'!$1:$1048576,$B197,MATCH("Status",'RAID Log'!$1:$1,0)),"")))</f>
        <v/>
      </c>
      <c r="M197" s="85" t="str">
        <f>IF($B197="","",IF(IFERROR(INDEX('RAID Log'!$1:$1048576,$B197,MATCH("RAID Owner",'RAID Log'!$1:$1,0)),"")="","",IFERROR(INDEX('RAID Log'!$1:$1048576,$B197,MATCH("RAID Owner",'RAID Log'!$1:$1,0)),"")))</f>
        <v/>
      </c>
      <c r="N197" s="87" t="str">
        <f>IF($B197="","",IF(IFERROR(INDEX('RAID Log'!$1:$1048576,$B197,MATCH("Date Raised",'RAID Log'!$1:$1,0)),"")="","",IFERROR(INDEX('RAID Log'!$1:$1048576,$B197,MATCH("Date Raised",'RAID Log'!$1:$1,0)),"")))</f>
        <v/>
      </c>
      <c r="O197" s="87" t="str">
        <f>IF($B197="","",IF(IFERROR(INDEX('RAID Log'!$1:$1048576,$B197,MATCH("Closed Date",'RAID Log'!$1:$1,0)),"")="","",IFERROR(INDEX('RAID Log'!$1:$1048576,$B197,MATCH("Closed Date",'RAID Log'!$1:$1,0)),"")))</f>
        <v/>
      </c>
      <c r="P197" s="85" t="str">
        <f>IF($B197="","",IF(IFERROR(INDEX('RAID Log'!$1:$1048576,$B197,MATCH("Mitigation Strategy",'RAID Log'!$1:$1,0)),"")="","",IFERROR(INDEX('RAID Log'!$1:$1048576,$B197,MATCH("Mitigation Strategy",'RAID Log'!$1:$1,0)),"")))</f>
        <v/>
      </c>
      <c r="Q197" s="88" t="str">
        <f>IF($B197="","",IF(IFERROR(INDEX('RAID Log'!$1:$1048576,$B197,MATCH("RAID Response/Plan",'RAID Log'!$1:$1,0)),"")="","",IFERROR(INDEX('RAID Log'!$1:$1048576,$B197,MATCH("RAID Response/Plan",'RAID Log'!$1:$1,0)),"")))</f>
        <v/>
      </c>
    </row>
    <row r="198" spans="1:17" ht="14.25" customHeight="1">
      <c r="A198" s="82" t="str">
        <f>IF($B198="","",IF(IFERROR(INDEX('RAID Log'!$1:$1048576,$B198,MATCH("RAID ID",'RAID Log'!$1:$1,0)),"")="","",IFERROR(INDEX('RAID Log'!$1:$1048576,$B198,MATCH("RAID ID",'RAID Log'!$1:$1,0)),"")))</f>
        <v/>
      </c>
      <c r="B198" s="83" t="str">
        <f>IFERROR(MATCH(ROW()-1,'RAID Log'!$S:$S,0),"")</f>
        <v/>
      </c>
      <c r="C198" s="84" t="str">
        <f>IF($B198="","",IF(IFERROR(INDEX('RAID Log'!$1:$1048576,$B198,MATCH("Description",'RAID Log'!$1:$1,0)),"")="","",IFERROR(INDEX('RAID Log'!$1:$1048576,$B198,MATCH("Description",'RAID Log'!$1:$1,0)),"")))</f>
        <v/>
      </c>
      <c r="D198" s="84" t="str">
        <f>IF($B198="","",IF(IFERROR(INDEX('RAID Log'!$1:$1048576,$B198,MATCH("Impact/Effect of the RAID",'RAID Log'!$1:$1,0)),"")="","",IFERROR(INDEX('RAID Log'!$1:$1048576,$B198,MATCH("Impact/Effect of the RAID",'RAID Log'!$1:$1,0)),"")))</f>
        <v/>
      </c>
      <c r="E198" s="85" t="str">
        <f>IF($B198="","",IF(IFERROR(INDEX('RAID Log'!$1:$1048576,$B198,MATCH("Impact Area",'RAID Log'!$1:$1,0)),"")="","",IFERROR(INDEX('RAID Log'!$1:$1048576,$B198,MATCH("Impact Area",'RAID Log'!$1:$1,0)),"")))</f>
        <v/>
      </c>
      <c r="F198" s="85" t="str">
        <f>IF($B198="","",IF(IFERROR(INDEX('RAID Log'!$1:$1048576,$B198,MATCH("Impact Area",'RAID Log'!$1:$1,0)),"")="","",IFERROR(INDEX('RAID Log'!$1:$1048576,$B198,MATCH("Impact Area",'RAID Log'!$1:$1,0)),"")))</f>
        <v/>
      </c>
      <c r="G198" s="85" t="str">
        <f>IF($B198="","",IF(IFERROR(INDEX('RAID Log'!$1:$1048576,$B198,MATCH("Impact Rating",'RAID Log'!$1:$1,0)),"")="","",IFERROR(INDEX('RAID Log'!$1:$1048576,$B198,MATCH("Impact Rating",'RAID Log'!$1:$1,0)),"")))</f>
        <v/>
      </c>
      <c r="H198" s="85" t="str">
        <f>IF($B198="","",IF(IFERROR(INDEX('RAID Log'!$1:$1048576,$B198,MATCH("Initial Probability",'RAID Log'!$1:$1,0)),"")="","",IFERROR(INDEX('RAID Log'!$1:$1048576,$B198,MATCH("Initial Probability",'RAID Log'!$1:$1,0)),"")))</f>
        <v/>
      </c>
      <c r="I198" s="86" t="str">
        <f t="shared" si="9"/>
        <v/>
      </c>
      <c r="J198" s="85" t="str">
        <f t="shared" si="10"/>
        <v/>
      </c>
      <c r="K198" s="86" t="str">
        <f t="shared" si="11"/>
        <v/>
      </c>
      <c r="L198" s="85" t="str">
        <f>IF($B198="","",IF(IFERROR(INDEX('RAID Log'!$1:$1048576,$B198,MATCH("Status",'RAID Log'!$1:$1,0)),"")="","",IFERROR(INDEX('RAID Log'!$1:$1048576,$B198,MATCH("Status",'RAID Log'!$1:$1,0)),"")))</f>
        <v/>
      </c>
      <c r="M198" s="85" t="str">
        <f>IF($B198="","",IF(IFERROR(INDEX('RAID Log'!$1:$1048576,$B198,MATCH("RAID Owner",'RAID Log'!$1:$1,0)),"")="","",IFERROR(INDEX('RAID Log'!$1:$1048576,$B198,MATCH("RAID Owner",'RAID Log'!$1:$1,0)),"")))</f>
        <v/>
      </c>
      <c r="N198" s="87" t="str">
        <f>IF($B198="","",IF(IFERROR(INDEX('RAID Log'!$1:$1048576,$B198,MATCH("Date Raised",'RAID Log'!$1:$1,0)),"")="","",IFERROR(INDEX('RAID Log'!$1:$1048576,$B198,MATCH("Date Raised",'RAID Log'!$1:$1,0)),"")))</f>
        <v/>
      </c>
      <c r="O198" s="87" t="str">
        <f>IF($B198="","",IF(IFERROR(INDEX('RAID Log'!$1:$1048576,$B198,MATCH("Closed Date",'RAID Log'!$1:$1,0)),"")="","",IFERROR(INDEX('RAID Log'!$1:$1048576,$B198,MATCH("Closed Date",'RAID Log'!$1:$1,0)),"")))</f>
        <v/>
      </c>
      <c r="P198" s="85" t="str">
        <f>IF($B198="","",IF(IFERROR(INDEX('RAID Log'!$1:$1048576,$B198,MATCH("Mitigation Strategy",'RAID Log'!$1:$1,0)),"")="","",IFERROR(INDEX('RAID Log'!$1:$1048576,$B198,MATCH("Mitigation Strategy",'RAID Log'!$1:$1,0)),"")))</f>
        <v/>
      </c>
      <c r="Q198" s="88" t="str">
        <f>IF($B198="","",IF(IFERROR(INDEX('RAID Log'!$1:$1048576,$B198,MATCH("RAID Response/Plan",'RAID Log'!$1:$1,0)),"")="","",IFERROR(INDEX('RAID Log'!$1:$1048576,$B198,MATCH("RAID Response/Plan",'RAID Log'!$1:$1,0)),"")))</f>
        <v/>
      </c>
    </row>
    <row r="199" spans="1:17" ht="14.25" customHeight="1">
      <c r="A199" s="82" t="str">
        <f>IF($B199="","",IF(IFERROR(INDEX('RAID Log'!$1:$1048576,$B199,MATCH("RAID ID",'RAID Log'!$1:$1,0)),"")="","",IFERROR(INDEX('RAID Log'!$1:$1048576,$B199,MATCH("RAID ID",'RAID Log'!$1:$1,0)),"")))</f>
        <v/>
      </c>
      <c r="B199" s="83" t="str">
        <f>IFERROR(MATCH(ROW()-1,'RAID Log'!$S:$S,0),"")</f>
        <v/>
      </c>
      <c r="C199" s="84" t="str">
        <f>IF($B199="","",IF(IFERROR(INDEX('RAID Log'!$1:$1048576,$B199,MATCH("Description",'RAID Log'!$1:$1,0)),"")="","",IFERROR(INDEX('RAID Log'!$1:$1048576,$B199,MATCH("Description",'RAID Log'!$1:$1,0)),"")))</f>
        <v/>
      </c>
      <c r="D199" s="84" t="str">
        <f>IF($B199="","",IF(IFERROR(INDEX('RAID Log'!$1:$1048576,$B199,MATCH("Impact/Effect of the RAID",'RAID Log'!$1:$1,0)),"")="","",IFERROR(INDEX('RAID Log'!$1:$1048576,$B199,MATCH("Impact/Effect of the RAID",'RAID Log'!$1:$1,0)),"")))</f>
        <v/>
      </c>
      <c r="E199" s="85" t="str">
        <f>IF($B199="","",IF(IFERROR(INDEX('RAID Log'!$1:$1048576,$B199,MATCH("Impact Area",'RAID Log'!$1:$1,0)),"")="","",IFERROR(INDEX('RAID Log'!$1:$1048576,$B199,MATCH("Impact Area",'RAID Log'!$1:$1,0)),"")))</f>
        <v/>
      </c>
      <c r="F199" s="85" t="str">
        <f>IF($B199="","",IF(IFERROR(INDEX('RAID Log'!$1:$1048576,$B199,MATCH("Impact Area",'RAID Log'!$1:$1,0)),"")="","",IFERROR(INDEX('RAID Log'!$1:$1048576,$B199,MATCH("Impact Area",'RAID Log'!$1:$1,0)),"")))</f>
        <v/>
      </c>
      <c r="G199" s="85" t="str">
        <f>IF($B199="","",IF(IFERROR(INDEX('RAID Log'!$1:$1048576,$B199,MATCH("Impact Rating",'RAID Log'!$1:$1,0)),"")="","",IFERROR(INDEX('RAID Log'!$1:$1048576,$B199,MATCH("Impact Rating",'RAID Log'!$1:$1,0)),"")))</f>
        <v/>
      </c>
      <c r="H199" s="85" t="str">
        <f>IF($B199="","",IF(IFERROR(INDEX('RAID Log'!$1:$1048576,$B199,MATCH("Initial Probability",'RAID Log'!$1:$1,0)),"")="","",IFERROR(INDEX('RAID Log'!$1:$1048576,$B199,MATCH("Initial Probability",'RAID Log'!$1:$1,0)),"")))</f>
        <v/>
      </c>
      <c r="I199" s="86" t="str">
        <f t="shared" si="9"/>
        <v/>
      </c>
      <c r="J199" s="85" t="str">
        <f t="shared" si="10"/>
        <v/>
      </c>
      <c r="K199" s="86" t="str">
        <f t="shared" si="11"/>
        <v/>
      </c>
      <c r="L199" s="85" t="str">
        <f>IF($B199="","",IF(IFERROR(INDEX('RAID Log'!$1:$1048576,$B199,MATCH("Status",'RAID Log'!$1:$1,0)),"")="","",IFERROR(INDEX('RAID Log'!$1:$1048576,$B199,MATCH("Status",'RAID Log'!$1:$1,0)),"")))</f>
        <v/>
      </c>
      <c r="M199" s="85" t="str">
        <f>IF($B199="","",IF(IFERROR(INDEX('RAID Log'!$1:$1048576,$B199,MATCH("RAID Owner",'RAID Log'!$1:$1,0)),"")="","",IFERROR(INDEX('RAID Log'!$1:$1048576,$B199,MATCH("RAID Owner",'RAID Log'!$1:$1,0)),"")))</f>
        <v/>
      </c>
      <c r="N199" s="87" t="str">
        <f>IF($B199="","",IF(IFERROR(INDEX('RAID Log'!$1:$1048576,$B199,MATCH("Date Raised",'RAID Log'!$1:$1,0)),"")="","",IFERROR(INDEX('RAID Log'!$1:$1048576,$B199,MATCH("Date Raised",'RAID Log'!$1:$1,0)),"")))</f>
        <v/>
      </c>
      <c r="O199" s="87" t="str">
        <f>IF($B199="","",IF(IFERROR(INDEX('RAID Log'!$1:$1048576,$B199,MATCH("Closed Date",'RAID Log'!$1:$1,0)),"")="","",IFERROR(INDEX('RAID Log'!$1:$1048576,$B199,MATCH("Closed Date",'RAID Log'!$1:$1,0)),"")))</f>
        <v/>
      </c>
      <c r="P199" s="85" t="str">
        <f>IF($B199="","",IF(IFERROR(INDEX('RAID Log'!$1:$1048576,$B199,MATCH("Mitigation Strategy",'RAID Log'!$1:$1,0)),"")="","",IFERROR(INDEX('RAID Log'!$1:$1048576,$B199,MATCH("Mitigation Strategy",'RAID Log'!$1:$1,0)),"")))</f>
        <v/>
      </c>
      <c r="Q199" s="88" t="str">
        <f>IF($B199="","",IF(IFERROR(INDEX('RAID Log'!$1:$1048576,$B199,MATCH("RAID Response/Plan",'RAID Log'!$1:$1,0)),"")="","",IFERROR(INDEX('RAID Log'!$1:$1048576,$B199,MATCH("RAID Response/Plan",'RAID Log'!$1:$1,0)),"")))</f>
        <v/>
      </c>
    </row>
    <row r="200" spans="1:17" ht="14.25" customHeight="1">
      <c r="A200" s="82" t="str">
        <f>IF($B200="","",IF(IFERROR(INDEX('RAID Log'!$1:$1048576,$B200,MATCH("RAID ID",'RAID Log'!$1:$1,0)),"")="","",IFERROR(INDEX('RAID Log'!$1:$1048576,$B200,MATCH("RAID ID",'RAID Log'!$1:$1,0)),"")))</f>
        <v/>
      </c>
      <c r="B200" s="83" t="str">
        <f>IFERROR(MATCH(ROW()-1,'RAID Log'!$S:$S,0),"")</f>
        <v/>
      </c>
      <c r="C200" s="84" t="str">
        <f>IF($B200="","",IF(IFERROR(INDEX('RAID Log'!$1:$1048576,$B200,MATCH("Description",'RAID Log'!$1:$1,0)),"")="","",IFERROR(INDEX('RAID Log'!$1:$1048576,$B200,MATCH("Description",'RAID Log'!$1:$1,0)),"")))</f>
        <v/>
      </c>
      <c r="D200" s="84" t="str">
        <f>IF($B200="","",IF(IFERROR(INDEX('RAID Log'!$1:$1048576,$B200,MATCH("Impact/Effect of the RAID",'RAID Log'!$1:$1,0)),"")="","",IFERROR(INDEX('RAID Log'!$1:$1048576,$B200,MATCH("Impact/Effect of the RAID",'RAID Log'!$1:$1,0)),"")))</f>
        <v/>
      </c>
      <c r="E200" s="85" t="str">
        <f>IF($B200="","",IF(IFERROR(INDEX('RAID Log'!$1:$1048576,$B200,MATCH("Impact Area",'RAID Log'!$1:$1,0)),"")="","",IFERROR(INDEX('RAID Log'!$1:$1048576,$B200,MATCH("Impact Area",'RAID Log'!$1:$1,0)),"")))</f>
        <v/>
      </c>
      <c r="F200" s="85" t="str">
        <f>IF($B200="","",IF(IFERROR(INDEX('RAID Log'!$1:$1048576,$B200,MATCH("Impact Area",'RAID Log'!$1:$1,0)),"")="","",IFERROR(INDEX('RAID Log'!$1:$1048576,$B200,MATCH("Impact Area",'RAID Log'!$1:$1,0)),"")))</f>
        <v/>
      </c>
      <c r="G200" s="85" t="str">
        <f>IF($B200="","",IF(IFERROR(INDEX('RAID Log'!$1:$1048576,$B200,MATCH("Impact Rating",'RAID Log'!$1:$1,0)),"")="","",IFERROR(INDEX('RAID Log'!$1:$1048576,$B200,MATCH("Impact Rating",'RAID Log'!$1:$1,0)),"")))</f>
        <v/>
      </c>
      <c r="H200" s="85" t="str">
        <f>IF($B200="","",IF(IFERROR(INDEX('RAID Log'!$1:$1048576,$B200,MATCH("Initial Probability",'RAID Log'!$1:$1,0)),"")="","",IFERROR(INDEX('RAID Log'!$1:$1048576,$B200,MATCH("Initial Probability",'RAID Log'!$1:$1,0)),"")))</f>
        <v/>
      </c>
      <c r="I200" s="86" t="str">
        <f t="shared" si="9"/>
        <v/>
      </c>
      <c r="J200" s="85" t="str">
        <f t="shared" si="10"/>
        <v/>
      </c>
      <c r="K200" s="86" t="str">
        <f t="shared" si="11"/>
        <v/>
      </c>
      <c r="L200" s="85" t="str">
        <f>IF($B200="","",IF(IFERROR(INDEX('RAID Log'!$1:$1048576,$B200,MATCH("Status",'RAID Log'!$1:$1,0)),"")="","",IFERROR(INDEX('RAID Log'!$1:$1048576,$B200,MATCH("Status",'RAID Log'!$1:$1,0)),"")))</f>
        <v/>
      </c>
      <c r="M200" s="85" t="str">
        <f>IF($B200="","",IF(IFERROR(INDEX('RAID Log'!$1:$1048576,$B200,MATCH("RAID Owner",'RAID Log'!$1:$1,0)),"")="","",IFERROR(INDEX('RAID Log'!$1:$1048576,$B200,MATCH("RAID Owner",'RAID Log'!$1:$1,0)),"")))</f>
        <v/>
      </c>
      <c r="N200" s="87" t="str">
        <f>IF($B200="","",IF(IFERROR(INDEX('RAID Log'!$1:$1048576,$B200,MATCH("Date Raised",'RAID Log'!$1:$1,0)),"")="","",IFERROR(INDEX('RAID Log'!$1:$1048576,$B200,MATCH("Date Raised",'RAID Log'!$1:$1,0)),"")))</f>
        <v/>
      </c>
      <c r="O200" s="87" t="str">
        <f>IF($B200="","",IF(IFERROR(INDEX('RAID Log'!$1:$1048576,$B200,MATCH("Closed Date",'RAID Log'!$1:$1,0)),"")="","",IFERROR(INDEX('RAID Log'!$1:$1048576,$B200,MATCH("Closed Date",'RAID Log'!$1:$1,0)),"")))</f>
        <v/>
      </c>
      <c r="P200" s="85" t="str">
        <f>IF($B200="","",IF(IFERROR(INDEX('RAID Log'!$1:$1048576,$B200,MATCH("Mitigation Strategy",'RAID Log'!$1:$1,0)),"")="","",IFERROR(INDEX('RAID Log'!$1:$1048576,$B200,MATCH("Mitigation Strategy",'RAID Log'!$1:$1,0)),"")))</f>
        <v/>
      </c>
      <c r="Q200" s="88" t="str">
        <f>IF($B200="","",IF(IFERROR(INDEX('RAID Log'!$1:$1048576,$B200,MATCH("RAID Response/Plan",'RAID Log'!$1:$1,0)),"")="","",IFERROR(INDEX('RAID Log'!$1:$1048576,$B200,MATCH("RAID Response/Plan",'RAID Log'!$1:$1,0)),"")))</f>
        <v/>
      </c>
    </row>
    <row r="201" spans="1:17" ht="14.25" customHeight="1">
      <c r="A201" s="82" t="str">
        <f>IF($B201="","",IF(IFERROR(INDEX('RAID Log'!$1:$1048576,$B201,MATCH("RAID ID",'RAID Log'!$1:$1,0)),"")="","",IFERROR(INDEX('RAID Log'!$1:$1048576,$B201,MATCH("RAID ID",'RAID Log'!$1:$1,0)),"")))</f>
        <v/>
      </c>
      <c r="B201" s="83" t="str">
        <f>IFERROR(MATCH(ROW()-1,'RAID Log'!$S:$S,0),"")</f>
        <v/>
      </c>
      <c r="C201" s="84" t="str">
        <f>IF($B201="","",IF(IFERROR(INDEX('RAID Log'!$1:$1048576,$B201,MATCH("Description",'RAID Log'!$1:$1,0)),"")="","",IFERROR(INDEX('RAID Log'!$1:$1048576,$B201,MATCH("Description",'RAID Log'!$1:$1,0)),"")))</f>
        <v/>
      </c>
      <c r="D201" s="84" t="str">
        <f>IF($B201="","",IF(IFERROR(INDEX('RAID Log'!$1:$1048576,$B201,MATCH("Impact/Effect of the RAID",'RAID Log'!$1:$1,0)),"")="","",IFERROR(INDEX('RAID Log'!$1:$1048576,$B201,MATCH("Impact/Effect of the RAID",'RAID Log'!$1:$1,0)),"")))</f>
        <v/>
      </c>
      <c r="E201" s="85" t="str">
        <f>IF($B201="","",IF(IFERROR(INDEX('RAID Log'!$1:$1048576,$B201,MATCH("Impact Area",'RAID Log'!$1:$1,0)),"")="","",IFERROR(INDEX('RAID Log'!$1:$1048576,$B201,MATCH("Impact Area",'RAID Log'!$1:$1,0)),"")))</f>
        <v/>
      </c>
      <c r="F201" s="85" t="str">
        <f>IF($B201="","",IF(IFERROR(INDEX('RAID Log'!$1:$1048576,$B201,MATCH("Impact Area",'RAID Log'!$1:$1,0)),"")="","",IFERROR(INDEX('RAID Log'!$1:$1048576,$B201,MATCH("Impact Area",'RAID Log'!$1:$1,0)),"")))</f>
        <v/>
      </c>
      <c r="G201" s="85" t="str">
        <f>IF($B201="","",IF(IFERROR(INDEX('RAID Log'!$1:$1048576,$B201,MATCH("Impact Rating",'RAID Log'!$1:$1,0)),"")="","",IFERROR(INDEX('RAID Log'!$1:$1048576,$B201,MATCH("Impact Rating",'RAID Log'!$1:$1,0)),"")))</f>
        <v/>
      </c>
      <c r="H201" s="85" t="str">
        <f>IF($B201="","",IF(IFERROR(INDEX('RAID Log'!$1:$1048576,$B201,MATCH("Initial Probability",'RAID Log'!$1:$1,0)),"")="","",IFERROR(INDEX('RAID Log'!$1:$1048576,$B201,MATCH("Initial Probability",'RAID Log'!$1:$1,0)),"")))</f>
        <v/>
      </c>
      <c r="I201" s="86" t="str">
        <f t="shared" si="9"/>
        <v/>
      </c>
      <c r="J201" s="85" t="str">
        <f t="shared" si="10"/>
        <v/>
      </c>
      <c r="K201" s="86" t="str">
        <f t="shared" si="11"/>
        <v/>
      </c>
      <c r="L201" s="85" t="str">
        <f>IF($B201="","",IF(IFERROR(INDEX('RAID Log'!$1:$1048576,$B201,MATCH("Status",'RAID Log'!$1:$1,0)),"")="","",IFERROR(INDEX('RAID Log'!$1:$1048576,$B201,MATCH("Status",'RAID Log'!$1:$1,0)),"")))</f>
        <v/>
      </c>
      <c r="M201" s="85" t="str">
        <f>IF($B201="","",IF(IFERROR(INDEX('RAID Log'!$1:$1048576,$B201,MATCH("RAID Owner",'RAID Log'!$1:$1,0)),"")="","",IFERROR(INDEX('RAID Log'!$1:$1048576,$B201,MATCH("RAID Owner",'RAID Log'!$1:$1,0)),"")))</f>
        <v/>
      </c>
      <c r="N201" s="87" t="str">
        <f>IF($B201="","",IF(IFERROR(INDEX('RAID Log'!$1:$1048576,$B201,MATCH("Date Raised",'RAID Log'!$1:$1,0)),"")="","",IFERROR(INDEX('RAID Log'!$1:$1048576,$B201,MATCH("Date Raised",'RAID Log'!$1:$1,0)),"")))</f>
        <v/>
      </c>
      <c r="O201" s="87" t="str">
        <f>IF($B201="","",IF(IFERROR(INDEX('RAID Log'!$1:$1048576,$B201,MATCH("Closed Date",'RAID Log'!$1:$1,0)),"")="","",IFERROR(INDEX('RAID Log'!$1:$1048576,$B201,MATCH("Closed Date",'RAID Log'!$1:$1,0)),"")))</f>
        <v/>
      </c>
      <c r="P201" s="85" t="str">
        <f>IF($B201="","",IF(IFERROR(INDEX('RAID Log'!$1:$1048576,$B201,MATCH("Mitigation Strategy",'RAID Log'!$1:$1,0)),"")="","",IFERROR(INDEX('RAID Log'!$1:$1048576,$B201,MATCH("Mitigation Strategy",'RAID Log'!$1:$1,0)),"")))</f>
        <v/>
      </c>
      <c r="Q201" s="88" t="str">
        <f>IF($B201="","",IF(IFERROR(INDEX('RAID Log'!$1:$1048576,$B201,MATCH("RAID Response/Plan",'RAID Log'!$1:$1,0)),"")="","",IFERROR(INDEX('RAID Log'!$1:$1048576,$B201,MATCH("RAID Response/Plan",'RAID Log'!$1:$1,0)),"")))</f>
        <v/>
      </c>
    </row>
    <row r="202" spans="1:17" ht="14.25" customHeight="1">
      <c r="A202" s="82" t="str">
        <f>IF($B202="","",IF(IFERROR(INDEX('RAID Log'!$1:$1048576,$B202,MATCH("RAID ID",'RAID Log'!$1:$1,0)),"")="","",IFERROR(INDEX('RAID Log'!$1:$1048576,$B202,MATCH("RAID ID",'RAID Log'!$1:$1,0)),"")))</f>
        <v/>
      </c>
      <c r="B202" s="83" t="str">
        <f>IFERROR(MATCH(ROW()-1,'RAID Log'!$S:$S,0),"")</f>
        <v/>
      </c>
      <c r="C202" s="84" t="str">
        <f>IF($B202="","",IF(IFERROR(INDEX('RAID Log'!$1:$1048576,$B202,MATCH("Description",'RAID Log'!$1:$1,0)),"")="","",IFERROR(INDEX('RAID Log'!$1:$1048576,$B202,MATCH("Description",'RAID Log'!$1:$1,0)),"")))</f>
        <v/>
      </c>
      <c r="D202" s="84" t="str">
        <f>IF($B202="","",IF(IFERROR(INDEX('RAID Log'!$1:$1048576,$B202,MATCH("Impact/Effect of the RAID",'RAID Log'!$1:$1,0)),"")="","",IFERROR(INDEX('RAID Log'!$1:$1048576,$B202,MATCH("Impact/Effect of the RAID",'RAID Log'!$1:$1,0)),"")))</f>
        <v/>
      </c>
      <c r="E202" s="85" t="str">
        <f>IF($B202="","",IF(IFERROR(INDEX('RAID Log'!$1:$1048576,$B202,MATCH("Impact Area",'RAID Log'!$1:$1,0)),"")="","",IFERROR(INDEX('RAID Log'!$1:$1048576,$B202,MATCH("Impact Area",'RAID Log'!$1:$1,0)),"")))</f>
        <v/>
      </c>
      <c r="F202" s="85" t="str">
        <f>IF($B202="","",IF(IFERROR(INDEX('RAID Log'!$1:$1048576,$B202,MATCH("Impact Area",'RAID Log'!$1:$1,0)),"")="","",IFERROR(INDEX('RAID Log'!$1:$1048576,$B202,MATCH("Impact Area",'RAID Log'!$1:$1,0)),"")))</f>
        <v/>
      </c>
      <c r="G202" s="85" t="str">
        <f>IF($B202="","",IF(IFERROR(INDEX('RAID Log'!$1:$1048576,$B202,MATCH("Impact Rating",'RAID Log'!$1:$1,0)),"")="","",IFERROR(INDEX('RAID Log'!$1:$1048576,$B202,MATCH("Impact Rating",'RAID Log'!$1:$1,0)),"")))</f>
        <v/>
      </c>
      <c r="H202" s="85" t="str">
        <f>IF($B202="","",IF(IFERROR(INDEX('RAID Log'!$1:$1048576,$B202,MATCH("Initial Probability",'RAID Log'!$1:$1,0)),"")="","",IFERROR(INDEX('RAID Log'!$1:$1048576,$B202,MATCH("Initial Probability",'RAID Log'!$1:$1,0)),"")))</f>
        <v/>
      </c>
      <c r="I202" s="86" t="str">
        <f t="shared" si="9"/>
        <v/>
      </c>
      <c r="J202" s="85" t="str">
        <f t="shared" si="10"/>
        <v/>
      </c>
      <c r="K202" s="86" t="str">
        <f t="shared" si="11"/>
        <v/>
      </c>
      <c r="L202" s="85" t="str">
        <f>IF($B202="","",IF(IFERROR(INDEX('RAID Log'!$1:$1048576,$B202,MATCH("Status",'RAID Log'!$1:$1,0)),"")="","",IFERROR(INDEX('RAID Log'!$1:$1048576,$B202,MATCH("Status",'RAID Log'!$1:$1,0)),"")))</f>
        <v/>
      </c>
      <c r="M202" s="85" t="str">
        <f>IF($B202="","",IF(IFERROR(INDEX('RAID Log'!$1:$1048576,$B202,MATCH("RAID Owner",'RAID Log'!$1:$1,0)),"")="","",IFERROR(INDEX('RAID Log'!$1:$1048576,$B202,MATCH("RAID Owner",'RAID Log'!$1:$1,0)),"")))</f>
        <v/>
      </c>
      <c r="N202" s="87" t="str">
        <f>IF($B202="","",IF(IFERROR(INDEX('RAID Log'!$1:$1048576,$B202,MATCH("Date Raised",'RAID Log'!$1:$1,0)),"")="","",IFERROR(INDEX('RAID Log'!$1:$1048576,$B202,MATCH("Date Raised",'RAID Log'!$1:$1,0)),"")))</f>
        <v/>
      </c>
      <c r="O202" s="87" t="str">
        <f>IF($B202="","",IF(IFERROR(INDEX('RAID Log'!$1:$1048576,$B202,MATCH("Closed Date",'RAID Log'!$1:$1,0)),"")="","",IFERROR(INDEX('RAID Log'!$1:$1048576,$B202,MATCH("Closed Date",'RAID Log'!$1:$1,0)),"")))</f>
        <v/>
      </c>
      <c r="P202" s="85" t="str">
        <f>IF($B202="","",IF(IFERROR(INDEX('RAID Log'!$1:$1048576,$B202,MATCH("Mitigation Strategy",'RAID Log'!$1:$1,0)),"")="","",IFERROR(INDEX('RAID Log'!$1:$1048576,$B202,MATCH("Mitigation Strategy",'RAID Log'!$1:$1,0)),"")))</f>
        <v/>
      </c>
      <c r="Q202" s="88" t="str">
        <f>IF($B202="","",IF(IFERROR(INDEX('RAID Log'!$1:$1048576,$B202,MATCH("RAID Response/Plan",'RAID Log'!$1:$1,0)),"")="","",IFERROR(INDEX('RAID Log'!$1:$1048576,$B202,MATCH("RAID Response/Plan",'RAID Log'!$1:$1,0)),"")))</f>
        <v/>
      </c>
    </row>
    <row r="203" spans="1:17" ht="14.25" customHeight="1">
      <c r="A203" s="82" t="str">
        <f>IF($B203="","",IF(IFERROR(INDEX('RAID Log'!$1:$1048576,$B203,MATCH("RAID ID",'RAID Log'!$1:$1,0)),"")="","",IFERROR(INDEX('RAID Log'!$1:$1048576,$B203,MATCH("RAID ID",'RAID Log'!$1:$1,0)),"")))</f>
        <v/>
      </c>
      <c r="B203" s="83" t="str">
        <f>IFERROR(MATCH(ROW()-1,'RAID Log'!$S:$S,0),"")</f>
        <v/>
      </c>
      <c r="C203" s="84" t="str">
        <f>IF($B203="","",IF(IFERROR(INDEX('RAID Log'!$1:$1048576,$B203,MATCH("Description",'RAID Log'!$1:$1,0)),"")="","",IFERROR(INDEX('RAID Log'!$1:$1048576,$B203,MATCH("Description",'RAID Log'!$1:$1,0)),"")))</f>
        <v/>
      </c>
      <c r="D203" s="84" t="str">
        <f>IF($B203="","",IF(IFERROR(INDEX('RAID Log'!$1:$1048576,$B203,MATCH("Impact/Effect of the RAID",'RAID Log'!$1:$1,0)),"")="","",IFERROR(INDEX('RAID Log'!$1:$1048576,$B203,MATCH("Impact/Effect of the RAID",'RAID Log'!$1:$1,0)),"")))</f>
        <v/>
      </c>
      <c r="E203" s="85" t="str">
        <f>IF($B203="","",IF(IFERROR(INDEX('RAID Log'!$1:$1048576,$B203,MATCH("Impact Area",'RAID Log'!$1:$1,0)),"")="","",IFERROR(INDEX('RAID Log'!$1:$1048576,$B203,MATCH("Impact Area",'RAID Log'!$1:$1,0)),"")))</f>
        <v/>
      </c>
      <c r="F203" s="85" t="str">
        <f>IF($B203="","",IF(IFERROR(INDEX('RAID Log'!$1:$1048576,$B203,MATCH("Impact Area",'RAID Log'!$1:$1,0)),"")="","",IFERROR(INDEX('RAID Log'!$1:$1048576,$B203,MATCH("Impact Area",'RAID Log'!$1:$1,0)),"")))</f>
        <v/>
      </c>
      <c r="G203" s="85" t="str">
        <f>IF($B203="","",IF(IFERROR(INDEX('RAID Log'!$1:$1048576,$B203,MATCH("Impact Rating",'RAID Log'!$1:$1,0)),"")="","",IFERROR(INDEX('RAID Log'!$1:$1048576,$B203,MATCH("Impact Rating",'RAID Log'!$1:$1,0)),"")))</f>
        <v/>
      </c>
      <c r="H203" s="85" t="str">
        <f>IF($B203="","",IF(IFERROR(INDEX('RAID Log'!$1:$1048576,$B203,MATCH("Initial Probability",'RAID Log'!$1:$1,0)),"")="","",IFERROR(INDEX('RAID Log'!$1:$1048576,$B203,MATCH("Initial Probability",'RAID Log'!$1:$1,0)),"")))</f>
        <v/>
      </c>
      <c r="I203" s="86" t="str">
        <f t="shared" si="9"/>
        <v/>
      </c>
      <c r="J203" s="85" t="str">
        <f t="shared" si="10"/>
        <v/>
      </c>
      <c r="K203" s="86" t="str">
        <f t="shared" si="11"/>
        <v/>
      </c>
      <c r="L203" s="85" t="str">
        <f>IF($B203="","",IF(IFERROR(INDEX('RAID Log'!$1:$1048576,$B203,MATCH("Status",'RAID Log'!$1:$1,0)),"")="","",IFERROR(INDEX('RAID Log'!$1:$1048576,$B203,MATCH("Status",'RAID Log'!$1:$1,0)),"")))</f>
        <v/>
      </c>
      <c r="M203" s="85" t="str">
        <f>IF($B203="","",IF(IFERROR(INDEX('RAID Log'!$1:$1048576,$B203,MATCH("RAID Owner",'RAID Log'!$1:$1,0)),"")="","",IFERROR(INDEX('RAID Log'!$1:$1048576,$B203,MATCH("RAID Owner",'RAID Log'!$1:$1,0)),"")))</f>
        <v/>
      </c>
      <c r="N203" s="87" t="str">
        <f>IF($B203="","",IF(IFERROR(INDEX('RAID Log'!$1:$1048576,$B203,MATCH("Date Raised",'RAID Log'!$1:$1,0)),"")="","",IFERROR(INDEX('RAID Log'!$1:$1048576,$B203,MATCH("Date Raised",'RAID Log'!$1:$1,0)),"")))</f>
        <v/>
      </c>
      <c r="O203" s="87" t="str">
        <f>IF($B203="","",IF(IFERROR(INDEX('RAID Log'!$1:$1048576,$B203,MATCH("Closed Date",'RAID Log'!$1:$1,0)),"")="","",IFERROR(INDEX('RAID Log'!$1:$1048576,$B203,MATCH("Closed Date",'RAID Log'!$1:$1,0)),"")))</f>
        <v/>
      </c>
      <c r="P203" s="85" t="str">
        <f>IF($B203="","",IF(IFERROR(INDEX('RAID Log'!$1:$1048576,$B203,MATCH("Mitigation Strategy",'RAID Log'!$1:$1,0)),"")="","",IFERROR(INDEX('RAID Log'!$1:$1048576,$B203,MATCH("Mitigation Strategy",'RAID Log'!$1:$1,0)),"")))</f>
        <v/>
      </c>
      <c r="Q203" s="88" t="str">
        <f>IF($B203="","",IF(IFERROR(INDEX('RAID Log'!$1:$1048576,$B203,MATCH("RAID Response/Plan",'RAID Log'!$1:$1,0)),"")="","",IFERROR(INDEX('RAID Log'!$1:$1048576,$B203,MATCH("RAID Response/Plan",'RAID Log'!$1:$1,0)),"")))</f>
        <v/>
      </c>
    </row>
    <row r="204" spans="1:17" ht="14.25" customHeight="1">
      <c r="A204" s="82" t="str">
        <f>IF($B204="","",IF(IFERROR(INDEX('RAID Log'!$1:$1048576,$B204,MATCH("RAID ID",'RAID Log'!$1:$1,0)),"")="","",IFERROR(INDEX('RAID Log'!$1:$1048576,$B204,MATCH("RAID ID",'RAID Log'!$1:$1,0)),"")))</f>
        <v/>
      </c>
      <c r="B204" s="83" t="str">
        <f>IFERROR(MATCH(ROW()-1,'RAID Log'!$S:$S,0),"")</f>
        <v/>
      </c>
      <c r="C204" s="84" t="str">
        <f>IF($B204="","",IF(IFERROR(INDEX('RAID Log'!$1:$1048576,$B204,MATCH("Description",'RAID Log'!$1:$1,0)),"")="","",IFERROR(INDEX('RAID Log'!$1:$1048576,$B204,MATCH("Description",'RAID Log'!$1:$1,0)),"")))</f>
        <v/>
      </c>
      <c r="D204" s="84" t="str">
        <f>IF($B204="","",IF(IFERROR(INDEX('RAID Log'!$1:$1048576,$B204,MATCH("Impact/Effect of the RAID",'RAID Log'!$1:$1,0)),"")="","",IFERROR(INDEX('RAID Log'!$1:$1048576,$B204,MATCH("Impact/Effect of the RAID",'RAID Log'!$1:$1,0)),"")))</f>
        <v/>
      </c>
      <c r="E204" s="85" t="str">
        <f>IF($B204="","",IF(IFERROR(INDEX('RAID Log'!$1:$1048576,$B204,MATCH("Impact Area",'RAID Log'!$1:$1,0)),"")="","",IFERROR(INDEX('RAID Log'!$1:$1048576,$B204,MATCH("Impact Area",'RAID Log'!$1:$1,0)),"")))</f>
        <v/>
      </c>
      <c r="F204" s="85" t="str">
        <f>IF($B204="","",IF(IFERROR(INDEX('RAID Log'!$1:$1048576,$B204,MATCH("Impact Area",'RAID Log'!$1:$1,0)),"")="","",IFERROR(INDEX('RAID Log'!$1:$1048576,$B204,MATCH("Impact Area",'RAID Log'!$1:$1,0)),"")))</f>
        <v/>
      </c>
      <c r="G204" s="85" t="str">
        <f>IF($B204="","",IF(IFERROR(INDEX('RAID Log'!$1:$1048576,$B204,MATCH("Impact Rating",'RAID Log'!$1:$1,0)),"")="","",IFERROR(INDEX('RAID Log'!$1:$1048576,$B204,MATCH("Impact Rating",'RAID Log'!$1:$1,0)),"")))</f>
        <v/>
      </c>
      <c r="H204" s="85" t="str">
        <f>IF($B204="","",IF(IFERROR(INDEX('RAID Log'!$1:$1048576,$B204,MATCH("Initial Probability",'RAID Log'!$1:$1,0)),"")="","",IFERROR(INDEX('RAID Log'!$1:$1048576,$B204,MATCH("Initial Probability",'RAID Log'!$1:$1,0)),"")))</f>
        <v/>
      </c>
      <c r="I204" s="86" t="str">
        <f t="shared" si="9"/>
        <v/>
      </c>
      <c r="J204" s="85" t="str">
        <f t="shared" si="10"/>
        <v/>
      </c>
      <c r="K204" s="86" t="str">
        <f t="shared" si="11"/>
        <v/>
      </c>
      <c r="L204" s="85" t="str">
        <f>IF($B204="","",IF(IFERROR(INDEX('RAID Log'!$1:$1048576,$B204,MATCH("Status",'RAID Log'!$1:$1,0)),"")="","",IFERROR(INDEX('RAID Log'!$1:$1048576,$B204,MATCH("Status",'RAID Log'!$1:$1,0)),"")))</f>
        <v/>
      </c>
      <c r="M204" s="85" t="str">
        <f>IF($B204="","",IF(IFERROR(INDEX('RAID Log'!$1:$1048576,$B204,MATCH("RAID Owner",'RAID Log'!$1:$1,0)),"")="","",IFERROR(INDEX('RAID Log'!$1:$1048576,$B204,MATCH("RAID Owner",'RAID Log'!$1:$1,0)),"")))</f>
        <v/>
      </c>
      <c r="N204" s="87" t="str">
        <f>IF($B204="","",IF(IFERROR(INDEX('RAID Log'!$1:$1048576,$B204,MATCH("Date Raised",'RAID Log'!$1:$1,0)),"")="","",IFERROR(INDEX('RAID Log'!$1:$1048576,$B204,MATCH("Date Raised",'RAID Log'!$1:$1,0)),"")))</f>
        <v/>
      </c>
      <c r="O204" s="87" t="str">
        <f>IF($B204="","",IF(IFERROR(INDEX('RAID Log'!$1:$1048576,$B204,MATCH("Closed Date",'RAID Log'!$1:$1,0)),"")="","",IFERROR(INDEX('RAID Log'!$1:$1048576,$B204,MATCH("Closed Date",'RAID Log'!$1:$1,0)),"")))</f>
        <v/>
      </c>
      <c r="P204" s="85" t="str">
        <f>IF($B204="","",IF(IFERROR(INDEX('RAID Log'!$1:$1048576,$B204,MATCH("Mitigation Strategy",'RAID Log'!$1:$1,0)),"")="","",IFERROR(INDEX('RAID Log'!$1:$1048576,$B204,MATCH("Mitigation Strategy",'RAID Log'!$1:$1,0)),"")))</f>
        <v/>
      </c>
      <c r="Q204" s="88" t="str">
        <f>IF($B204="","",IF(IFERROR(INDEX('RAID Log'!$1:$1048576,$B204,MATCH("RAID Response/Plan",'RAID Log'!$1:$1,0)),"")="","",IFERROR(INDEX('RAID Log'!$1:$1048576,$B204,MATCH("RAID Response/Plan",'RAID Log'!$1:$1,0)),"")))</f>
        <v/>
      </c>
    </row>
    <row r="205" spans="1:17" ht="14.25" customHeight="1">
      <c r="A205" s="82" t="str">
        <f>IF($B205="","",IF(IFERROR(INDEX('RAID Log'!$1:$1048576,$B205,MATCH("RAID ID",'RAID Log'!$1:$1,0)),"")="","",IFERROR(INDEX('RAID Log'!$1:$1048576,$B205,MATCH("RAID ID",'RAID Log'!$1:$1,0)),"")))</f>
        <v/>
      </c>
      <c r="B205" s="83" t="str">
        <f>IFERROR(MATCH(ROW()-1,'RAID Log'!$S:$S,0),"")</f>
        <v/>
      </c>
      <c r="C205" s="84" t="str">
        <f>IF($B205="","",IF(IFERROR(INDEX('RAID Log'!$1:$1048576,$B205,MATCH("Description",'RAID Log'!$1:$1,0)),"")="","",IFERROR(INDEX('RAID Log'!$1:$1048576,$B205,MATCH("Description",'RAID Log'!$1:$1,0)),"")))</f>
        <v/>
      </c>
      <c r="D205" s="84" t="str">
        <f>IF($B205="","",IF(IFERROR(INDEX('RAID Log'!$1:$1048576,$B205,MATCH("Impact/Effect of the RAID",'RAID Log'!$1:$1,0)),"")="","",IFERROR(INDEX('RAID Log'!$1:$1048576,$B205,MATCH("Impact/Effect of the RAID",'RAID Log'!$1:$1,0)),"")))</f>
        <v/>
      </c>
      <c r="E205" s="85" t="str">
        <f>IF($B205="","",IF(IFERROR(INDEX('RAID Log'!$1:$1048576,$B205,MATCH("Impact Area",'RAID Log'!$1:$1,0)),"")="","",IFERROR(INDEX('RAID Log'!$1:$1048576,$B205,MATCH("Impact Area",'RAID Log'!$1:$1,0)),"")))</f>
        <v/>
      </c>
      <c r="F205" s="85" t="str">
        <f>IF($B205="","",IF(IFERROR(INDEX('RAID Log'!$1:$1048576,$B205,MATCH("Impact Area",'RAID Log'!$1:$1,0)),"")="","",IFERROR(INDEX('RAID Log'!$1:$1048576,$B205,MATCH("Impact Area",'RAID Log'!$1:$1,0)),"")))</f>
        <v/>
      </c>
      <c r="G205" s="85" t="str">
        <f>IF($B205="","",IF(IFERROR(INDEX('RAID Log'!$1:$1048576,$B205,MATCH("Impact Rating",'RAID Log'!$1:$1,0)),"")="","",IFERROR(INDEX('RAID Log'!$1:$1048576,$B205,MATCH("Impact Rating",'RAID Log'!$1:$1,0)),"")))</f>
        <v/>
      </c>
      <c r="H205" s="85" t="str">
        <f>IF($B205="","",IF(IFERROR(INDEX('RAID Log'!$1:$1048576,$B205,MATCH("Initial Probability",'RAID Log'!$1:$1,0)),"")="","",IFERROR(INDEX('RAID Log'!$1:$1048576,$B205,MATCH("Initial Probability",'RAID Log'!$1:$1,0)),"")))</f>
        <v/>
      </c>
      <c r="I205" s="86" t="str">
        <f t="shared" si="9"/>
        <v/>
      </c>
      <c r="J205" s="85" t="str">
        <f t="shared" si="10"/>
        <v/>
      </c>
      <c r="K205" s="86" t="str">
        <f t="shared" si="11"/>
        <v/>
      </c>
      <c r="L205" s="85" t="str">
        <f>IF($B205="","",IF(IFERROR(INDEX('RAID Log'!$1:$1048576,$B205,MATCH("Status",'RAID Log'!$1:$1,0)),"")="","",IFERROR(INDEX('RAID Log'!$1:$1048576,$B205,MATCH("Status",'RAID Log'!$1:$1,0)),"")))</f>
        <v/>
      </c>
      <c r="M205" s="85" t="str">
        <f>IF($B205="","",IF(IFERROR(INDEX('RAID Log'!$1:$1048576,$B205,MATCH("RAID Owner",'RAID Log'!$1:$1,0)),"")="","",IFERROR(INDEX('RAID Log'!$1:$1048576,$B205,MATCH("RAID Owner",'RAID Log'!$1:$1,0)),"")))</f>
        <v/>
      </c>
      <c r="N205" s="87" t="str">
        <f>IF($B205="","",IF(IFERROR(INDEX('RAID Log'!$1:$1048576,$B205,MATCH("Date Raised",'RAID Log'!$1:$1,0)),"")="","",IFERROR(INDEX('RAID Log'!$1:$1048576,$B205,MATCH("Date Raised",'RAID Log'!$1:$1,0)),"")))</f>
        <v/>
      </c>
      <c r="O205" s="87" t="str">
        <f>IF($B205="","",IF(IFERROR(INDEX('RAID Log'!$1:$1048576,$B205,MATCH("Closed Date",'RAID Log'!$1:$1,0)),"")="","",IFERROR(INDEX('RAID Log'!$1:$1048576,$B205,MATCH("Closed Date",'RAID Log'!$1:$1,0)),"")))</f>
        <v/>
      </c>
      <c r="P205" s="85" t="str">
        <f>IF($B205="","",IF(IFERROR(INDEX('RAID Log'!$1:$1048576,$B205,MATCH("Mitigation Strategy",'RAID Log'!$1:$1,0)),"")="","",IFERROR(INDEX('RAID Log'!$1:$1048576,$B205,MATCH("Mitigation Strategy",'RAID Log'!$1:$1,0)),"")))</f>
        <v/>
      </c>
      <c r="Q205" s="88" t="str">
        <f>IF($B205="","",IF(IFERROR(INDEX('RAID Log'!$1:$1048576,$B205,MATCH("RAID Response/Plan",'RAID Log'!$1:$1,0)),"")="","",IFERROR(INDEX('RAID Log'!$1:$1048576,$B205,MATCH("RAID Response/Plan",'RAID Log'!$1:$1,0)),"")))</f>
        <v/>
      </c>
    </row>
    <row r="206" spans="1:17" ht="14.25" customHeight="1">
      <c r="A206" s="82" t="str">
        <f>IF($B206="","",IF(IFERROR(INDEX('RAID Log'!$1:$1048576,$B206,MATCH("RAID ID",'RAID Log'!$1:$1,0)),"")="","",IFERROR(INDEX('RAID Log'!$1:$1048576,$B206,MATCH("RAID ID",'RAID Log'!$1:$1,0)),"")))</f>
        <v/>
      </c>
      <c r="B206" s="83" t="str">
        <f>IFERROR(MATCH(ROW()-1,'RAID Log'!$S:$S,0),"")</f>
        <v/>
      </c>
      <c r="C206" s="84" t="str">
        <f>IF($B206="","",IF(IFERROR(INDEX('RAID Log'!$1:$1048576,$B206,MATCH("Description",'RAID Log'!$1:$1,0)),"")="","",IFERROR(INDEX('RAID Log'!$1:$1048576,$B206,MATCH("Description",'RAID Log'!$1:$1,0)),"")))</f>
        <v/>
      </c>
      <c r="D206" s="84" t="str">
        <f>IF($B206="","",IF(IFERROR(INDEX('RAID Log'!$1:$1048576,$B206,MATCH("Impact/Effect of the RAID",'RAID Log'!$1:$1,0)),"")="","",IFERROR(INDEX('RAID Log'!$1:$1048576,$B206,MATCH("Impact/Effect of the RAID",'RAID Log'!$1:$1,0)),"")))</f>
        <v/>
      </c>
      <c r="E206" s="85" t="str">
        <f>IF($B206="","",IF(IFERROR(INDEX('RAID Log'!$1:$1048576,$B206,MATCH("Impact Area",'RAID Log'!$1:$1,0)),"")="","",IFERROR(INDEX('RAID Log'!$1:$1048576,$B206,MATCH("Impact Area",'RAID Log'!$1:$1,0)),"")))</f>
        <v/>
      </c>
      <c r="F206" s="85" t="str">
        <f>IF($B206="","",IF(IFERROR(INDEX('RAID Log'!$1:$1048576,$B206,MATCH("Impact Area",'RAID Log'!$1:$1,0)),"")="","",IFERROR(INDEX('RAID Log'!$1:$1048576,$B206,MATCH("Impact Area",'RAID Log'!$1:$1,0)),"")))</f>
        <v/>
      </c>
      <c r="G206" s="85" t="str">
        <f>IF($B206="","",IF(IFERROR(INDEX('RAID Log'!$1:$1048576,$B206,MATCH("Impact Rating",'RAID Log'!$1:$1,0)),"")="","",IFERROR(INDEX('RAID Log'!$1:$1048576,$B206,MATCH("Impact Rating",'RAID Log'!$1:$1,0)),"")))</f>
        <v/>
      </c>
      <c r="H206" s="85" t="str">
        <f>IF($B206="","",IF(IFERROR(INDEX('RAID Log'!$1:$1048576,$B206,MATCH("Initial Probability",'RAID Log'!$1:$1,0)),"")="","",IFERROR(INDEX('RAID Log'!$1:$1048576,$B206,MATCH("Initial Probability",'RAID Log'!$1:$1,0)),"")))</f>
        <v/>
      </c>
      <c r="I206" s="86" t="str">
        <f t="shared" si="9"/>
        <v/>
      </c>
      <c r="J206" s="85" t="str">
        <f t="shared" si="10"/>
        <v/>
      </c>
      <c r="K206" s="86" t="str">
        <f t="shared" si="11"/>
        <v/>
      </c>
      <c r="L206" s="85" t="str">
        <f>IF($B206="","",IF(IFERROR(INDEX('RAID Log'!$1:$1048576,$B206,MATCH("Status",'RAID Log'!$1:$1,0)),"")="","",IFERROR(INDEX('RAID Log'!$1:$1048576,$B206,MATCH("Status",'RAID Log'!$1:$1,0)),"")))</f>
        <v/>
      </c>
      <c r="M206" s="85" t="str">
        <f>IF($B206="","",IF(IFERROR(INDEX('RAID Log'!$1:$1048576,$B206,MATCH("RAID Owner",'RAID Log'!$1:$1,0)),"")="","",IFERROR(INDEX('RAID Log'!$1:$1048576,$B206,MATCH("RAID Owner",'RAID Log'!$1:$1,0)),"")))</f>
        <v/>
      </c>
      <c r="N206" s="87" t="str">
        <f>IF($B206="","",IF(IFERROR(INDEX('RAID Log'!$1:$1048576,$B206,MATCH("Date Raised",'RAID Log'!$1:$1,0)),"")="","",IFERROR(INDEX('RAID Log'!$1:$1048576,$B206,MATCH("Date Raised",'RAID Log'!$1:$1,0)),"")))</f>
        <v/>
      </c>
      <c r="O206" s="87" t="str">
        <f>IF($B206="","",IF(IFERROR(INDEX('RAID Log'!$1:$1048576,$B206,MATCH("Closed Date",'RAID Log'!$1:$1,0)),"")="","",IFERROR(INDEX('RAID Log'!$1:$1048576,$B206,MATCH("Closed Date",'RAID Log'!$1:$1,0)),"")))</f>
        <v/>
      </c>
      <c r="P206" s="85" t="str">
        <f>IF($B206="","",IF(IFERROR(INDEX('RAID Log'!$1:$1048576,$B206,MATCH("Mitigation Strategy",'RAID Log'!$1:$1,0)),"")="","",IFERROR(INDEX('RAID Log'!$1:$1048576,$B206,MATCH("Mitigation Strategy",'RAID Log'!$1:$1,0)),"")))</f>
        <v/>
      </c>
      <c r="Q206" s="88" t="str">
        <f>IF($B206="","",IF(IFERROR(INDEX('RAID Log'!$1:$1048576,$B206,MATCH("RAID Response/Plan",'RAID Log'!$1:$1,0)),"")="","",IFERROR(INDEX('RAID Log'!$1:$1048576,$B206,MATCH("RAID Response/Plan",'RAID Log'!$1:$1,0)),"")))</f>
        <v/>
      </c>
    </row>
    <row r="207" spans="1:17" ht="14.25" customHeight="1">
      <c r="A207" s="82" t="str">
        <f>IF($B207="","",IF(IFERROR(INDEX('RAID Log'!$1:$1048576,$B207,MATCH("RAID ID",'RAID Log'!$1:$1,0)),"")="","",IFERROR(INDEX('RAID Log'!$1:$1048576,$B207,MATCH("RAID ID",'RAID Log'!$1:$1,0)),"")))</f>
        <v/>
      </c>
      <c r="B207" s="83" t="str">
        <f>IFERROR(MATCH(ROW()-1,'RAID Log'!$S:$S,0),"")</f>
        <v/>
      </c>
      <c r="C207" s="84" t="str">
        <f>IF($B207="","",IF(IFERROR(INDEX('RAID Log'!$1:$1048576,$B207,MATCH("Description",'RAID Log'!$1:$1,0)),"")="","",IFERROR(INDEX('RAID Log'!$1:$1048576,$B207,MATCH("Description",'RAID Log'!$1:$1,0)),"")))</f>
        <v/>
      </c>
      <c r="D207" s="84" t="str">
        <f>IF($B207="","",IF(IFERROR(INDEX('RAID Log'!$1:$1048576,$B207,MATCH("Impact/Effect of the RAID",'RAID Log'!$1:$1,0)),"")="","",IFERROR(INDEX('RAID Log'!$1:$1048576,$B207,MATCH("Impact/Effect of the RAID",'RAID Log'!$1:$1,0)),"")))</f>
        <v/>
      </c>
      <c r="E207" s="85" t="str">
        <f>IF($B207="","",IF(IFERROR(INDEX('RAID Log'!$1:$1048576,$B207,MATCH("Impact Area",'RAID Log'!$1:$1,0)),"")="","",IFERROR(INDEX('RAID Log'!$1:$1048576,$B207,MATCH("Impact Area",'RAID Log'!$1:$1,0)),"")))</f>
        <v/>
      </c>
      <c r="F207" s="85" t="str">
        <f>IF($B207="","",IF(IFERROR(INDEX('RAID Log'!$1:$1048576,$B207,MATCH("Impact Area",'RAID Log'!$1:$1,0)),"")="","",IFERROR(INDEX('RAID Log'!$1:$1048576,$B207,MATCH("Impact Area",'RAID Log'!$1:$1,0)),"")))</f>
        <v/>
      </c>
      <c r="G207" s="85" t="str">
        <f>IF($B207="","",IF(IFERROR(INDEX('RAID Log'!$1:$1048576,$B207,MATCH("Impact Rating",'RAID Log'!$1:$1,0)),"")="","",IFERROR(INDEX('RAID Log'!$1:$1048576,$B207,MATCH("Impact Rating",'RAID Log'!$1:$1,0)),"")))</f>
        <v/>
      </c>
      <c r="H207" s="85" t="str">
        <f>IF($B207="","",IF(IFERROR(INDEX('RAID Log'!$1:$1048576,$B207,MATCH("Initial Probability",'RAID Log'!$1:$1,0)),"")="","",IFERROR(INDEX('RAID Log'!$1:$1048576,$B207,MATCH("Initial Probability",'RAID Log'!$1:$1,0)),"")))</f>
        <v/>
      </c>
      <c r="I207" s="86" t="str">
        <f t="shared" si="9"/>
        <v/>
      </c>
      <c r="J207" s="85" t="str">
        <f t="shared" si="10"/>
        <v/>
      </c>
      <c r="K207" s="86" t="str">
        <f t="shared" si="11"/>
        <v/>
      </c>
      <c r="L207" s="85" t="str">
        <f>IF($B207="","",IF(IFERROR(INDEX('RAID Log'!$1:$1048576,$B207,MATCH("Status",'RAID Log'!$1:$1,0)),"")="","",IFERROR(INDEX('RAID Log'!$1:$1048576,$B207,MATCH("Status",'RAID Log'!$1:$1,0)),"")))</f>
        <v/>
      </c>
      <c r="M207" s="85" t="str">
        <f>IF($B207="","",IF(IFERROR(INDEX('RAID Log'!$1:$1048576,$B207,MATCH("RAID Owner",'RAID Log'!$1:$1,0)),"")="","",IFERROR(INDEX('RAID Log'!$1:$1048576,$B207,MATCH("RAID Owner",'RAID Log'!$1:$1,0)),"")))</f>
        <v/>
      </c>
      <c r="N207" s="87" t="str">
        <f>IF($B207="","",IF(IFERROR(INDEX('RAID Log'!$1:$1048576,$B207,MATCH("Date Raised",'RAID Log'!$1:$1,0)),"")="","",IFERROR(INDEX('RAID Log'!$1:$1048576,$B207,MATCH("Date Raised",'RAID Log'!$1:$1,0)),"")))</f>
        <v/>
      </c>
      <c r="O207" s="87" t="str">
        <f>IF($B207="","",IF(IFERROR(INDEX('RAID Log'!$1:$1048576,$B207,MATCH("Closed Date",'RAID Log'!$1:$1,0)),"")="","",IFERROR(INDEX('RAID Log'!$1:$1048576,$B207,MATCH("Closed Date",'RAID Log'!$1:$1,0)),"")))</f>
        <v/>
      </c>
      <c r="P207" s="85" t="str">
        <f>IF($B207="","",IF(IFERROR(INDEX('RAID Log'!$1:$1048576,$B207,MATCH("Mitigation Strategy",'RAID Log'!$1:$1,0)),"")="","",IFERROR(INDEX('RAID Log'!$1:$1048576,$B207,MATCH("Mitigation Strategy",'RAID Log'!$1:$1,0)),"")))</f>
        <v/>
      </c>
      <c r="Q207" s="88" t="str">
        <f>IF($B207="","",IF(IFERROR(INDEX('RAID Log'!$1:$1048576,$B207,MATCH("RAID Response/Plan",'RAID Log'!$1:$1,0)),"")="","",IFERROR(INDEX('RAID Log'!$1:$1048576,$B207,MATCH("RAID Response/Plan",'RAID Log'!$1:$1,0)),"")))</f>
        <v/>
      </c>
    </row>
    <row r="208" spans="1:17" ht="14.25" customHeight="1">
      <c r="A208" s="82" t="str">
        <f>IF($B208="","",IF(IFERROR(INDEX('RAID Log'!$1:$1048576,$B208,MATCH("RAID ID",'RAID Log'!$1:$1,0)),"")="","",IFERROR(INDEX('RAID Log'!$1:$1048576,$B208,MATCH("RAID ID",'RAID Log'!$1:$1,0)),"")))</f>
        <v/>
      </c>
      <c r="B208" s="83" t="str">
        <f>IFERROR(MATCH(ROW()-1,'RAID Log'!$S:$S,0),"")</f>
        <v/>
      </c>
      <c r="C208" s="84" t="str">
        <f>IF($B208="","",IF(IFERROR(INDEX('RAID Log'!$1:$1048576,$B208,MATCH("Description",'RAID Log'!$1:$1,0)),"")="","",IFERROR(INDEX('RAID Log'!$1:$1048576,$B208,MATCH("Description",'RAID Log'!$1:$1,0)),"")))</f>
        <v/>
      </c>
      <c r="D208" s="84" t="str">
        <f>IF($B208="","",IF(IFERROR(INDEX('RAID Log'!$1:$1048576,$B208,MATCH("Impact/Effect of the RAID",'RAID Log'!$1:$1,0)),"")="","",IFERROR(INDEX('RAID Log'!$1:$1048576,$B208,MATCH("Impact/Effect of the RAID",'RAID Log'!$1:$1,0)),"")))</f>
        <v/>
      </c>
      <c r="E208" s="85" t="str">
        <f>IF($B208="","",IF(IFERROR(INDEX('RAID Log'!$1:$1048576,$B208,MATCH("Impact Area",'RAID Log'!$1:$1,0)),"")="","",IFERROR(INDEX('RAID Log'!$1:$1048576,$B208,MATCH("Impact Area",'RAID Log'!$1:$1,0)),"")))</f>
        <v/>
      </c>
      <c r="F208" s="85" t="str">
        <f>IF($B208="","",IF(IFERROR(INDEX('RAID Log'!$1:$1048576,$B208,MATCH("Impact Area",'RAID Log'!$1:$1,0)),"")="","",IFERROR(INDEX('RAID Log'!$1:$1048576,$B208,MATCH("Impact Area",'RAID Log'!$1:$1,0)),"")))</f>
        <v/>
      </c>
      <c r="G208" s="85" t="str">
        <f>IF($B208="","",IF(IFERROR(INDEX('RAID Log'!$1:$1048576,$B208,MATCH("Impact Rating",'RAID Log'!$1:$1,0)),"")="","",IFERROR(INDEX('RAID Log'!$1:$1048576,$B208,MATCH("Impact Rating",'RAID Log'!$1:$1,0)),"")))</f>
        <v/>
      </c>
      <c r="H208" s="85" t="str">
        <f>IF($B208="","",IF(IFERROR(INDEX('RAID Log'!$1:$1048576,$B208,MATCH("Initial Probability",'RAID Log'!$1:$1,0)),"")="","",IFERROR(INDEX('RAID Log'!$1:$1048576,$B208,MATCH("Initial Probability",'RAID Log'!$1:$1,0)),"")))</f>
        <v/>
      </c>
      <c r="I208" s="86" t="str">
        <f t="shared" si="9"/>
        <v/>
      </c>
      <c r="J208" s="85" t="str">
        <f t="shared" si="10"/>
        <v/>
      </c>
      <c r="K208" s="86" t="str">
        <f t="shared" si="11"/>
        <v/>
      </c>
      <c r="L208" s="85" t="str">
        <f>IF($B208="","",IF(IFERROR(INDEX('RAID Log'!$1:$1048576,$B208,MATCH("Status",'RAID Log'!$1:$1,0)),"")="","",IFERROR(INDEX('RAID Log'!$1:$1048576,$B208,MATCH("Status",'RAID Log'!$1:$1,0)),"")))</f>
        <v/>
      </c>
      <c r="M208" s="85" t="str">
        <f>IF($B208="","",IF(IFERROR(INDEX('RAID Log'!$1:$1048576,$B208,MATCH("RAID Owner",'RAID Log'!$1:$1,0)),"")="","",IFERROR(INDEX('RAID Log'!$1:$1048576,$B208,MATCH("RAID Owner",'RAID Log'!$1:$1,0)),"")))</f>
        <v/>
      </c>
      <c r="N208" s="87" t="str">
        <f>IF($B208="","",IF(IFERROR(INDEX('RAID Log'!$1:$1048576,$B208,MATCH("Date Raised",'RAID Log'!$1:$1,0)),"")="","",IFERROR(INDEX('RAID Log'!$1:$1048576,$B208,MATCH("Date Raised",'RAID Log'!$1:$1,0)),"")))</f>
        <v/>
      </c>
      <c r="O208" s="87" t="str">
        <f>IF($B208="","",IF(IFERROR(INDEX('RAID Log'!$1:$1048576,$B208,MATCH("Closed Date",'RAID Log'!$1:$1,0)),"")="","",IFERROR(INDEX('RAID Log'!$1:$1048576,$B208,MATCH("Closed Date",'RAID Log'!$1:$1,0)),"")))</f>
        <v/>
      </c>
      <c r="P208" s="85" t="str">
        <f>IF($B208="","",IF(IFERROR(INDEX('RAID Log'!$1:$1048576,$B208,MATCH("Mitigation Strategy",'RAID Log'!$1:$1,0)),"")="","",IFERROR(INDEX('RAID Log'!$1:$1048576,$B208,MATCH("Mitigation Strategy",'RAID Log'!$1:$1,0)),"")))</f>
        <v/>
      </c>
      <c r="Q208" s="88" t="str">
        <f>IF($B208="","",IF(IFERROR(INDEX('RAID Log'!$1:$1048576,$B208,MATCH("RAID Response/Plan",'RAID Log'!$1:$1,0)),"")="","",IFERROR(INDEX('RAID Log'!$1:$1048576,$B208,MATCH("RAID Response/Plan",'RAID Log'!$1:$1,0)),"")))</f>
        <v/>
      </c>
    </row>
    <row r="209" spans="1:17" ht="14.25" customHeight="1">
      <c r="A209" s="82" t="str">
        <f>IF($B209="","",IF(IFERROR(INDEX('RAID Log'!$1:$1048576,$B209,MATCH("RAID ID",'RAID Log'!$1:$1,0)),"")="","",IFERROR(INDEX('RAID Log'!$1:$1048576,$B209,MATCH("RAID ID",'RAID Log'!$1:$1,0)),"")))</f>
        <v/>
      </c>
      <c r="B209" s="83" t="str">
        <f>IFERROR(MATCH(ROW()-1,'RAID Log'!$S:$S,0),"")</f>
        <v/>
      </c>
      <c r="C209" s="84" t="str">
        <f>IF($B209="","",IF(IFERROR(INDEX('RAID Log'!$1:$1048576,$B209,MATCH("Description",'RAID Log'!$1:$1,0)),"")="","",IFERROR(INDEX('RAID Log'!$1:$1048576,$B209,MATCH("Description",'RAID Log'!$1:$1,0)),"")))</f>
        <v/>
      </c>
      <c r="D209" s="84" t="str">
        <f>IF($B209="","",IF(IFERROR(INDEX('RAID Log'!$1:$1048576,$B209,MATCH("Impact/Effect of the RAID",'RAID Log'!$1:$1,0)),"")="","",IFERROR(INDEX('RAID Log'!$1:$1048576,$B209,MATCH("Impact/Effect of the RAID",'RAID Log'!$1:$1,0)),"")))</f>
        <v/>
      </c>
      <c r="E209" s="85" t="str">
        <f>IF($B209="","",IF(IFERROR(INDEX('RAID Log'!$1:$1048576,$B209,MATCH("Impact Area",'RAID Log'!$1:$1,0)),"")="","",IFERROR(INDEX('RAID Log'!$1:$1048576,$B209,MATCH("Impact Area",'RAID Log'!$1:$1,0)),"")))</f>
        <v/>
      </c>
      <c r="F209" s="85" t="str">
        <f>IF($B209="","",IF(IFERROR(INDEX('RAID Log'!$1:$1048576,$B209,MATCH("Impact Area",'RAID Log'!$1:$1,0)),"")="","",IFERROR(INDEX('RAID Log'!$1:$1048576,$B209,MATCH("Impact Area",'RAID Log'!$1:$1,0)),"")))</f>
        <v/>
      </c>
      <c r="G209" s="85" t="str">
        <f>IF($B209="","",IF(IFERROR(INDEX('RAID Log'!$1:$1048576,$B209,MATCH("Impact Rating",'RAID Log'!$1:$1,0)),"")="","",IFERROR(INDEX('RAID Log'!$1:$1048576,$B209,MATCH("Impact Rating",'RAID Log'!$1:$1,0)),"")))</f>
        <v/>
      </c>
      <c r="H209" s="85" t="str">
        <f>IF($B209="","",IF(IFERROR(INDEX('RAID Log'!$1:$1048576,$B209,MATCH("Initial Probability",'RAID Log'!$1:$1,0)),"")="","",IFERROR(INDEX('RAID Log'!$1:$1048576,$B209,MATCH("Initial Probability",'RAID Log'!$1:$1,0)),"")))</f>
        <v/>
      </c>
      <c r="I209" s="86" t="str">
        <f t="shared" si="9"/>
        <v/>
      </c>
      <c r="J209" s="85" t="str">
        <f t="shared" si="10"/>
        <v/>
      </c>
      <c r="K209" s="86" t="str">
        <f t="shared" si="11"/>
        <v/>
      </c>
      <c r="L209" s="85" t="str">
        <f>IF($B209="","",IF(IFERROR(INDEX('RAID Log'!$1:$1048576,$B209,MATCH("Status",'RAID Log'!$1:$1,0)),"")="","",IFERROR(INDEX('RAID Log'!$1:$1048576,$B209,MATCH("Status",'RAID Log'!$1:$1,0)),"")))</f>
        <v/>
      </c>
      <c r="M209" s="85" t="str">
        <f>IF($B209="","",IF(IFERROR(INDEX('RAID Log'!$1:$1048576,$B209,MATCH("RAID Owner",'RAID Log'!$1:$1,0)),"")="","",IFERROR(INDEX('RAID Log'!$1:$1048576,$B209,MATCH("RAID Owner",'RAID Log'!$1:$1,0)),"")))</f>
        <v/>
      </c>
      <c r="N209" s="87" t="str">
        <f>IF($B209="","",IF(IFERROR(INDEX('RAID Log'!$1:$1048576,$B209,MATCH("Date Raised",'RAID Log'!$1:$1,0)),"")="","",IFERROR(INDEX('RAID Log'!$1:$1048576,$B209,MATCH("Date Raised",'RAID Log'!$1:$1,0)),"")))</f>
        <v/>
      </c>
      <c r="O209" s="87" t="str">
        <f>IF($B209="","",IF(IFERROR(INDEX('RAID Log'!$1:$1048576,$B209,MATCH("Closed Date",'RAID Log'!$1:$1,0)),"")="","",IFERROR(INDEX('RAID Log'!$1:$1048576,$B209,MATCH("Closed Date",'RAID Log'!$1:$1,0)),"")))</f>
        <v/>
      </c>
      <c r="P209" s="85" t="str">
        <f>IF($B209="","",IF(IFERROR(INDEX('RAID Log'!$1:$1048576,$B209,MATCH("Mitigation Strategy",'RAID Log'!$1:$1,0)),"")="","",IFERROR(INDEX('RAID Log'!$1:$1048576,$B209,MATCH("Mitigation Strategy",'RAID Log'!$1:$1,0)),"")))</f>
        <v/>
      </c>
      <c r="Q209" s="88" t="str">
        <f>IF($B209="","",IF(IFERROR(INDEX('RAID Log'!$1:$1048576,$B209,MATCH("RAID Response/Plan",'RAID Log'!$1:$1,0)),"")="","",IFERROR(INDEX('RAID Log'!$1:$1048576,$B209,MATCH("RAID Response/Plan",'RAID Log'!$1:$1,0)),"")))</f>
        <v/>
      </c>
    </row>
    <row r="210" spans="1:17" ht="14.25" customHeight="1">
      <c r="A210" s="82" t="str">
        <f>IF($B210="","",IF(IFERROR(INDEX('RAID Log'!$1:$1048576,$B210,MATCH("RAID ID",'RAID Log'!$1:$1,0)),"")="","",IFERROR(INDEX('RAID Log'!$1:$1048576,$B210,MATCH("RAID ID",'RAID Log'!$1:$1,0)),"")))</f>
        <v/>
      </c>
      <c r="B210" s="83" t="str">
        <f>IFERROR(MATCH(ROW()-1,'RAID Log'!$S:$S,0),"")</f>
        <v/>
      </c>
      <c r="C210" s="84" t="str">
        <f>IF($B210="","",IF(IFERROR(INDEX('RAID Log'!$1:$1048576,$B210,MATCH("Description",'RAID Log'!$1:$1,0)),"")="","",IFERROR(INDEX('RAID Log'!$1:$1048576,$B210,MATCH("Description",'RAID Log'!$1:$1,0)),"")))</f>
        <v/>
      </c>
      <c r="D210" s="84" t="str">
        <f>IF($B210="","",IF(IFERROR(INDEX('RAID Log'!$1:$1048576,$B210,MATCH("Impact/Effect of the RAID",'RAID Log'!$1:$1,0)),"")="","",IFERROR(INDEX('RAID Log'!$1:$1048576,$B210,MATCH("Impact/Effect of the RAID",'RAID Log'!$1:$1,0)),"")))</f>
        <v/>
      </c>
      <c r="E210" s="85" t="str">
        <f>IF($B210="","",IF(IFERROR(INDEX('RAID Log'!$1:$1048576,$B210,MATCH("Impact Area",'RAID Log'!$1:$1,0)),"")="","",IFERROR(INDEX('RAID Log'!$1:$1048576,$B210,MATCH("Impact Area",'RAID Log'!$1:$1,0)),"")))</f>
        <v/>
      </c>
      <c r="F210" s="85" t="str">
        <f>IF($B210="","",IF(IFERROR(INDEX('RAID Log'!$1:$1048576,$B210,MATCH("Impact Area",'RAID Log'!$1:$1,0)),"")="","",IFERROR(INDEX('RAID Log'!$1:$1048576,$B210,MATCH("Impact Area",'RAID Log'!$1:$1,0)),"")))</f>
        <v/>
      </c>
      <c r="G210" s="85" t="str">
        <f>IF($B210="","",IF(IFERROR(INDEX('RAID Log'!$1:$1048576,$B210,MATCH("Impact Rating",'RAID Log'!$1:$1,0)),"")="","",IFERROR(INDEX('RAID Log'!$1:$1048576,$B210,MATCH("Impact Rating",'RAID Log'!$1:$1,0)),"")))</f>
        <v/>
      </c>
      <c r="H210" s="85" t="str">
        <f>IF($B210="","",IF(IFERROR(INDEX('RAID Log'!$1:$1048576,$B210,MATCH("Initial Probability",'RAID Log'!$1:$1,0)),"")="","",IFERROR(INDEX('RAID Log'!$1:$1048576,$B210,MATCH("Initial Probability",'RAID Log'!$1:$1,0)),"")))</f>
        <v/>
      </c>
      <c r="I210" s="86" t="str">
        <f t="shared" si="9"/>
        <v/>
      </c>
      <c r="J210" s="85" t="str">
        <f t="shared" si="10"/>
        <v/>
      </c>
      <c r="K210" s="86" t="str">
        <f t="shared" si="11"/>
        <v/>
      </c>
      <c r="L210" s="85" t="str">
        <f>IF($B210="","",IF(IFERROR(INDEX('RAID Log'!$1:$1048576,$B210,MATCH("Status",'RAID Log'!$1:$1,0)),"")="","",IFERROR(INDEX('RAID Log'!$1:$1048576,$B210,MATCH("Status",'RAID Log'!$1:$1,0)),"")))</f>
        <v/>
      </c>
      <c r="M210" s="85" t="str">
        <f>IF($B210="","",IF(IFERROR(INDEX('RAID Log'!$1:$1048576,$B210,MATCH("RAID Owner",'RAID Log'!$1:$1,0)),"")="","",IFERROR(INDEX('RAID Log'!$1:$1048576,$B210,MATCH("RAID Owner",'RAID Log'!$1:$1,0)),"")))</f>
        <v/>
      </c>
      <c r="N210" s="87" t="str">
        <f>IF($B210="","",IF(IFERROR(INDEX('RAID Log'!$1:$1048576,$B210,MATCH("Date Raised",'RAID Log'!$1:$1,0)),"")="","",IFERROR(INDEX('RAID Log'!$1:$1048576,$B210,MATCH("Date Raised",'RAID Log'!$1:$1,0)),"")))</f>
        <v/>
      </c>
      <c r="O210" s="87" t="str">
        <f>IF($B210="","",IF(IFERROR(INDEX('RAID Log'!$1:$1048576,$B210,MATCH("Closed Date",'RAID Log'!$1:$1,0)),"")="","",IFERROR(INDEX('RAID Log'!$1:$1048576,$B210,MATCH("Closed Date",'RAID Log'!$1:$1,0)),"")))</f>
        <v/>
      </c>
      <c r="P210" s="85" t="str">
        <f>IF($B210="","",IF(IFERROR(INDEX('RAID Log'!$1:$1048576,$B210,MATCH("Mitigation Strategy",'RAID Log'!$1:$1,0)),"")="","",IFERROR(INDEX('RAID Log'!$1:$1048576,$B210,MATCH("Mitigation Strategy",'RAID Log'!$1:$1,0)),"")))</f>
        <v/>
      </c>
      <c r="Q210" s="88" t="str">
        <f>IF($B210="","",IF(IFERROR(INDEX('RAID Log'!$1:$1048576,$B210,MATCH("RAID Response/Plan",'RAID Log'!$1:$1,0)),"")="","",IFERROR(INDEX('RAID Log'!$1:$1048576,$B210,MATCH("RAID Response/Plan",'RAID Log'!$1:$1,0)),"")))</f>
        <v/>
      </c>
    </row>
    <row r="211" spans="1:17" ht="14.25" customHeight="1">
      <c r="A211" s="82" t="str">
        <f>IF($B211="","",IF(IFERROR(INDEX('RAID Log'!$1:$1048576,$B211,MATCH("RAID ID",'RAID Log'!$1:$1,0)),"")="","",IFERROR(INDEX('RAID Log'!$1:$1048576,$B211,MATCH("RAID ID",'RAID Log'!$1:$1,0)),"")))</f>
        <v/>
      </c>
      <c r="B211" s="83" t="str">
        <f>IFERROR(MATCH(ROW()-1,'RAID Log'!$S:$S,0),"")</f>
        <v/>
      </c>
      <c r="C211" s="84" t="str">
        <f>IF($B211="","",IF(IFERROR(INDEX('RAID Log'!$1:$1048576,$B211,MATCH("Description",'RAID Log'!$1:$1,0)),"")="","",IFERROR(INDEX('RAID Log'!$1:$1048576,$B211,MATCH("Description",'RAID Log'!$1:$1,0)),"")))</f>
        <v/>
      </c>
      <c r="D211" s="84" t="str">
        <f>IF($B211="","",IF(IFERROR(INDEX('RAID Log'!$1:$1048576,$B211,MATCH("Impact/Effect of the RAID",'RAID Log'!$1:$1,0)),"")="","",IFERROR(INDEX('RAID Log'!$1:$1048576,$B211,MATCH("Impact/Effect of the RAID",'RAID Log'!$1:$1,0)),"")))</f>
        <v/>
      </c>
      <c r="E211" s="85" t="str">
        <f>IF($B211="","",IF(IFERROR(INDEX('RAID Log'!$1:$1048576,$B211,MATCH("Impact Area",'RAID Log'!$1:$1,0)),"")="","",IFERROR(INDEX('RAID Log'!$1:$1048576,$B211,MATCH("Impact Area",'RAID Log'!$1:$1,0)),"")))</f>
        <v/>
      </c>
      <c r="F211" s="85" t="str">
        <f>IF($B211="","",IF(IFERROR(INDEX('RAID Log'!$1:$1048576,$B211,MATCH("Impact Area",'RAID Log'!$1:$1,0)),"")="","",IFERROR(INDEX('RAID Log'!$1:$1048576,$B211,MATCH("Impact Area",'RAID Log'!$1:$1,0)),"")))</f>
        <v/>
      </c>
      <c r="G211" s="85" t="str">
        <f>IF($B211="","",IF(IFERROR(INDEX('RAID Log'!$1:$1048576,$B211,MATCH("Impact Rating",'RAID Log'!$1:$1,0)),"")="","",IFERROR(INDEX('RAID Log'!$1:$1048576,$B211,MATCH("Impact Rating",'RAID Log'!$1:$1,0)),"")))</f>
        <v/>
      </c>
      <c r="H211" s="85" t="str">
        <f>IF($B211="","",IF(IFERROR(INDEX('RAID Log'!$1:$1048576,$B211,MATCH("Initial Probability",'RAID Log'!$1:$1,0)),"")="","",IFERROR(INDEX('RAID Log'!$1:$1048576,$B211,MATCH("Initial Probability",'RAID Log'!$1:$1,0)),"")))</f>
        <v/>
      </c>
      <c r="I211" s="86" t="str">
        <f t="shared" si="9"/>
        <v/>
      </c>
      <c r="J211" s="85" t="str">
        <f t="shared" si="10"/>
        <v/>
      </c>
      <c r="K211" s="86" t="str">
        <f t="shared" si="11"/>
        <v/>
      </c>
      <c r="L211" s="85" t="str">
        <f>IF($B211="","",IF(IFERROR(INDEX('RAID Log'!$1:$1048576,$B211,MATCH("Status",'RAID Log'!$1:$1,0)),"")="","",IFERROR(INDEX('RAID Log'!$1:$1048576,$B211,MATCH("Status",'RAID Log'!$1:$1,0)),"")))</f>
        <v/>
      </c>
      <c r="M211" s="85" t="str">
        <f>IF($B211="","",IF(IFERROR(INDEX('RAID Log'!$1:$1048576,$B211,MATCH("RAID Owner",'RAID Log'!$1:$1,0)),"")="","",IFERROR(INDEX('RAID Log'!$1:$1048576,$B211,MATCH("RAID Owner",'RAID Log'!$1:$1,0)),"")))</f>
        <v/>
      </c>
      <c r="N211" s="87" t="str">
        <f>IF($B211="","",IF(IFERROR(INDEX('RAID Log'!$1:$1048576,$B211,MATCH("Date Raised",'RAID Log'!$1:$1,0)),"")="","",IFERROR(INDEX('RAID Log'!$1:$1048576,$B211,MATCH("Date Raised",'RAID Log'!$1:$1,0)),"")))</f>
        <v/>
      </c>
      <c r="O211" s="87" t="str">
        <f>IF($B211="","",IF(IFERROR(INDEX('RAID Log'!$1:$1048576,$B211,MATCH("Closed Date",'RAID Log'!$1:$1,0)),"")="","",IFERROR(INDEX('RAID Log'!$1:$1048576,$B211,MATCH("Closed Date",'RAID Log'!$1:$1,0)),"")))</f>
        <v/>
      </c>
      <c r="P211" s="85" t="str">
        <f>IF($B211="","",IF(IFERROR(INDEX('RAID Log'!$1:$1048576,$B211,MATCH("Mitigation Strategy",'RAID Log'!$1:$1,0)),"")="","",IFERROR(INDEX('RAID Log'!$1:$1048576,$B211,MATCH("Mitigation Strategy",'RAID Log'!$1:$1,0)),"")))</f>
        <v/>
      </c>
      <c r="Q211" s="88" t="str">
        <f>IF($B211="","",IF(IFERROR(INDEX('RAID Log'!$1:$1048576,$B211,MATCH("RAID Response/Plan",'RAID Log'!$1:$1,0)),"")="","",IFERROR(INDEX('RAID Log'!$1:$1048576,$B211,MATCH("RAID Response/Plan",'RAID Log'!$1:$1,0)),"")))</f>
        <v/>
      </c>
    </row>
    <row r="212" spans="1:17" ht="14.25" customHeight="1">
      <c r="A212" s="82" t="str">
        <f>IF($B212="","",IF(IFERROR(INDEX('RAID Log'!$1:$1048576,$B212,MATCH("RAID ID",'RAID Log'!$1:$1,0)),"")="","",IFERROR(INDEX('RAID Log'!$1:$1048576,$B212,MATCH("RAID ID",'RAID Log'!$1:$1,0)),"")))</f>
        <v/>
      </c>
      <c r="B212" s="83" t="str">
        <f>IFERROR(MATCH(ROW()-1,'RAID Log'!$S:$S,0),"")</f>
        <v/>
      </c>
      <c r="C212" s="84" t="str">
        <f>IF($B212="","",IF(IFERROR(INDEX('RAID Log'!$1:$1048576,$B212,MATCH("Description",'RAID Log'!$1:$1,0)),"")="","",IFERROR(INDEX('RAID Log'!$1:$1048576,$B212,MATCH("Description",'RAID Log'!$1:$1,0)),"")))</f>
        <v/>
      </c>
      <c r="D212" s="84" t="str">
        <f>IF($B212="","",IF(IFERROR(INDEX('RAID Log'!$1:$1048576,$B212,MATCH("Impact/Effect of the RAID",'RAID Log'!$1:$1,0)),"")="","",IFERROR(INDEX('RAID Log'!$1:$1048576,$B212,MATCH("Impact/Effect of the RAID",'RAID Log'!$1:$1,0)),"")))</f>
        <v/>
      </c>
      <c r="E212" s="85" t="str">
        <f>IF($B212="","",IF(IFERROR(INDEX('RAID Log'!$1:$1048576,$B212,MATCH("Impact Area",'RAID Log'!$1:$1,0)),"")="","",IFERROR(INDEX('RAID Log'!$1:$1048576,$B212,MATCH("Impact Area",'RAID Log'!$1:$1,0)),"")))</f>
        <v/>
      </c>
      <c r="F212" s="85" t="str">
        <f>IF($B212="","",IF(IFERROR(INDEX('RAID Log'!$1:$1048576,$B212,MATCH("Impact Area",'RAID Log'!$1:$1,0)),"")="","",IFERROR(INDEX('RAID Log'!$1:$1048576,$B212,MATCH("Impact Area",'RAID Log'!$1:$1,0)),"")))</f>
        <v/>
      </c>
      <c r="G212" s="85" t="str">
        <f>IF($B212="","",IF(IFERROR(INDEX('RAID Log'!$1:$1048576,$B212,MATCH("Impact Rating",'RAID Log'!$1:$1,0)),"")="","",IFERROR(INDEX('RAID Log'!$1:$1048576,$B212,MATCH("Impact Rating",'RAID Log'!$1:$1,0)),"")))</f>
        <v/>
      </c>
      <c r="H212" s="85" t="str">
        <f>IF($B212="","",IF(IFERROR(INDEX('RAID Log'!$1:$1048576,$B212,MATCH("Initial Probability",'RAID Log'!$1:$1,0)),"")="","",IFERROR(INDEX('RAID Log'!$1:$1048576,$B212,MATCH("Initial Probability",'RAID Log'!$1:$1,0)),"")))</f>
        <v/>
      </c>
      <c r="I212" s="86" t="str">
        <f t="shared" si="9"/>
        <v/>
      </c>
      <c r="J212" s="85" t="str">
        <f t="shared" si="10"/>
        <v/>
      </c>
      <c r="K212" s="86" t="str">
        <f t="shared" si="11"/>
        <v/>
      </c>
      <c r="L212" s="85" t="str">
        <f>IF($B212="","",IF(IFERROR(INDEX('RAID Log'!$1:$1048576,$B212,MATCH("Status",'RAID Log'!$1:$1,0)),"")="","",IFERROR(INDEX('RAID Log'!$1:$1048576,$B212,MATCH("Status",'RAID Log'!$1:$1,0)),"")))</f>
        <v/>
      </c>
      <c r="M212" s="85" t="str">
        <f>IF($B212="","",IF(IFERROR(INDEX('RAID Log'!$1:$1048576,$B212,MATCH("RAID Owner",'RAID Log'!$1:$1,0)),"")="","",IFERROR(INDEX('RAID Log'!$1:$1048576,$B212,MATCH("RAID Owner",'RAID Log'!$1:$1,0)),"")))</f>
        <v/>
      </c>
      <c r="N212" s="87" t="str">
        <f>IF($B212="","",IF(IFERROR(INDEX('RAID Log'!$1:$1048576,$B212,MATCH("Date Raised",'RAID Log'!$1:$1,0)),"")="","",IFERROR(INDEX('RAID Log'!$1:$1048576,$B212,MATCH("Date Raised",'RAID Log'!$1:$1,0)),"")))</f>
        <v/>
      </c>
      <c r="O212" s="87" t="str">
        <f>IF($B212="","",IF(IFERROR(INDEX('RAID Log'!$1:$1048576,$B212,MATCH("Closed Date",'RAID Log'!$1:$1,0)),"")="","",IFERROR(INDEX('RAID Log'!$1:$1048576,$B212,MATCH("Closed Date",'RAID Log'!$1:$1,0)),"")))</f>
        <v/>
      </c>
      <c r="P212" s="85" t="str">
        <f>IF($B212="","",IF(IFERROR(INDEX('RAID Log'!$1:$1048576,$B212,MATCH("Mitigation Strategy",'RAID Log'!$1:$1,0)),"")="","",IFERROR(INDEX('RAID Log'!$1:$1048576,$B212,MATCH("Mitigation Strategy",'RAID Log'!$1:$1,0)),"")))</f>
        <v/>
      </c>
      <c r="Q212" s="88" t="str">
        <f>IF($B212="","",IF(IFERROR(INDEX('RAID Log'!$1:$1048576,$B212,MATCH("RAID Response/Plan",'RAID Log'!$1:$1,0)),"")="","",IFERROR(INDEX('RAID Log'!$1:$1048576,$B212,MATCH("RAID Response/Plan",'RAID Log'!$1:$1,0)),"")))</f>
        <v/>
      </c>
    </row>
    <row r="213" spans="1:17" ht="14.25" customHeight="1">
      <c r="A213" s="82" t="str">
        <f>IF($B213="","",IF(IFERROR(INDEX('RAID Log'!$1:$1048576,$B213,MATCH("RAID ID",'RAID Log'!$1:$1,0)),"")="","",IFERROR(INDEX('RAID Log'!$1:$1048576,$B213,MATCH("RAID ID",'RAID Log'!$1:$1,0)),"")))</f>
        <v/>
      </c>
      <c r="B213" s="83" t="str">
        <f>IFERROR(MATCH(ROW()-1,'RAID Log'!$S:$S,0),"")</f>
        <v/>
      </c>
      <c r="C213" s="84" t="str">
        <f>IF($B213="","",IF(IFERROR(INDEX('RAID Log'!$1:$1048576,$B213,MATCH("Description",'RAID Log'!$1:$1,0)),"")="","",IFERROR(INDEX('RAID Log'!$1:$1048576,$B213,MATCH("Description",'RAID Log'!$1:$1,0)),"")))</f>
        <v/>
      </c>
      <c r="D213" s="84" t="str">
        <f>IF($B213="","",IF(IFERROR(INDEX('RAID Log'!$1:$1048576,$B213,MATCH("Impact/Effect of the RAID",'RAID Log'!$1:$1,0)),"")="","",IFERROR(INDEX('RAID Log'!$1:$1048576,$B213,MATCH("Impact/Effect of the RAID",'RAID Log'!$1:$1,0)),"")))</f>
        <v/>
      </c>
      <c r="E213" s="85" t="str">
        <f>IF($B213="","",IF(IFERROR(INDEX('RAID Log'!$1:$1048576,$B213,MATCH("Impact Area",'RAID Log'!$1:$1,0)),"")="","",IFERROR(INDEX('RAID Log'!$1:$1048576,$B213,MATCH("Impact Area",'RAID Log'!$1:$1,0)),"")))</f>
        <v/>
      </c>
      <c r="F213" s="85" t="str">
        <f>IF($B213="","",IF(IFERROR(INDEX('RAID Log'!$1:$1048576,$B213,MATCH("Impact Area",'RAID Log'!$1:$1,0)),"")="","",IFERROR(INDEX('RAID Log'!$1:$1048576,$B213,MATCH("Impact Area",'RAID Log'!$1:$1,0)),"")))</f>
        <v/>
      </c>
      <c r="G213" s="85" t="str">
        <f>IF($B213="","",IF(IFERROR(INDEX('RAID Log'!$1:$1048576,$B213,MATCH("Impact Rating",'RAID Log'!$1:$1,0)),"")="","",IFERROR(INDEX('RAID Log'!$1:$1048576,$B213,MATCH("Impact Rating",'RAID Log'!$1:$1,0)),"")))</f>
        <v/>
      </c>
      <c r="H213" s="85" t="str">
        <f>IF($B213="","",IF(IFERROR(INDEX('RAID Log'!$1:$1048576,$B213,MATCH("Initial Probability",'RAID Log'!$1:$1,0)),"")="","",IFERROR(INDEX('RAID Log'!$1:$1048576,$B213,MATCH("Initial Probability",'RAID Log'!$1:$1,0)),"")))</f>
        <v/>
      </c>
      <c r="I213" s="86" t="str">
        <f t="shared" si="9"/>
        <v/>
      </c>
      <c r="J213" s="85" t="str">
        <f t="shared" si="10"/>
        <v/>
      </c>
      <c r="K213" s="86" t="str">
        <f t="shared" si="11"/>
        <v/>
      </c>
      <c r="L213" s="85" t="str">
        <f>IF($B213="","",IF(IFERROR(INDEX('RAID Log'!$1:$1048576,$B213,MATCH("Status",'RAID Log'!$1:$1,0)),"")="","",IFERROR(INDEX('RAID Log'!$1:$1048576,$B213,MATCH("Status",'RAID Log'!$1:$1,0)),"")))</f>
        <v/>
      </c>
      <c r="M213" s="85" t="str">
        <f>IF($B213="","",IF(IFERROR(INDEX('RAID Log'!$1:$1048576,$B213,MATCH("RAID Owner",'RAID Log'!$1:$1,0)),"")="","",IFERROR(INDEX('RAID Log'!$1:$1048576,$B213,MATCH("RAID Owner",'RAID Log'!$1:$1,0)),"")))</f>
        <v/>
      </c>
      <c r="N213" s="87" t="str">
        <f>IF($B213="","",IF(IFERROR(INDEX('RAID Log'!$1:$1048576,$B213,MATCH("Date Raised",'RAID Log'!$1:$1,0)),"")="","",IFERROR(INDEX('RAID Log'!$1:$1048576,$B213,MATCH("Date Raised",'RAID Log'!$1:$1,0)),"")))</f>
        <v/>
      </c>
      <c r="O213" s="87" t="str">
        <f>IF($B213="","",IF(IFERROR(INDEX('RAID Log'!$1:$1048576,$B213,MATCH("Closed Date",'RAID Log'!$1:$1,0)),"")="","",IFERROR(INDEX('RAID Log'!$1:$1048576,$B213,MATCH("Closed Date",'RAID Log'!$1:$1,0)),"")))</f>
        <v/>
      </c>
      <c r="P213" s="85" t="str">
        <f>IF($B213="","",IF(IFERROR(INDEX('RAID Log'!$1:$1048576,$B213,MATCH("Mitigation Strategy",'RAID Log'!$1:$1,0)),"")="","",IFERROR(INDEX('RAID Log'!$1:$1048576,$B213,MATCH("Mitigation Strategy",'RAID Log'!$1:$1,0)),"")))</f>
        <v/>
      </c>
      <c r="Q213" s="88" t="str">
        <f>IF($B213="","",IF(IFERROR(INDEX('RAID Log'!$1:$1048576,$B213,MATCH("RAID Response/Plan",'RAID Log'!$1:$1,0)),"")="","",IFERROR(INDEX('RAID Log'!$1:$1048576,$B213,MATCH("RAID Response/Plan",'RAID Log'!$1:$1,0)),"")))</f>
        <v/>
      </c>
    </row>
    <row r="214" spans="1:17" ht="14.25" customHeight="1">
      <c r="A214" s="82" t="str">
        <f>IF($B214="","",IF(IFERROR(INDEX('RAID Log'!$1:$1048576,$B214,MATCH("RAID ID",'RAID Log'!$1:$1,0)),"")="","",IFERROR(INDEX('RAID Log'!$1:$1048576,$B214,MATCH("RAID ID",'RAID Log'!$1:$1,0)),"")))</f>
        <v/>
      </c>
      <c r="B214" s="83" t="str">
        <f>IFERROR(MATCH(ROW()-1,'RAID Log'!$S:$S,0),"")</f>
        <v/>
      </c>
      <c r="C214" s="84" t="str">
        <f>IF($B214="","",IF(IFERROR(INDEX('RAID Log'!$1:$1048576,$B214,MATCH("Description",'RAID Log'!$1:$1,0)),"")="","",IFERROR(INDEX('RAID Log'!$1:$1048576,$B214,MATCH("Description",'RAID Log'!$1:$1,0)),"")))</f>
        <v/>
      </c>
      <c r="D214" s="84" t="str">
        <f>IF($B214="","",IF(IFERROR(INDEX('RAID Log'!$1:$1048576,$B214,MATCH("Impact/Effect of the RAID",'RAID Log'!$1:$1,0)),"")="","",IFERROR(INDEX('RAID Log'!$1:$1048576,$B214,MATCH("Impact/Effect of the RAID",'RAID Log'!$1:$1,0)),"")))</f>
        <v/>
      </c>
      <c r="E214" s="85" t="str">
        <f>IF($B214="","",IF(IFERROR(INDEX('RAID Log'!$1:$1048576,$B214,MATCH("Impact Area",'RAID Log'!$1:$1,0)),"")="","",IFERROR(INDEX('RAID Log'!$1:$1048576,$B214,MATCH("Impact Area",'RAID Log'!$1:$1,0)),"")))</f>
        <v/>
      </c>
      <c r="F214" s="85" t="str">
        <f>IF($B214="","",IF(IFERROR(INDEX('RAID Log'!$1:$1048576,$B214,MATCH("Impact Area",'RAID Log'!$1:$1,0)),"")="","",IFERROR(INDEX('RAID Log'!$1:$1048576,$B214,MATCH("Impact Area",'RAID Log'!$1:$1,0)),"")))</f>
        <v/>
      </c>
      <c r="G214" s="85" t="str">
        <f>IF($B214="","",IF(IFERROR(INDEX('RAID Log'!$1:$1048576,$B214,MATCH("Impact Rating",'RAID Log'!$1:$1,0)),"")="","",IFERROR(INDEX('RAID Log'!$1:$1048576,$B214,MATCH("Impact Rating",'RAID Log'!$1:$1,0)),"")))</f>
        <v/>
      </c>
      <c r="H214" s="85" t="str">
        <f>IF($B214="","",IF(IFERROR(INDEX('RAID Log'!$1:$1048576,$B214,MATCH("Initial Probability",'RAID Log'!$1:$1,0)),"")="","",IFERROR(INDEX('RAID Log'!$1:$1048576,$B214,MATCH("Initial Probability",'RAID Log'!$1:$1,0)),"")))</f>
        <v/>
      </c>
      <c r="I214" s="86" t="str">
        <f t="shared" si="9"/>
        <v/>
      </c>
      <c r="J214" s="85" t="str">
        <f t="shared" si="10"/>
        <v/>
      </c>
      <c r="K214" s="86" t="str">
        <f t="shared" si="11"/>
        <v/>
      </c>
      <c r="L214" s="85" t="str">
        <f>IF($B214="","",IF(IFERROR(INDEX('RAID Log'!$1:$1048576,$B214,MATCH("Status",'RAID Log'!$1:$1,0)),"")="","",IFERROR(INDEX('RAID Log'!$1:$1048576,$B214,MATCH("Status",'RAID Log'!$1:$1,0)),"")))</f>
        <v/>
      </c>
      <c r="M214" s="85" t="str">
        <f>IF($B214="","",IF(IFERROR(INDEX('RAID Log'!$1:$1048576,$B214,MATCH("RAID Owner",'RAID Log'!$1:$1,0)),"")="","",IFERROR(INDEX('RAID Log'!$1:$1048576,$B214,MATCH("RAID Owner",'RAID Log'!$1:$1,0)),"")))</f>
        <v/>
      </c>
      <c r="N214" s="87" t="str">
        <f>IF($B214="","",IF(IFERROR(INDEX('RAID Log'!$1:$1048576,$B214,MATCH("Date Raised",'RAID Log'!$1:$1,0)),"")="","",IFERROR(INDEX('RAID Log'!$1:$1048576,$B214,MATCH("Date Raised",'RAID Log'!$1:$1,0)),"")))</f>
        <v/>
      </c>
      <c r="O214" s="87" t="str">
        <f>IF($B214="","",IF(IFERROR(INDEX('RAID Log'!$1:$1048576,$B214,MATCH("Closed Date",'RAID Log'!$1:$1,0)),"")="","",IFERROR(INDEX('RAID Log'!$1:$1048576,$B214,MATCH("Closed Date",'RAID Log'!$1:$1,0)),"")))</f>
        <v/>
      </c>
      <c r="P214" s="85" t="str">
        <f>IF($B214="","",IF(IFERROR(INDEX('RAID Log'!$1:$1048576,$B214,MATCH("Mitigation Strategy",'RAID Log'!$1:$1,0)),"")="","",IFERROR(INDEX('RAID Log'!$1:$1048576,$B214,MATCH("Mitigation Strategy",'RAID Log'!$1:$1,0)),"")))</f>
        <v/>
      </c>
      <c r="Q214" s="88" t="str">
        <f>IF($B214="","",IF(IFERROR(INDEX('RAID Log'!$1:$1048576,$B214,MATCH("RAID Response/Plan",'RAID Log'!$1:$1,0)),"")="","",IFERROR(INDEX('RAID Log'!$1:$1048576,$B214,MATCH("RAID Response/Plan",'RAID Log'!$1:$1,0)),"")))</f>
        <v/>
      </c>
    </row>
    <row r="215" spans="1:17" ht="14.25" customHeight="1">
      <c r="A215" s="82" t="str">
        <f>IF($B215="","",IF(IFERROR(INDEX('RAID Log'!$1:$1048576,$B215,MATCH("RAID ID",'RAID Log'!$1:$1,0)),"")="","",IFERROR(INDEX('RAID Log'!$1:$1048576,$B215,MATCH("RAID ID",'RAID Log'!$1:$1,0)),"")))</f>
        <v/>
      </c>
      <c r="B215" s="83" t="str">
        <f>IFERROR(MATCH(ROW()-1,'RAID Log'!$S:$S,0),"")</f>
        <v/>
      </c>
      <c r="C215" s="84" t="str">
        <f>IF($B215="","",IF(IFERROR(INDEX('RAID Log'!$1:$1048576,$B215,MATCH("Description",'RAID Log'!$1:$1,0)),"")="","",IFERROR(INDEX('RAID Log'!$1:$1048576,$B215,MATCH("Description",'RAID Log'!$1:$1,0)),"")))</f>
        <v/>
      </c>
      <c r="D215" s="84" t="str">
        <f>IF($B215="","",IF(IFERROR(INDEX('RAID Log'!$1:$1048576,$B215,MATCH("Impact/Effect of the RAID",'RAID Log'!$1:$1,0)),"")="","",IFERROR(INDEX('RAID Log'!$1:$1048576,$B215,MATCH("Impact/Effect of the RAID",'RAID Log'!$1:$1,0)),"")))</f>
        <v/>
      </c>
      <c r="E215" s="85" t="str">
        <f>IF($B215="","",IF(IFERROR(INDEX('RAID Log'!$1:$1048576,$B215,MATCH("Impact Area",'RAID Log'!$1:$1,0)),"")="","",IFERROR(INDEX('RAID Log'!$1:$1048576,$B215,MATCH("Impact Area",'RAID Log'!$1:$1,0)),"")))</f>
        <v/>
      </c>
      <c r="F215" s="85" t="str">
        <f>IF($B215="","",IF(IFERROR(INDEX('RAID Log'!$1:$1048576,$B215,MATCH("Impact Area",'RAID Log'!$1:$1,0)),"")="","",IFERROR(INDEX('RAID Log'!$1:$1048576,$B215,MATCH("Impact Area",'RAID Log'!$1:$1,0)),"")))</f>
        <v/>
      </c>
      <c r="G215" s="85" t="str">
        <f>IF($B215="","",IF(IFERROR(INDEX('RAID Log'!$1:$1048576,$B215,MATCH("Impact Rating",'RAID Log'!$1:$1,0)),"")="","",IFERROR(INDEX('RAID Log'!$1:$1048576,$B215,MATCH("Impact Rating",'RAID Log'!$1:$1,0)),"")))</f>
        <v/>
      </c>
      <c r="H215" s="85" t="str">
        <f>IF($B215="","",IF(IFERROR(INDEX('RAID Log'!$1:$1048576,$B215,MATCH("Initial Probability",'RAID Log'!$1:$1,0)),"")="","",IFERROR(INDEX('RAID Log'!$1:$1048576,$B215,MATCH("Initial Probability",'RAID Log'!$1:$1,0)),"")))</f>
        <v/>
      </c>
      <c r="I215" s="86" t="str">
        <f t="shared" si="9"/>
        <v/>
      </c>
      <c r="J215" s="85" t="str">
        <f t="shared" si="10"/>
        <v/>
      </c>
      <c r="K215" s="86" t="str">
        <f t="shared" si="11"/>
        <v/>
      </c>
      <c r="L215" s="85" t="str">
        <f>IF($B215="","",IF(IFERROR(INDEX('RAID Log'!$1:$1048576,$B215,MATCH("Status",'RAID Log'!$1:$1,0)),"")="","",IFERROR(INDEX('RAID Log'!$1:$1048576,$B215,MATCH("Status",'RAID Log'!$1:$1,0)),"")))</f>
        <v/>
      </c>
      <c r="M215" s="85" t="str">
        <f>IF($B215="","",IF(IFERROR(INDEX('RAID Log'!$1:$1048576,$B215,MATCH("RAID Owner",'RAID Log'!$1:$1,0)),"")="","",IFERROR(INDEX('RAID Log'!$1:$1048576,$B215,MATCH("RAID Owner",'RAID Log'!$1:$1,0)),"")))</f>
        <v/>
      </c>
      <c r="N215" s="87" t="str">
        <f>IF($B215="","",IF(IFERROR(INDEX('RAID Log'!$1:$1048576,$B215,MATCH("Date Raised",'RAID Log'!$1:$1,0)),"")="","",IFERROR(INDEX('RAID Log'!$1:$1048576,$B215,MATCH("Date Raised",'RAID Log'!$1:$1,0)),"")))</f>
        <v/>
      </c>
      <c r="O215" s="87" t="str">
        <f>IF($B215="","",IF(IFERROR(INDEX('RAID Log'!$1:$1048576,$B215,MATCH("Closed Date",'RAID Log'!$1:$1,0)),"")="","",IFERROR(INDEX('RAID Log'!$1:$1048576,$B215,MATCH("Closed Date",'RAID Log'!$1:$1,0)),"")))</f>
        <v/>
      </c>
      <c r="P215" s="85" t="str">
        <f>IF($B215="","",IF(IFERROR(INDEX('RAID Log'!$1:$1048576,$B215,MATCH("Mitigation Strategy",'RAID Log'!$1:$1,0)),"")="","",IFERROR(INDEX('RAID Log'!$1:$1048576,$B215,MATCH("Mitigation Strategy",'RAID Log'!$1:$1,0)),"")))</f>
        <v/>
      </c>
      <c r="Q215" s="88" t="str">
        <f>IF($B215="","",IF(IFERROR(INDEX('RAID Log'!$1:$1048576,$B215,MATCH("RAID Response/Plan",'RAID Log'!$1:$1,0)),"")="","",IFERROR(INDEX('RAID Log'!$1:$1048576,$B215,MATCH("RAID Response/Plan",'RAID Log'!$1:$1,0)),"")))</f>
        <v/>
      </c>
    </row>
    <row r="216" spans="1:17" ht="14.25" customHeight="1">
      <c r="A216" s="82" t="str">
        <f>IF($B216="","",IF(IFERROR(INDEX('RAID Log'!$1:$1048576,$B216,MATCH("RAID ID",'RAID Log'!$1:$1,0)),"")="","",IFERROR(INDEX('RAID Log'!$1:$1048576,$B216,MATCH("RAID ID",'RAID Log'!$1:$1,0)),"")))</f>
        <v/>
      </c>
      <c r="B216" s="83" t="str">
        <f>IFERROR(MATCH(ROW()-1,'RAID Log'!$S:$S,0),"")</f>
        <v/>
      </c>
      <c r="C216" s="84" t="str">
        <f>IF($B216="","",IF(IFERROR(INDEX('RAID Log'!$1:$1048576,$B216,MATCH("Description",'RAID Log'!$1:$1,0)),"")="","",IFERROR(INDEX('RAID Log'!$1:$1048576,$B216,MATCH("Description",'RAID Log'!$1:$1,0)),"")))</f>
        <v/>
      </c>
      <c r="D216" s="84" t="str">
        <f>IF($B216="","",IF(IFERROR(INDEX('RAID Log'!$1:$1048576,$B216,MATCH("Impact/Effect of the RAID",'RAID Log'!$1:$1,0)),"")="","",IFERROR(INDEX('RAID Log'!$1:$1048576,$B216,MATCH("Impact/Effect of the RAID",'RAID Log'!$1:$1,0)),"")))</f>
        <v/>
      </c>
      <c r="E216" s="85" t="str">
        <f>IF($B216="","",IF(IFERROR(INDEX('RAID Log'!$1:$1048576,$B216,MATCH("Impact Area",'RAID Log'!$1:$1,0)),"")="","",IFERROR(INDEX('RAID Log'!$1:$1048576,$B216,MATCH("Impact Area",'RAID Log'!$1:$1,0)),"")))</f>
        <v/>
      </c>
      <c r="F216" s="85" t="str">
        <f>IF($B216="","",IF(IFERROR(INDEX('RAID Log'!$1:$1048576,$B216,MATCH("Impact Area",'RAID Log'!$1:$1,0)),"")="","",IFERROR(INDEX('RAID Log'!$1:$1048576,$B216,MATCH("Impact Area",'RAID Log'!$1:$1,0)),"")))</f>
        <v/>
      </c>
      <c r="G216" s="85" t="str">
        <f>IF($B216="","",IF(IFERROR(INDEX('RAID Log'!$1:$1048576,$B216,MATCH("Impact Rating",'RAID Log'!$1:$1,0)),"")="","",IFERROR(INDEX('RAID Log'!$1:$1048576,$B216,MATCH("Impact Rating",'RAID Log'!$1:$1,0)),"")))</f>
        <v/>
      </c>
      <c r="H216" s="85" t="str">
        <f>IF($B216="","",IF(IFERROR(INDEX('RAID Log'!$1:$1048576,$B216,MATCH("Initial Probability",'RAID Log'!$1:$1,0)),"")="","",IFERROR(INDEX('RAID Log'!$1:$1048576,$B216,MATCH("Initial Probability",'RAID Log'!$1:$1,0)),"")))</f>
        <v/>
      </c>
      <c r="I216" s="86" t="str">
        <f t="shared" si="9"/>
        <v/>
      </c>
      <c r="J216" s="85" t="str">
        <f t="shared" si="10"/>
        <v/>
      </c>
      <c r="K216" s="86" t="str">
        <f t="shared" si="11"/>
        <v/>
      </c>
      <c r="L216" s="85" t="str">
        <f>IF($B216="","",IF(IFERROR(INDEX('RAID Log'!$1:$1048576,$B216,MATCH("Status",'RAID Log'!$1:$1,0)),"")="","",IFERROR(INDEX('RAID Log'!$1:$1048576,$B216,MATCH("Status",'RAID Log'!$1:$1,0)),"")))</f>
        <v/>
      </c>
      <c r="M216" s="85" t="str">
        <f>IF($B216="","",IF(IFERROR(INDEX('RAID Log'!$1:$1048576,$B216,MATCH("RAID Owner",'RAID Log'!$1:$1,0)),"")="","",IFERROR(INDEX('RAID Log'!$1:$1048576,$B216,MATCH("RAID Owner",'RAID Log'!$1:$1,0)),"")))</f>
        <v/>
      </c>
      <c r="N216" s="87" t="str">
        <f>IF($B216="","",IF(IFERROR(INDEX('RAID Log'!$1:$1048576,$B216,MATCH("Date Raised",'RAID Log'!$1:$1,0)),"")="","",IFERROR(INDEX('RAID Log'!$1:$1048576,$B216,MATCH("Date Raised",'RAID Log'!$1:$1,0)),"")))</f>
        <v/>
      </c>
      <c r="O216" s="87" t="str">
        <f>IF($B216="","",IF(IFERROR(INDEX('RAID Log'!$1:$1048576,$B216,MATCH("Closed Date",'RAID Log'!$1:$1,0)),"")="","",IFERROR(INDEX('RAID Log'!$1:$1048576,$B216,MATCH("Closed Date",'RAID Log'!$1:$1,0)),"")))</f>
        <v/>
      </c>
      <c r="P216" s="85" t="str">
        <f>IF($B216="","",IF(IFERROR(INDEX('RAID Log'!$1:$1048576,$B216,MATCH("Mitigation Strategy",'RAID Log'!$1:$1,0)),"")="","",IFERROR(INDEX('RAID Log'!$1:$1048576,$B216,MATCH("Mitigation Strategy",'RAID Log'!$1:$1,0)),"")))</f>
        <v/>
      </c>
      <c r="Q216" s="88" t="str">
        <f>IF($B216="","",IF(IFERROR(INDEX('RAID Log'!$1:$1048576,$B216,MATCH("RAID Response/Plan",'RAID Log'!$1:$1,0)),"")="","",IFERROR(INDEX('RAID Log'!$1:$1048576,$B216,MATCH("RAID Response/Plan",'RAID Log'!$1:$1,0)),"")))</f>
        <v/>
      </c>
    </row>
    <row r="217" spans="1:17" ht="14.25" customHeight="1">
      <c r="A217" s="82" t="str">
        <f>IF($B217="","",IF(IFERROR(INDEX('RAID Log'!$1:$1048576,$B217,MATCH("RAID ID",'RAID Log'!$1:$1,0)),"")="","",IFERROR(INDEX('RAID Log'!$1:$1048576,$B217,MATCH("RAID ID",'RAID Log'!$1:$1,0)),"")))</f>
        <v/>
      </c>
      <c r="B217" s="83" t="str">
        <f>IFERROR(MATCH(ROW()-1,'RAID Log'!$S:$S,0),"")</f>
        <v/>
      </c>
      <c r="C217" s="84" t="str">
        <f>IF($B217="","",IF(IFERROR(INDEX('RAID Log'!$1:$1048576,$B217,MATCH("Description",'RAID Log'!$1:$1,0)),"")="","",IFERROR(INDEX('RAID Log'!$1:$1048576,$B217,MATCH("Description",'RAID Log'!$1:$1,0)),"")))</f>
        <v/>
      </c>
      <c r="D217" s="84" t="str">
        <f>IF($B217="","",IF(IFERROR(INDEX('RAID Log'!$1:$1048576,$B217,MATCH("Impact/Effect of the RAID",'RAID Log'!$1:$1,0)),"")="","",IFERROR(INDEX('RAID Log'!$1:$1048576,$B217,MATCH("Impact/Effect of the RAID",'RAID Log'!$1:$1,0)),"")))</f>
        <v/>
      </c>
      <c r="E217" s="85" t="str">
        <f>IF($B217="","",IF(IFERROR(INDEX('RAID Log'!$1:$1048576,$B217,MATCH("Impact Area",'RAID Log'!$1:$1,0)),"")="","",IFERROR(INDEX('RAID Log'!$1:$1048576,$B217,MATCH("Impact Area",'RAID Log'!$1:$1,0)),"")))</f>
        <v/>
      </c>
      <c r="F217" s="85" t="str">
        <f>IF($B217="","",IF(IFERROR(INDEX('RAID Log'!$1:$1048576,$B217,MATCH("Impact Area",'RAID Log'!$1:$1,0)),"")="","",IFERROR(INDEX('RAID Log'!$1:$1048576,$B217,MATCH("Impact Area",'RAID Log'!$1:$1,0)),"")))</f>
        <v/>
      </c>
      <c r="G217" s="85" t="str">
        <f>IF($B217="","",IF(IFERROR(INDEX('RAID Log'!$1:$1048576,$B217,MATCH("Impact Rating",'RAID Log'!$1:$1,0)),"")="","",IFERROR(INDEX('RAID Log'!$1:$1048576,$B217,MATCH("Impact Rating",'RAID Log'!$1:$1,0)),"")))</f>
        <v/>
      </c>
      <c r="H217" s="85" t="str">
        <f>IF($B217="","",IF(IFERROR(INDEX('RAID Log'!$1:$1048576,$B217,MATCH("Initial Probability",'RAID Log'!$1:$1,0)),"")="","",IFERROR(INDEX('RAID Log'!$1:$1048576,$B217,MATCH("Initial Probability",'RAID Log'!$1:$1,0)),"")))</f>
        <v/>
      </c>
      <c r="I217" s="86" t="str">
        <f t="shared" si="9"/>
        <v/>
      </c>
      <c r="J217" s="85" t="str">
        <f t="shared" si="10"/>
        <v/>
      </c>
      <c r="K217" s="86" t="str">
        <f t="shared" si="11"/>
        <v/>
      </c>
      <c r="L217" s="85" t="str">
        <f>IF($B217="","",IF(IFERROR(INDEX('RAID Log'!$1:$1048576,$B217,MATCH("Status",'RAID Log'!$1:$1,0)),"")="","",IFERROR(INDEX('RAID Log'!$1:$1048576,$B217,MATCH("Status",'RAID Log'!$1:$1,0)),"")))</f>
        <v/>
      </c>
      <c r="M217" s="85" t="str">
        <f>IF($B217="","",IF(IFERROR(INDEX('RAID Log'!$1:$1048576,$B217,MATCH("RAID Owner",'RAID Log'!$1:$1,0)),"")="","",IFERROR(INDEX('RAID Log'!$1:$1048576,$B217,MATCH("RAID Owner",'RAID Log'!$1:$1,0)),"")))</f>
        <v/>
      </c>
      <c r="N217" s="87" t="str">
        <f>IF($B217="","",IF(IFERROR(INDEX('RAID Log'!$1:$1048576,$B217,MATCH("Date Raised",'RAID Log'!$1:$1,0)),"")="","",IFERROR(INDEX('RAID Log'!$1:$1048576,$B217,MATCH("Date Raised",'RAID Log'!$1:$1,0)),"")))</f>
        <v/>
      </c>
      <c r="O217" s="87" t="str">
        <f>IF($B217="","",IF(IFERROR(INDEX('RAID Log'!$1:$1048576,$B217,MATCH("Closed Date",'RAID Log'!$1:$1,0)),"")="","",IFERROR(INDEX('RAID Log'!$1:$1048576,$B217,MATCH("Closed Date",'RAID Log'!$1:$1,0)),"")))</f>
        <v/>
      </c>
      <c r="P217" s="85" t="str">
        <f>IF($B217="","",IF(IFERROR(INDEX('RAID Log'!$1:$1048576,$B217,MATCH("Mitigation Strategy",'RAID Log'!$1:$1,0)),"")="","",IFERROR(INDEX('RAID Log'!$1:$1048576,$B217,MATCH("Mitigation Strategy",'RAID Log'!$1:$1,0)),"")))</f>
        <v/>
      </c>
      <c r="Q217" s="88" t="str">
        <f>IF($B217="","",IF(IFERROR(INDEX('RAID Log'!$1:$1048576,$B217,MATCH("RAID Response/Plan",'RAID Log'!$1:$1,0)),"")="","",IFERROR(INDEX('RAID Log'!$1:$1048576,$B217,MATCH("RAID Response/Plan",'RAID Log'!$1:$1,0)),"")))</f>
        <v/>
      </c>
    </row>
    <row r="218" spans="1:17" ht="14.25" customHeight="1">
      <c r="A218" s="82" t="str">
        <f>IF($B218="","",IF(IFERROR(INDEX('RAID Log'!$1:$1048576,$B218,MATCH("RAID ID",'RAID Log'!$1:$1,0)),"")="","",IFERROR(INDEX('RAID Log'!$1:$1048576,$B218,MATCH("RAID ID",'RAID Log'!$1:$1,0)),"")))</f>
        <v/>
      </c>
      <c r="B218" s="83" t="str">
        <f>IFERROR(MATCH(ROW()-1,'RAID Log'!$S:$S,0),"")</f>
        <v/>
      </c>
      <c r="C218" s="84" t="str">
        <f>IF($B218="","",IF(IFERROR(INDEX('RAID Log'!$1:$1048576,$B218,MATCH("Description",'RAID Log'!$1:$1,0)),"")="","",IFERROR(INDEX('RAID Log'!$1:$1048576,$B218,MATCH("Description",'RAID Log'!$1:$1,0)),"")))</f>
        <v/>
      </c>
      <c r="D218" s="84" t="str">
        <f>IF($B218="","",IF(IFERROR(INDEX('RAID Log'!$1:$1048576,$B218,MATCH("Impact/Effect of the RAID",'RAID Log'!$1:$1,0)),"")="","",IFERROR(INDEX('RAID Log'!$1:$1048576,$B218,MATCH("Impact/Effect of the RAID",'RAID Log'!$1:$1,0)),"")))</f>
        <v/>
      </c>
      <c r="E218" s="85" t="str">
        <f>IF($B218="","",IF(IFERROR(INDEX('RAID Log'!$1:$1048576,$B218,MATCH("Impact Area",'RAID Log'!$1:$1,0)),"")="","",IFERROR(INDEX('RAID Log'!$1:$1048576,$B218,MATCH("Impact Area",'RAID Log'!$1:$1,0)),"")))</f>
        <v/>
      </c>
      <c r="F218" s="85" t="str">
        <f>IF($B218="","",IF(IFERROR(INDEX('RAID Log'!$1:$1048576,$B218,MATCH("Impact Area",'RAID Log'!$1:$1,0)),"")="","",IFERROR(INDEX('RAID Log'!$1:$1048576,$B218,MATCH("Impact Area",'RAID Log'!$1:$1,0)),"")))</f>
        <v/>
      </c>
      <c r="G218" s="85" t="str">
        <f>IF($B218="","",IF(IFERROR(INDEX('RAID Log'!$1:$1048576,$B218,MATCH("Impact Rating",'RAID Log'!$1:$1,0)),"")="","",IFERROR(INDEX('RAID Log'!$1:$1048576,$B218,MATCH("Impact Rating",'RAID Log'!$1:$1,0)),"")))</f>
        <v/>
      </c>
      <c r="H218" s="85" t="str">
        <f>IF($B218="","",IF(IFERROR(INDEX('RAID Log'!$1:$1048576,$B218,MATCH("Initial Probability",'RAID Log'!$1:$1,0)),"")="","",IFERROR(INDEX('RAID Log'!$1:$1048576,$B218,MATCH("Initial Probability",'RAID Log'!$1:$1,0)),"")))</f>
        <v/>
      </c>
      <c r="I218" s="86" t="str">
        <f t="shared" si="9"/>
        <v/>
      </c>
      <c r="J218" s="85" t="str">
        <f t="shared" si="10"/>
        <v/>
      </c>
      <c r="K218" s="86" t="str">
        <f t="shared" si="11"/>
        <v/>
      </c>
      <c r="L218" s="85" t="str">
        <f>IF($B218="","",IF(IFERROR(INDEX('RAID Log'!$1:$1048576,$B218,MATCH("Status",'RAID Log'!$1:$1,0)),"")="","",IFERROR(INDEX('RAID Log'!$1:$1048576,$B218,MATCH("Status",'RAID Log'!$1:$1,0)),"")))</f>
        <v/>
      </c>
      <c r="M218" s="85" t="str">
        <f>IF($B218="","",IF(IFERROR(INDEX('RAID Log'!$1:$1048576,$B218,MATCH("RAID Owner",'RAID Log'!$1:$1,0)),"")="","",IFERROR(INDEX('RAID Log'!$1:$1048576,$B218,MATCH("RAID Owner",'RAID Log'!$1:$1,0)),"")))</f>
        <v/>
      </c>
      <c r="N218" s="87" t="str">
        <f>IF($B218="","",IF(IFERROR(INDEX('RAID Log'!$1:$1048576,$B218,MATCH("Date Raised",'RAID Log'!$1:$1,0)),"")="","",IFERROR(INDEX('RAID Log'!$1:$1048576,$B218,MATCH("Date Raised",'RAID Log'!$1:$1,0)),"")))</f>
        <v/>
      </c>
      <c r="O218" s="87" t="str">
        <f>IF($B218="","",IF(IFERROR(INDEX('RAID Log'!$1:$1048576,$B218,MATCH("Closed Date",'RAID Log'!$1:$1,0)),"")="","",IFERROR(INDEX('RAID Log'!$1:$1048576,$B218,MATCH("Closed Date",'RAID Log'!$1:$1,0)),"")))</f>
        <v/>
      </c>
      <c r="P218" s="85" t="str">
        <f>IF($B218="","",IF(IFERROR(INDEX('RAID Log'!$1:$1048576,$B218,MATCH("Mitigation Strategy",'RAID Log'!$1:$1,0)),"")="","",IFERROR(INDEX('RAID Log'!$1:$1048576,$B218,MATCH("Mitigation Strategy",'RAID Log'!$1:$1,0)),"")))</f>
        <v/>
      </c>
      <c r="Q218" s="88" t="str">
        <f>IF($B218="","",IF(IFERROR(INDEX('RAID Log'!$1:$1048576,$B218,MATCH("RAID Response/Plan",'RAID Log'!$1:$1,0)),"")="","",IFERROR(INDEX('RAID Log'!$1:$1048576,$B218,MATCH("RAID Response/Plan",'RAID Log'!$1:$1,0)),"")))</f>
        <v/>
      </c>
    </row>
    <row r="219" spans="1:17" ht="14.25" customHeight="1">
      <c r="A219" s="82" t="str">
        <f>IF($B219="","",IF(IFERROR(INDEX('RAID Log'!$1:$1048576,$B219,MATCH("RAID ID",'RAID Log'!$1:$1,0)),"")="","",IFERROR(INDEX('RAID Log'!$1:$1048576,$B219,MATCH("RAID ID",'RAID Log'!$1:$1,0)),"")))</f>
        <v/>
      </c>
      <c r="B219" s="83" t="str">
        <f>IFERROR(MATCH(ROW()-1,'RAID Log'!$S:$S,0),"")</f>
        <v/>
      </c>
      <c r="C219" s="84" t="str">
        <f>IF($B219="","",IF(IFERROR(INDEX('RAID Log'!$1:$1048576,$B219,MATCH("Description",'RAID Log'!$1:$1,0)),"")="","",IFERROR(INDEX('RAID Log'!$1:$1048576,$B219,MATCH("Description",'RAID Log'!$1:$1,0)),"")))</f>
        <v/>
      </c>
      <c r="D219" s="84" t="str">
        <f>IF($B219="","",IF(IFERROR(INDEX('RAID Log'!$1:$1048576,$B219,MATCH("Impact/Effect of the RAID",'RAID Log'!$1:$1,0)),"")="","",IFERROR(INDEX('RAID Log'!$1:$1048576,$B219,MATCH("Impact/Effect of the RAID",'RAID Log'!$1:$1,0)),"")))</f>
        <v/>
      </c>
      <c r="E219" s="85" t="str">
        <f>IF($B219="","",IF(IFERROR(INDEX('RAID Log'!$1:$1048576,$B219,MATCH("Impact Area",'RAID Log'!$1:$1,0)),"")="","",IFERROR(INDEX('RAID Log'!$1:$1048576,$B219,MATCH("Impact Area",'RAID Log'!$1:$1,0)),"")))</f>
        <v/>
      </c>
      <c r="F219" s="85" t="str">
        <f>IF($B219="","",IF(IFERROR(INDEX('RAID Log'!$1:$1048576,$B219,MATCH("Impact Area",'RAID Log'!$1:$1,0)),"")="","",IFERROR(INDEX('RAID Log'!$1:$1048576,$B219,MATCH("Impact Area",'RAID Log'!$1:$1,0)),"")))</f>
        <v/>
      </c>
      <c r="G219" s="85" t="str">
        <f>IF($B219="","",IF(IFERROR(INDEX('RAID Log'!$1:$1048576,$B219,MATCH("Impact Rating",'RAID Log'!$1:$1,0)),"")="","",IFERROR(INDEX('RAID Log'!$1:$1048576,$B219,MATCH("Impact Rating",'RAID Log'!$1:$1,0)),"")))</f>
        <v/>
      </c>
      <c r="H219" s="85" t="str">
        <f>IF($B219="","",IF(IFERROR(INDEX('RAID Log'!$1:$1048576,$B219,MATCH("Initial Probability",'RAID Log'!$1:$1,0)),"")="","",IFERROR(INDEX('RAID Log'!$1:$1048576,$B219,MATCH("Initial Probability",'RAID Log'!$1:$1,0)),"")))</f>
        <v/>
      </c>
      <c r="I219" s="86" t="str">
        <f t="shared" si="9"/>
        <v/>
      </c>
      <c r="J219" s="85" t="str">
        <f t="shared" si="10"/>
        <v/>
      </c>
      <c r="K219" s="86" t="str">
        <f t="shared" si="11"/>
        <v/>
      </c>
      <c r="L219" s="85" t="str">
        <f>IF($B219="","",IF(IFERROR(INDEX('RAID Log'!$1:$1048576,$B219,MATCH("Status",'RAID Log'!$1:$1,0)),"")="","",IFERROR(INDEX('RAID Log'!$1:$1048576,$B219,MATCH("Status",'RAID Log'!$1:$1,0)),"")))</f>
        <v/>
      </c>
      <c r="M219" s="85" t="str">
        <f>IF($B219="","",IF(IFERROR(INDEX('RAID Log'!$1:$1048576,$B219,MATCH("RAID Owner",'RAID Log'!$1:$1,0)),"")="","",IFERROR(INDEX('RAID Log'!$1:$1048576,$B219,MATCH("RAID Owner",'RAID Log'!$1:$1,0)),"")))</f>
        <v/>
      </c>
      <c r="N219" s="87" t="str">
        <f>IF($B219="","",IF(IFERROR(INDEX('RAID Log'!$1:$1048576,$B219,MATCH("Date Raised",'RAID Log'!$1:$1,0)),"")="","",IFERROR(INDEX('RAID Log'!$1:$1048576,$B219,MATCH("Date Raised",'RAID Log'!$1:$1,0)),"")))</f>
        <v/>
      </c>
      <c r="O219" s="87" t="str">
        <f>IF($B219="","",IF(IFERROR(INDEX('RAID Log'!$1:$1048576,$B219,MATCH("Closed Date",'RAID Log'!$1:$1,0)),"")="","",IFERROR(INDEX('RAID Log'!$1:$1048576,$B219,MATCH("Closed Date",'RAID Log'!$1:$1,0)),"")))</f>
        <v/>
      </c>
      <c r="P219" s="85" t="str">
        <f>IF($B219="","",IF(IFERROR(INDEX('RAID Log'!$1:$1048576,$B219,MATCH("Mitigation Strategy",'RAID Log'!$1:$1,0)),"")="","",IFERROR(INDEX('RAID Log'!$1:$1048576,$B219,MATCH("Mitigation Strategy",'RAID Log'!$1:$1,0)),"")))</f>
        <v/>
      </c>
      <c r="Q219" s="88" t="str">
        <f>IF($B219="","",IF(IFERROR(INDEX('RAID Log'!$1:$1048576,$B219,MATCH("RAID Response/Plan",'RAID Log'!$1:$1,0)),"")="","",IFERROR(INDEX('RAID Log'!$1:$1048576,$B219,MATCH("RAID Response/Plan",'RAID Log'!$1:$1,0)),"")))</f>
        <v/>
      </c>
    </row>
    <row r="220" spans="1:17" ht="14.25" customHeight="1">
      <c r="A220" s="82" t="str">
        <f>IF($B220="","",IF(IFERROR(INDEX('RAID Log'!$1:$1048576,$B220,MATCH("RAID ID",'RAID Log'!$1:$1,0)),"")="","",IFERROR(INDEX('RAID Log'!$1:$1048576,$B220,MATCH("RAID ID",'RAID Log'!$1:$1,0)),"")))</f>
        <v/>
      </c>
      <c r="B220" s="83" t="str">
        <f>IFERROR(MATCH(ROW()-1,'RAID Log'!$S:$S,0),"")</f>
        <v/>
      </c>
      <c r="C220" s="84" t="str">
        <f>IF($B220="","",IF(IFERROR(INDEX('RAID Log'!$1:$1048576,$B220,MATCH("Description",'RAID Log'!$1:$1,0)),"")="","",IFERROR(INDEX('RAID Log'!$1:$1048576,$B220,MATCH("Description",'RAID Log'!$1:$1,0)),"")))</f>
        <v/>
      </c>
      <c r="D220" s="84" t="str">
        <f>IF($B220="","",IF(IFERROR(INDEX('RAID Log'!$1:$1048576,$B220,MATCH("Impact/Effect of the RAID",'RAID Log'!$1:$1,0)),"")="","",IFERROR(INDEX('RAID Log'!$1:$1048576,$B220,MATCH("Impact/Effect of the RAID",'RAID Log'!$1:$1,0)),"")))</f>
        <v/>
      </c>
      <c r="E220" s="85" t="str">
        <f>IF($B220="","",IF(IFERROR(INDEX('RAID Log'!$1:$1048576,$B220,MATCH("Impact Area",'RAID Log'!$1:$1,0)),"")="","",IFERROR(INDEX('RAID Log'!$1:$1048576,$B220,MATCH("Impact Area",'RAID Log'!$1:$1,0)),"")))</f>
        <v/>
      </c>
      <c r="F220" s="85" t="str">
        <f>IF($B220="","",IF(IFERROR(INDEX('RAID Log'!$1:$1048576,$B220,MATCH("Impact Area",'RAID Log'!$1:$1,0)),"")="","",IFERROR(INDEX('RAID Log'!$1:$1048576,$B220,MATCH("Impact Area",'RAID Log'!$1:$1,0)),"")))</f>
        <v/>
      </c>
      <c r="G220" s="85" t="str">
        <f>IF($B220="","",IF(IFERROR(INDEX('RAID Log'!$1:$1048576,$B220,MATCH("Impact Rating",'RAID Log'!$1:$1,0)),"")="","",IFERROR(INDEX('RAID Log'!$1:$1048576,$B220,MATCH("Impact Rating",'RAID Log'!$1:$1,0)),"")))</f>
        <v/>
      </c>
      <c r="H220" s="85" t="str">
        <f>IF($B220="","",IF(IFERROR(INDEX('RAID Log'!$1:$1048576,$B220,MATCH("Initial Probability",'RAID Log'!$1:$1,0)),"")="","",IFERROR(INDEX('RAID Log'!$1:$1048576,$B220,MATCH("Initial Probability",'RAID Log'!$1:$1,0)),"")))</f>
        <v/>
      </c>
      <c r="I220" s="86" t="str">
        <f t="shared" si="9"/>
        <v/>
      </c>
      <c r="J220" s="85" t="str">
        <f t="shared" si="10"/>
        <v/>
      </c>
      <c r="K220" s="86" t="str">
        <f t="shared" si="11"/>
        <v/>
      </c>
      <c r="L220" s="85" t="str">
        <f>IF($B220="","",IF(IFERROR(INDEX('RAID Log'!$1:$1048576,$B220,MATCH("Status",'RAID Log'!$1:$1,0)),"")="","",IFERROR(INDEX('RAID Log'!$1:$1048576,$B220,MATCH("Status",'RAID Log'!$1:$1,0)),"")))</f>
        <v/>
      </c>
      <c r="M220" s="85" t="str">
        <f>IF($B220="","",IF(IFERROR(INDEX('RAID Log'!$1:$1048576,$B220,MATCH("RAID Owner",'RAID Log'!$1:$1,0)),"")="","",IFERROR(INDEX('RAID Log'!$1:$1048576,$B220,MATCH("RAID Owner",'RAID Log'!$1:$1,0)),"")))</f>
        <v/>
      </c>
      <c r="N220" s="87" t="str">
        <f>IF($B220="","",IF(IFERROR(INDEX('RAID Log'!$1:$1048576,$B220,MATCH("Date Raised",'RAID Log'!$1:$1,0)),"")="","",IFERROR(INDEX('RAID Log'!$1:$1048576,$B220,MATCH("Date Raised",'RAID Log'!$1:$1,0)),"")))</f>
        <v/>
      </c>
      <c r="O220" s="87" t="str">
        <f>IF($B220="","",IF(IFERROR(INDEX('RAID Log'!$1:$1048576,$B220,MATCH("Closed Date",'RAID Log'!$1:$1,0)),"")="","",IFERROR(INDEX('RAID Log'!$1:$1048576,$B220,MATCH("Closed Date",'RAID Log'!$1:$1,0)),"")))</f>
        <v/>
      </c>
      <c r="P220" s="85" t="str">
        <f>IF($B220="","",IF(IFERROR(INDEX('RAID Log'!$1:$1048576,$B220,MATCH("Mitigation Strategy",'RAID Log'!$1:$1,0)),"")="","",IFERROR(INDEX('RAID Log'!$1:$1048576,$B220,MATCH("Mitigation Strategy",'RAID Log'!$1:$1,0)),"")))</f>
        <v/>
      </c>
      <c r="Q220" s="88" t="str">
        <f>IF($B220="","",IF(IFERROR(INDEX('RAID Log'!$1:$1048576,$B220,MATCH("RAID Response/Plan",'RAID Log'!$1:$1,0)),"")="","",IFERROR(INDEX('RAID Log'!$1:$1048576,$B220,MATCH("RAID Response/Plan",'RAID Log'!$1:$1,0)),"")))</f>
        <v/>
      </c>
    </row>
    <row r="221" spans="1:17" ht="14.25" customHeight="1">
      <c r="A221" s="82" t="str">
        <f>IF($B221="","",IF(IFERROR(INDEX('RAID Log'!$1:$1048576,$B221,MATCH("RAID ID",'RAID Log'!$1:$1,0)),"")="","",IFERROR(INDEX('RAID Log'!$1:$1048576,$B221,MATCH("RAID ID",'RAID Log'!$1:$1,0)),"")))</f>
        <v/>
      </c>
      <c r="B221" s="83" t="str">
        <f>IFERROR(MATCH(ROW()-1,'RAID Log'!$S:$S,0),"")</f>
        <v/>
      </c>
      <c r="C221" s="84" t="str">
        <f>IF($B221="","",IF(IFERROR(INDEX('RAID Log'!$1:$1048576,$B221,MATCH("Description",'RAID Log'!$1:$1,0)),"")="","",IFERROR(INDEX('RAID Log'!$1:$1048576,$B221,MATCH("Description",'RAID Log'!$1:$1,0)),"")))</f>
        <v/>
      </c>
      <c r="D221" s="84" t="str">
        <f>IF($B221="","",IF(IFERROR(INDEX('RAID Log'!$1:$1048576,$B221,MATCH("Impact/Effect of the RAID",'RAID Log'!$1:$1,0)),"")="","",IFERROR(INDEX('RAID Log'!$1:$1048576,$B221,MATCH("Impact/Effect of the RAID",'RAID Log'!$1:$1,0)),"")))</f>
        <v/>
      </c>
      <c r="E221" s="85" t="str">
        <f>IF($B221="","",IF(IFERROR(INDEX('RAID Log'!$1:$1048576,$B221,MATCH("Impact Area",'RAID Log'!$1:$1,0)),"")="","",IFERROR(INDEX('RAID Log'!$1:$1048576,$B221,MATCH("Impact Area",'RAID Log'!$1:$1,0)),"")))</f>
        <v/>
      </c>
      <c r="F221" s="85" t="str">
        <f>IF($B221="","",IF(IFERROR(INDEX('RAID Log'!$1:$1048576,$B221,MATCH("Impact Area",'RAID Log'!$1:$1,0)),"")="","",IFERROR(INDEX('RAID Log'!$1:$1048576,$B221,MATCH("Impact Area",'RAID Log'!$1:$1,0)),"")))</f>
        <v/>
      </c>
      <c r="G221" s="85" t="str">
        <f>IF($B221="","",IF(IFERROR(INDEX('RAID Log'!$1:$1048576,$B221,MATCH("Impact Rating",'RAID Log'!$1:$1,0)),"")="","",IFERROR(INDEX('RAID Log'!$1:$1048576,$B221,MATCH("Impact Rating",'RAID Log'!$1:$1,0)),"")))</f>
        <v/>
      </c>
      <c r="H221" s="85" t="str">
        <f>IF($B221="","",IF(IFERROR(INDEX('RAID Log'!$1:$1048576,$B221,MATCH("Initial Probability",'RAID Log'!$1:$1,0)),"")="","",IFERROR(INDEX('RAID Log'!$1:$1048576,$B221,MATCH("Initial Probability",'RAID Log'!$1:$1,0)),"")))</f>
        <v/>
      </c>
      <c r="I221" s="86" t="str">
        <f t="shared" si="9"/>
        <v/>
      </c>
      <c r="J221" s="85" t="str">
        <f t="shared" si="10"/>
        <v/>
      </c>
      <c r="K221" s="86" t="str">
        <f t="shared" si="11"/>
        <v/>
      </c>
      <c r="L221" s="85" t="str">
        <f>IF($B221="","",IF(IFERROR(INDEX('RAID Log'!$1:$1048576,$B221,MATCH("Status",'RAID Log'!$1:$1,0)),"")="","",IFERROR(INDEX('RAID Log'!$1:$1048576,$B221,MATCH("Status",'RAID Log'!$1:$1,0)),"")))</f>
        <v/>
      </c>
      <c r="M221" s="85" t="str">
        <f>IF($B221="","",IF(IFERROR(INDEX('RAID Log'!$1:$1048576,$B221,MATCH("RAID Owner",'RAID Log'!$1:$1,0)),"")="","",IFERROR(INDEX('RAID Log'!$1:$1048576,$B221,MATCH("RAID Owner",'RAID Log'!$1:$1,0)),"")))</f>
        <v/>
      </c>
      <c r="N221" s="87" t="str">
        <f>IF($B221="","",IF(IFERROR(INDEX('RAID Log'!$1:$1048576,$B221,MATCH("Date Raised",'RAID Log'!$1:$1,0)),"")="","",IFERROR(INDEX('RAID Log'!$1:$1048576,$B221,MATCH("Date Raised",'RAID Log'!$1:$1,0)),"")))</f>
        <v/>
      </c>
      <c r="O221" s="87" t="str">
        <f>IF($B221="","",IF(IFERROR(INDEX('RAID Log'!$1:$1048576,$B221,MATCH("Closed Date",'RAID Log'!$1:$1,0)),"")="","",IFERROR(INDEX('RAID Log'!$1:$1048576,$B221,MATCH("Closed Date",'RAID Log'!$1:$1,0)),"")))</f>
        <v/>
      </c>
      <c r="P221" s="85" t="str">
        <f>IF($B221="","",IF(IFERROR(INDEX('RAID Log'!$1:$1048576,$B221,MATCH("Mitigation Strategy",'RAID Log'!$1:$1,0)),"")="","",IFERROR(INDEX('RAID Log'!$1:$1048576,$B221,MATCH("Mitigation Strategy",'RAID Log'!$1:$1,0)),"")))</f>
        <v/>
      </c>
      <c r="Q221" s="88" t="str">
        <f>IF($B221="","",IF(IFERROR(INDEX('RAID Log'!$1:$1048576,$B221,MATCH("RAID Response/Plan",'RAID Log'!$1:$1,0)),"")="","",IFERROR(INDEX('RAID Log'!$1:$1048576,$B221,MATCH("RAID Response/Plan",'RAID Log'!$1:$1,0)),"")))</f>
        <v/>
      </c>
    </row>
    <row r="222" spans="1:17" ht="14.25" customHeight="1">
      <c r="A222" s="82" t="str">
        <f>IF($B222="","",IF(IFERROR(INDEX('RAID Log'!$1:$1048576,$B222,MATCH("RAID ID",'RAID Log'!$1:$1,0)),"")="","",IFERROR(INDEX('RAID Log'!$1:$1048576,$B222,MATCH("RAID ID",'RAID Log'!$1:$1,0)),"")))</f>
        <v/>
      </c>
      <c r="B222" s="83" t="str">
        <f>IFERROR(MATCH(ROW()-1,'RAID Log'!$S:$S,0),"")</f>
        <v/>
      </c>
      <c r="C222" s="84" t="str">
        <f>IF($B222="","",IF(IFERROR(INDEX('RAID Log'!$1:$1048576,$B222,MATCH("Description",'RAID Log'!$1:$1,0)),"")="","",IFERROR(INDEX('RAID Log'!$1:$1048576,$B222,MATCH("Description",'RAID Log'!$1:$1,0)),"")))</f>
        <v/>
      </c>
      <c r="D222" s="84" t="str">
        <f>IF($B222="","",IF(IFERROR(INDEX('RAID Log'!$1:$1048576,$B222,MATCH("Impact/Effect of the RAID",'RAID Log'!$1:$1,0)),"")="","",IFERROR(INDEX('RAID Log'!$1:$1048576,$B222,MATCH("Impact/Effect of the RAID",'RAID Log'!$1:$1,0)),"")))</f>
        <v/>
      </c>
      <c r="E222" s="85" t="str">
        <f>IF($B222="","",IF(IFERROR(INDEX('RAID Log'!$1:$1048576,$B222,MATCH("Impact Area",'RAID Log'!$1:$1,0)),"")="","",IFERROR(INDEX('RAID Log'!$1:$1048576,$B222,MATCH("Impact Area",'RAID Log'!$1:$1,0)),"")))</f>
        <v/>
      </c>
      <c r="F222" s="85" t="str">
        <f>IF($B222="","",IF(IFERROR(INDEX('RAID Log'!$1:$1048576,$B222,MATCH("Impact Area",'RAID Log'!$1:$1,0)),"")="","",IFERROR(INDEX('RAID Log'!$1:$1048576,$B222,MATCH("Impact Area",'RAID Log'!$1:$1,0)),"")))</f>
        <v/>
      </c>
      <c r="G222" s="85" t="str">
        <f>IF($B222="","",IF(IFERROR(INDEX('RAID Log'!$1:$1048576,$B222,MATCH("Impact Rating",'RAID Log'!$1:$1,0)),"")="","",IFERROR(INDEX('RAID Log'!$1:$1048576,$B222,MATCH("Impact Rating",'RAID Log'!$1:$1,0)),"")))</f>
        <v/>
      </c>
      <c r="H222" s="85" t="str">
        <f>IF($B222="","",IF(IFERROR(INDEX('RAID Log'!$1:$1048576,$B222,MATCH("Initial Probability",'RAID Log'!$1:$1,0)),"")="","",IFERROR(INDEX('RAID Log'!$1:$1048576,$B222,MATCH("Initial Probability",'RAID Log'!$1:$1,0)),"")))</f>
        <v/>
      </c>
      <c r="I222" s="86" t="str">
        <f t="shared" si="9"/>
        <v/>
      </c>
      <c r="J222" s="85" t="str">
        <f t="shared" si="10"/>
        <v/>
      </c>
      <c r="K222" s="86" t="str">
        <f t="shared" si="11"/>
        <v/>
      </c>
      <c r="L222" s="85" t="str">
        <f>IF($B222="","",IF(IFERROR(INDEX('RAID Log'!$1:$1048576,$B222,MATCH("Status",'RAID Log'!$1:$1,0)),"")="","",IFERROR(INDEX('RAID Log'!$1:$1048576,$B222,MATCH("Status",'RAID Log'!$1:$1,0)),"")))</f>
        <v/>
      </c>
      <c r="M222" s="85" t="str">
        <f>IF($B222="","",IF(IFERROR(INDEX('RAID Log'!$1:$1048576,$B222,MATCH("RAID Owner",'RAID Log'!$1:$1,0)),"")="","",IFERROR(INDEX('RAID Log'!$1:$1048576,$B222,MATCH("RAID Owner",'RAID Log'!$1:$1,0)),"")))</f>
        <v/>
      </c>
      <c r="N222" s="87" t="str">
        <f>IF($B222="","",IF(IFERROR(INDEX('RAID Log'!$1:$1048576,$B222,MATCH("Date Raised",'RAID Log'!$1:$1,0)),"")="","",IFERROR(INDEX('RAID Log'!$1:$1048576,$B222,MATCH("Date Raised",'RAID Log'!$1:$1,0)),"")))</f>
        <v/>
      </c>
      <c r="O222" s="87" t="str">
        <f>IF($B222="","",IF(IFERROR(INDEX('RAID Log'!$1:$1048576,$B222,MATCH("Closed Date",'RAID Log'!$1:$1,0)),"")="","",IFERROR(INDEX('RAID Log'!$1:$1048576,$B222,MATCH("Closed Date",'RAID Log'!$1:$1,0)),"")))</f>
        <v/>
      </c>
      <c r="P222" s="85" t="str">
        <f>IF($B222="","",IF(IFERROR(INDEX('RAID Log'!$1:$1048576,$B222,MATCH("Mitigation Strategy",'RAID Log'!$1:$1,0)),"")="","",IFERROR(INDEX('RAID Log'!$1:$1048576,$B222,MATCH("Mitigation Strategy",'RAID Log'!$1:$1,0)),"")))</f>
        <v/>
      </c>
      <c r="Q222" s="88" t="str">
        <f>IF($B222="","",IF(IFERROR(INDEX('RAID Log'!$1:$1048576,$B222,MATCH("RAID Response/Plan",'RAID Log'!$1:$1,0)),"")="","",IFERROR(INDEX('RAID Log'!$1:$1048576,$B222,MATCH("RAID Response/Plan",'RAID Log'!$1:$1,0)),"")))</f>
        <v/>
      </c>
    </row>
    <row r="223" spans="1:17" ht="14.25" customHeight="1">
      <c r="A223" s="82" t="str">
        <f>IF($B223="","",IF(IFERROR(INDEX('RAID Log'!$1:$1048576,$B223,MATCH("RAID ID",'RAID Log'!$1:$1,0)),"")="","",IFERROR(INDEX('RAID Log'!$1:$1048576,$B223,MATCH("RAID ID",'RAID Log'!$1:$1,0)),"")))</f>
        <v/>
      </c>
      <c r="B223" s="83" t="str">
        <f>IFERROR(MATCH(ROW()-1,'RAID Log'!$S:$S,0),"")</f>
        <v/>
      </c>
      <c r="C223" s="84" t="str">
        <f>IF($B223="","",IF(IFERROR(INDEX('RAID Log'!$1:$1048576,$B223,MATCH("Description",'RAID Log'!$1:$1,0)),"")="","",IFERROR(INDEX('RAID Log'!$1:$1048576,$B223,MATCH("Description",'RAID Log'!$1:$1,0)),"")))</f>
        <v/>
      </c>
      <c r="D223" s="84" t="str">
        <f>IF($B223="","",IF(IFERROR(INDEX('RAID Log'!$1:$1048576,$B223,MATCH("Impact/Effect of the RAID",'RAID Log'!$1:$1,0)),"")="","",IFERROR(INDEX('RAID Log'!$1:$1048576,$B223,MATCH("Impact/Effect of the RAID",'RAID Log'!$1:$1,0)),"")))</f>
        <v/>
      </c>
      <c r="E223" s="85" t="str">
        <f>IF($B223="","",IF(IFERROR(INDEX('RAID Log'!$1:$1048576,$B223,MATCH("Impact Area",'RAID Log'!$1:$1,0)),"")="","",IFERROR(INDEX('RAID Log'!$1:$1048576,$B223,MATCH("Impact Area",'RAID Log'!$1:$1,0)),"")))</f>
        <v/>
      </c>
      <c r="F223" s="85" t="str">
        <f>IF($B223="","",IF(IFERROR(INDEX('RAID Log'!$1:$1048576,$B223,MATCH("Impact Area",'RAID Log'!$1:$1,0)),"")="","",IFERROR(INDEX('RAID Log'!$1:$1048576,$B223,MATCH("Impact Area",'RAID Log'!$1:$1,0)),"")))</f>
        <v/>
      </c>
      <c r="G223" s="85" t="str">
        <f>IF($B223="","",IF(IFERROR(INDEX('RAID Log'!$1:$1048576,$B223,MATCH("Impact Rating",'RAID Log'!$1:$1,0)),"")="","",IFERROR(INDEX('RAID Log'!$1:$1048576,$B223,MATCH("Impact Rating",'RAID Log'!$1:$1,0)),"")))</f>
        <v/>
      </c>
      <c r="H223" s="85" t="str">
        <f>IF($B223="","",IF(IFERROR(INDEX('RAID Log'!$1:$1048576,$B223,MATCH("Initial Probability",'RAID Log'!$1:$1,0)),"")="","",IFERROR(INDEX('RAID Log'!$1:$1048576,$B223,MATCH("Initial Probability",'RAID Log'!$1:$1,0)),"")))</f>
        <v/>
      </c>
      <c r="I223" s="86" t="str">
        <f t="shared" si="9"/>
        <v/>
      </c>
      <c r="J223" s="85" t="str">
        <f t="shared" si="10"/>
        <v/>
      </c>
      <c r="K223" s="86" t="str">
        <f t="shared" si="11"/>
        <v/>
      </c>
      <c r="L223" s="85" t="str">
        <f>IF($B223="","",IF(IFERROR(INDEX('RAID Log'!$1:$1048576,$B223,MATCH("Status",'RAID Log'!$1:$1,0)),"")="","",IFERROR(INDEX('RAID Log'!$1:$1048576,$B223,MATCH("Status",'RAID Log'!$1:$1,0)),"")))</f>
        <v/>
      </c>
      <c r="M223" s="85" t="str">
        <f>IF($B223="","",IF(IFERROR(INDEX('RAID Log'!$1:$1048576,$B223,MATCH("RAID Owner",'RAID Log'!$1:$1,0)),"")="","",IFERROR(INDEX('RAID Log'!$1:$1048576,$B223,MATCH("RAID Owner",'RAID Log'!$1:$1,0)),"")))</f>
        <v/>
      </c>
      <c r="N223" s="87" t="str">
        <f>IF($B223="","",IF(IFERROR(INDEX('RAID Log'!$1:$1048576,$B223,MATCH("Date Raised",'RAID Log'!$1:$1,0)),"")="","",IFERROR(INDEX('RAID Log'!$1:$1048576,$B223,MATCH("Date Raised",'RAID Log'!$1:$1,0)),"")))</f>
        <v/>
      </c>
      <c r="O223" s="87" t="str">
        <f>IF($B223="","",IF(IFERROR(INDEX('RAID Log'!$1:$1048576,$B223,MATCH("Closed Date",'RAID Log'!$1:$1,0)),"")="","",IFERROR(INDEX('RAID Log'!$1:$1048576,$B223,MATCH("Closed Date",'RAID Log'!$1:$1,0)),"")))</f>
        <v/>
      </c>
      <c r="P223" s="85" t="str">
        <f>IF($B223="","",IF(IFERROR(INDEX('RAID Log'!$1:$1048576,$B223,MATCH("Mitigation Strategy",'RAID Log'!$1:$1,0)),"")="","",IFERROR(INDEX('RAID Log'!$1:$1048576,$B223,MATCH("Mitigation Strategy",'RAID Log'!$1:$1,0)),"")))</f>
        <v/>
      </c>
      <c r="Q223" s="88" t="str">
        <f>IF($B223="","",IF(IFERROR(INDEX('RAID Log'!$1:$1048576,$B223,MATCH("RAID Response/Plan",'RAID Log'!$1:$1,0)),"")="","",IFERROR(INDEX('RAID Log'!$1:$1048576,$B223,MATCH("RAID Response/Plan",'RAID Log'!$1:$1,0)),"")))</f>
        <v/>
      </c>
    </row>
    <row r="224" spans="1:17" ht="14.25" customHeight="1">
      <c r="A224" s="82" t="str">
        <f>IF($B224="","",IF(IFERROR(INDEX('RAID Log'!$1:$1048576,$B224,MATCH("RAID ID",'RAID Log'!$1:$1,0)),"")="","",IFERROR(INDEX('RAID Log'!$1:$1048576,$B224,MATCH("RAID ID",'RAID Log'!$1:$1,0)),"")))</f>
        <v/>
      </c>
      <c r="B224" s="83" t="str">
        <f>IFERROR(MATCH(ROW()-1,'RAID Log'!$S:$S,0),"")</f>
        <v/>
      </c>
      <c r="C224" s="84" t="str">
        <f>IF($B224="","",IF(IFERROR(INDEX('RAID Log'!$1:$1048576,$B224,MATCH("Description",'RAID Log'!$1:$1,0)),"")="","",IFERROR(INDEX('RAID Log'!$1:$1048576,$B224,MATCH("Description",'RAID Log'!$1:$1,0)),"")))</f>
        <v/>
      </c>
      <c r="D224" s="84" t="str">
        <f>IF($B224="","",IF(IFERROR(INDEX('RAID Log'!$1:$1048576,$B224,MATCH("Impact/Effect of the RAID",'RAID Log'!$1:$1,0)),"")="","",IFERROR(INDEX('RAID Log'!$1:$1048576,$B224,MATCH("Impact/Effect of the RAID",'RAID Log'!$1:$1,0)),"")))</f>
        <v/>
      </c>
      <c r="E224" s="85" t="str">
        <f>IF($B224="","",IF(IFERROR(INDEX('RAID Log'!$1:$1048576,$B224,MATCH("Impact Area",'RAID Log'!$1:$1,0)),"")="","",IFERROR(INDEX('RAID Log'!$1:$1048576,$B224,MATCH("Impact Area",'RAID Log'!$1:$1,0)),"")))</f>
        <v/>
      </c>
      <c r="F224" s="85" t="str">
        <f>IF($B224="","",IF(IFERROR(INDEX('RAID Log'!$1:$1048576,$B224,MATCH("Impact Area",'RAID Log'!$1:$1,0)),"")="","",IFERROR(INDEX('RAID Log'!$1:$1048576,$B224,MATCH("Impact Area",'RAID Log'!$1:$1,0)),"")))</f>
        <v/>
      </c>
      <c r="G224" s="85" t="str">
        <f>IF($B224="","",IF(IFERROR(INDEX('RAID Log'!$1:$1048576,$B224,MATCH("Impact Rating",'RAID Log'!$1:$1,0)),"")="","",IFERROR(INDEX('RAID Log'!$1:$1048576,$B224,MATCH("Impact Rating",'RAID Log'!$1:$1,0)),"")))</f>
        <v/>
      </c>
      <c r="H224" s="85" t="str">
        <f>IF($B224="","",IF(IFERROR(INDEX('RAID Log'!$1:$1048576,$B224,MATCH("Initial Probability",'RAID Log'!$1:$1,0)),"")="","",IFERROR(INDEX('RAID Log'!$1:$1048576,$B224,MATCH("Initial Probability",'RAID Log'!$1:$1,0)),"")))</f>
        <v/>
      </c>
      <c r="I224" s="86" t="str">
        <f t="shared" si="9"/>
        <v/>
      </c>
      <c r="J224" s="85" t="str">
        <f t="shared" si="10"/>
        <v/>
      </c>
      <c r="K224" s="86" t="str">
        <f t="shared" si="11"/>
        <v/>
      </c>
      <c r="L224" s="85" t="str">
        <f>IF($B224="","",IF(IFERROR(INDEX('RAID Log'!$1:$1048576,$B224,MATCH("Status",'RAID Log'!$1:$1,0)),"")="","",IFERROR(INDEX('RAID Log'!$1:$1048576,$B224,MATCH("Status",'RAID Log'!$1:$1,0)),"")))</f>
        <v/>
      </c>
      <c r="M224" s="85" t="str">
        <f>IF($B224="","",IF(IFERROR(INDEX('RAID Log'!$1:$1048576,$B224,MATCH("RAID Owner",'RAID Log'!$1:$1,0)),"")="","",IFERROR(INDEX('RAID Log'!$1:$1048576,$B224,MATCH("RAID Owner",'RAID Log'!$1:$1,0)),"")))</f>
        <v/>
      </c>
      <c r="N224" s="87" t="str">
        <f>IF($B224="","",IF(IFERROR(INDEX('RAID Log'!$1:$1048576,$B224,MATCH("Date Raised",'RAID Log'!$1:$1,0)),"")="","",IFERROR(INDEX('RAID Log'!$1:$1048576,$B224,MATCH("Date Raised",'RAID Log'!$1:$1,0)),"")))</f>
        <v/>
      </c>
      <c r="O224" s="87" t="str">
        <f>IF($B224="","",IF(IFERROR(INDEX('RAID Log'!$1:$1048576,$B224,MATCH("Closed Date",'RAID Log'!$1:$1,0)),"")="","",IFERROR(INDEX('RAID Log'!$1:$1048576,$B224,MATCH("Closed Date",'RAID Log'!$1:$1,0)),"")))</f>
        <v/>
      </c>
      <c r="P224" s="85" t="str">
        <f>IF($B224="","",IF(IFERROR(INDEX('RAID Log'!$1:$1048576,$B224,MATCH("Mitigation Strategy",'RAID Log'!$1:$1,0)),"")="","",IFERROR(INDEX('RAID Log'!$1:$1048576,$B224,MATCH("Mitigation Strategy",'RAID Log'!$1:$1,0)),"")))</f>
        <v/>
      </c>
      <c r="Q224" s="88" t="str">
        <f>IF($B224="","",IF(IFERROR(INDEX('RAID Log'!$1:$1048576,$B224,MATCH("RAID Response/Plan",'RAID Log'!$1:$1,0)),"")="","",IFERROR(INDEX('RAID Log'!$1:$1048576,$B224,MATCH("RAID Response/Plan",'RAID Log'!$1:$1,0)),"")))</f>
        <v/>
      </c>
    </row>
    <row r="225" spans="1:17" ht="14.25" customHeight="1">
      <c r="A225" s="82" t="str">
        <f>IF($B225="","",IF(IFERROR(INDEX('RAID Log'!$1:$1048576,$B225,MATCH("RAID ID",'RAID Log'!$1:$1,0)),"")="","",IFERROR(INDEX('RAID Log'!$1:$1048576,$B225,MATCH("RAID ID",'RAID Log'!$1:$1,0)),"")))</f>
        <v/>
      </c>
      <c r="B225" s="83" t="str">
        <f>IFERROR(MATCH(ROW()-1,'RAID Log'!$S:$S,0),"")</f>
        <v/>
      </c>
      <c r="C225" s="84" t="str">
        <f>IF($B225="","",IF(IFERROR(INDEX('RAID Log'!$1:$1048576,$B225,MATCH("Description",'RAID Log'!$1:$1,0)),"")="","",IFERROR(INDEX('RAID Log'!$1:$1048576,$B225,MATCH("Description",'RAID Log'!$1:$1,0)),"")))</f>
        <v/>
      </c>
      <c r="D225" s="84" t="str">
        <f>IF($B225="","",IF(IFERROR(INDEX('RAID Log'!$1:$1048576,$B225,MATCH("Impact/Effect of the RAID",'RAID Log'!$1:$1,0)),"")="","",IFERROR(INDEX('RAID Log'!$1:$1048576,$B225,MATCH("Impact/Effect of the RAID",'RAID Log'!$1:$1,0)),"")))</f>
        <v/>
      </c>
      <c r="E225" s="85" t="str">
        <f>IF($B225="","",IF(IFERROR(INDEX('RAID Log'!$1:$1048576,$B225,MATCH("Impact Area",'RAID Log'!$1:$1,0)),"")="","",IFERROR(INDEX('RAID Log'!$1:$1048576,$B225,MATCH("Impact Area",'RAID Log'!$1:$1,0)),"")))</f>
        <v/>
      </c>
      <c r="F225" s="85" t="str">
        <f>IF($B225="","",IF(IFERROR(INDEX('RAID Log'!$1:$1048576,$B225,MATCH("Impact Area",'RAID Log'!$1:$1,0)),"")="","",IFERROR(INDEX('RAID Log'!$1:$1048576,$B225,MATCH("Impact Area",'RAID Log'!$1:$1,0)),"")))</f>
        <v/>
      </c>
      <c r="G225" s="85" t="str">
        <f>IF($B225="","",IF(IFERROR(INDEX('RAID Log'!$1:$1048576,$B225,MATCH("Impact Rating",'RAID Log'!$1:$1,0)),"")="","",IFERROR(INDEX('RAID Log'!$1:$1048576,$B225,MATCH("Impact Rating",'RAID Log'!$1:$1,0)),"")))</f>
        <v/>
      </c>
      <c r="H225" s="85" t="str">
        <f>IF($B225="","",IF(IFERROR(INDEX('RAID Log'!$1:$1048576,$B225,MATCH("Initial Probability",'RAID Log'!$1:$1,0)),"")="","",IFERROR(INDEX('RAID Log'!$1:$1048576,$B225,MATCH("Initial Probability",'RAID Log'!$1:$1,0)),"")))</f>
        <v/>
      </c>
      <c r="I225" s="86" t="str">
        <f t="shared" si="9"/>
        <v/>
      </c>
      <c r="J225" s="85" t="str">
        <f t="shared" si="10"/>
        <v/>
      </c>
      <c r="K225" s="86" t="str">
        <f t="shared" si="11"/>
        <v/>
      </c>
      <c r="L225" s="85" t="str">
        <f>IF($B225="","",IF(IFERROR(INDEX('RAID Log'!$1:$1048576,$B225,MATCH("Status",'RAID Log'!$1:$1,0)),"")="","",IFERROR(INDEX('RAID Log'!$1:$1048576,$B225,MATCH("Status",'RAID Log'!$1:$1,0)),"")))</f>
        <v/>
      </c>
      <c r="M225" s="85" t="str">
        <f>IF($B225="","",IF(IFERROR(INDEX('RAID Log'!$1:$1048576,$B225,MATCH("RAID Owner",'RAID Log'!$1:$1,0)),"")="","",IFERROR(INDEX('RAID Log'!$1:$1048576,$B225,MATCH("RAID Owner",'RAID Log'!$1:$1,0)),"")))</f>
        <v/>
      </c>
      <c r="N225" s="87" t="str">
        <f>IF($B225="","",IF(IFERROR(INDEX('RAID Log'!$1:$1048576,$B225,MATCH("Date Raised",'RAID Log'!$1:$1,0)),"")="","",IFERROR(INDEX('RAID Log'!$1:$1048576,$B225,MATCH("Date Raised",'RAID Log'!$1:$1,0)),"")))</f>
        <v/>
      </c>
      <c r="O225" s="87" t="str">
        <f>IF($B225="","",IF(IFERROR(INDEX('RAID Log'!$1:$1048576,$B225,MATCH("Closed Date",'RAID Log'!$1:$1,0)),"")="","",IFERROR(INDEX('RAID Log'!$1:$1048576,$B225,MATCH("Closed Date",'RAID Log'!$1:$1,0)),"")))</f>
        <v/>
      </c>
      <c r="P225" s="85" t="str">
        <f>IF($B225="","",IF(IFERROR(INDEX('RAID Log'!$1:$1048576,$B225,MATCH("Mitigation Strategy",'RAID Log'!$1:$1,0)),"")="","",IFERROR(INDEX('RAID Log'!$1:$1048576,$B225,MATCH("Mitigation Strategy",'RAID Log'!$1:$1,0)),"")))</f>
        <v/>
      </c>
      <c r="Q225" s="88" t="str">
        <f>IF($B225="","",IF(IFERROR(INDEX('RAID Log'!$1:$1048576,$B225,MATCH("RAID Response/Plan",'RAID Log'!$1:$1,0)),"")="","",IFERROR(INDEX('RAID Log'!$1:$1048576,$B225,MATCH("RAID Response/Plan",'RAID Log'!$1:$1,0)),"")))</f>
        <v/>
      </c>
    </row>
    <row r="226" spans="1:17" ht="14.25" customHeight="1">
      <c r="A226" s="82" t="str">
        <f>IF($B226="","",IF(IFERROR(INDEX('RAID Log'!$1:$1048576,$B226,MATCH("RAID ID",'RAID Log'!$1:$1,0)),"")="","",IFERROR(INDEX('RAID Log'!$1:$1048576,$B226,MATCH("RAID ID",'RAID Log'!$1:$1,0)),"")))</f>
        <v/>
      </c>
      <c r="B226" s="83" t="str">
        <f>IFERROR(MATCH(ROW()-1,'RAID Log'!$S:$S,0),"")</f>
        <v/>
      </c>
      <c r="C226" s="84" t="str">
        <f>IF($B226="","",IF(IFERROR(INDEX('RAID Log'!$1:$1048576,$B226,MATCH("Description",'RAID Log'!$1:$1,0)),"")="","",IFERROR(INDEX('RAID Log'!$1:$1048576,$B226,MATCH("Description",'RAID Log'!$1:$1,0)),"")))</f>
        <v/>
      </c>
      <c r="D226" s="84" t="str">
        <f>IF($B226="","",IF(IFERROR(INDEX('RAID Log'!$1:$1048576,$B226,MATCH("Impact/Effect of the RAID",'RAID Log'!$1:$1,0)),"")="","",IFERROR(INDEX('RAID Log'!$1:$1048576,$B226,MATCH("Impact/Effect of the RAID",'RAID Log'!$1:$1,0)),"")))</f>
        <v/>
      </c>
      <c r="E226" s="85" t="str">
        <f>IF($B226="","",IF(IFERROR(INDEX('RAID Log'!$1:$1048576,$B226,MATCH("Impact Area",'RAID Log'!$1:$1,0)),"")="","",IFERROR(INDEX('RAID Log'!$1:$1048576,$B226,MATCH("Impact Area",'RAID Log'!$1:$1,0)),"")))</f>
        <v/>
      </c>
      <c r="F226" s="85" t="str">
        <f>IF($B226="","",IF(IFERROR(INDEX('RAID Log'!$1:$1048576,$B226,MATCH("Impact Area",'RAID Log'!$1:$1,0)),"")="","",IFERROR(INDEX('RAID Log'!$1:$1048576,$B226,MATCH("Impact Area",'RAID Log'!$1:$1,0)),"")))</f>
        <v/>
      </c>
      <c r="G226" s="85" t="str">
        <f>IF($B226="","",IF(IFERROR(INDEX('RAID Log'!$1:$1048576,$B226,MATCH("Impact Rating",'RAID Log'!$1:$1,0)),"")="","",IFERROR(INDEX('RAID Log'!$1:$1048576,$B226,MATCH("Impact Rating",'RAID Log'!$1:$1,0)),"")))</f>
        <v/>
      </c>
      <c r="H226" s="85" t="str">
        <f>IF($B226="","",IF(IFERROR(INDEX('RAID Log'!$1:$1048576,$B226,MATCH("Initial Probability",'RAID Log'!$1:$1,0)),"")="","",IFERROR(INDEX('RAID Log'!$1:$1048576,$B226,MATCH("Initial Probability",'RAID Log'!$1:$1,0)),"")))</f>
        <v/>
      </c>
      <c r="I226" s="86" t="str">
        <f t="shared" si="9"/>
        <v/>
      </c>
      <c r="J226" s="85" t="str">
        <f t="shared" si="10"/>
        <v/>
      </c>
      <c r="K226" s="86" t="str">
        <f t="shared" si="11"/>
        <v/>
      </c>
      <c r="L226" s="85" t="str">
        <f>IF($B226="","",IF(IFERROR(INDEX('RAID Log'!$1:$1048576,$B226,MATCH("Status",'RAID Log'!$1:$1,0)),"")="","",IFERROR(INDEX('RAID Log'!$1:$1048576,$B226,MATCH("Status",'RAID Log'!$1:$1,0)),"")))</f>
        <v/>
      </c>
      <c r="M226" s="85" t="str">
        <f>IF($B226="","",IF(IFERROR(INDEX('RAID Log'!$1:$1048576,$B226,MATCH("RAID Owner",'RAID Log'!$1:$1,0)),"")="","",IFERROR(INDEX('RAID Log'!$1:$1048576,$B226,MATCH("RAID Owner",'RAID Log'!$1:$1,0)),"")))</f>
        <v/>
      </c>
      <c r="N226" s="87" t="str">
        <f>IF($B226="","",IF(IFERROR(INDEX('RAID Log'!$1:$1048576,$B226,MATCH("Date Raised",'RAID Log'!$1:$1,0)),"")="","",IFERROR(INDEX('RAID Log'!$1:$1048576,$B226,MATCH("Date Raised",'RAID Log'!$1:$1,0)),"")))</f>
        <v/>
      </c>
      <c r="O226" s="87" t="str">
        <f>IF($B226="","",IF(IFERROR(INDEX('RAID Log'!$1:$1048576,$B226,MATCH("Closed Date",'RAID Log'!$1:$1,0)),"")="","",IFERROR(INDEX('RAID Log'!$1:$1048576,$B226,MATCH("Closed Date",'RAID Log'!$1:$1,0)),"")))</f>
        <v/>
      </c>
      <c r="P226" s="85" t="str">
        <f>IF($B226="","",IF(IFERROR(INDEX('RAID Log'!$1:$1048576,$B226,MATCH("Mitigation Strategy",'RAID Log'!$1:$1,0)),"")="","",IFERROR(INDEX('RAID Log'!$1:$1048576,$B226,MATCH("Mitigation Strategy",'RAID Log'!$1:$1,0)),"")))</f>
        <v/>
      </c>
      <c r="Q226" s="88" t="str">
        <f>IF($B226="","",IF(IFERROR(INDEX('RAID Log'!$1:$1048576,$B226,MATCH("RAID Response/Plan",'RAID Log'!$1:$1,0)),"")="","",IFERROR(INDEX('RAID Log'!$1:$1048576,$B226,MATCH("RAID Response/Plan",'RAID Log'!$1:$1,0)),"")))</f>
        <v/>
      </c>
    </row>
    <row r="227" spans="1:17" ht="14.25" customHeight="1">
      <c r="A227" s="82" t="str">
        <f>IF($B227="","",IF(IFERROR(INDEX('RAID Log'!$1:$1048576,$B227,MATCH("RAID ID",'RAID Log'!$1:$1,0)),"")="","",IFERROR(INDEX('RAID Log'!$1:$1048576,$B227,MATCH("RAID ID",'RAID Log'!$1:$1,0)),"")))</f>
        <v/>
      </c>
      <c r="B227" s="83" t="str">
        <f>IFERROR(MATCH(ROW()-1,'RAID Log'!$S:$S,0),"")</f>
        <v/>
      </c>
      <c r="C227" s="84" t="str">
        <f>IF($B227="","",IF(IFERROR(INDEX('RAID Log'!$1:$1048576,$B227,MATCH("Description",'RAID Log'!$1:$1,0)),"")="","",IFERROR(INDEX('RAID Log'!$1:$1048576,$B227,MATCH("Description",'RAID Log'!$1:$1,0)),"")))</f>
        <v/>
      </c>
      <c r="D227" s="84" t="str">
        <f>IF($B227="","",IF(IFERROR(INDEX('RAID Log'!$1:$1048576,$B227,MATCH("Impact/Effect of the RAID",'RAID Log'!$1:$1,0)),"")="","",IFERROR(INDEX('RAID Log'!$1:$1048576,$B227,MATCH("Impact/Effect of the RAID",'RAID Log'!$1:$1,0)),"")))</f>
        <v/>
      </c>
      <c r="E227" s="85" t="str">
        <f>IF($B227="","",IF(IFERROR(INDEX('RAID Log'!$1:$1048576,$B227,MATCH("Impact Area",'RAID Log'!$1:$1,0)),"")="","",IFERROR(INDEX('RAID Log'!$1:$1048576,$B227,MATCH("Impact Area",'RAID Log'!$1:$1,0)),"")))</f>
        <v/>
      </c>
      <c r="F227" s="85" t="str">
        <f>IF($B227="","",IF(IFERROR(INDEX('RAID Log'!$1:$1048576,$B227,MATCH("Impact Area",'RAID Log'!$1:$1,0)),"")="","",IFERROR(INDEX('RAID Log'!$1:$1048576,$B227,MATCH("Impact Area",'RAID Log'!$1:$1,0)),"")))</f>
        <v/>
      </c>
      <c r="G227" s="85" t="str">
        <f>IF($B227="","",IF(IFERROR(INDEX('RAID Log'!$1:$1048576,$B227,MATCH("Impact Rating",'RAID Log'!$1:$1,0)),"")="","",IFERROR(INDEX('RAID Log'!$1:$1048576,$B227,MATCH("Impact Rating",'RAID Log'!$1:$1,0)),"")))</f>
        <v/>
      </c>
      <c r="H227" s="85" t="str">
        <f>IF($B227="","",IF(IFERROR(INDEX('RAID Log'!$1:$1048576,$B227,MATCH("Initial Probability",'RAID Log'!$1:$1,0)),"")="","",IFERROR(INDEX('RAID Log'!$1:$1048576,$B227,MATCH("Initial Probability",'RAID Log'!$1:$1,0)),"")))</f>
        <v/>
      </c>
      <c r="I227" s="86" t="str">
        <f t="shared" si="9"/>
        <v/>
      </c>
      <c r="J227" s="85" t="str">
        <f t="shared" si="10"/>
        <v/>
      </c>
      <c r="K227" s="86" t="str">
        <f t="shared" si="11"/>
        <v/>
      </c>
      <c r="L227" s="85" t="str">
        <f>IF($B227="","",IF(IFERROR(INDEX('RAID Log'!$1:$1048576,$B227,MATCH("Status",'RAID Log'!$1:$1,0)),"")="","",IFERROR(INDEX('RAID Log'!$1:$1048576,$B227,MATCH("Status",'RAID Log'!$1:$1,0)),"")))</f>
        <v/>
      </c>
      <c r="M227" s="85" t="str">
        <f>IF($B227="","",IF(IFERROR(INDEX('RAID Log'!$1:$1048576,$B227,MATCH("RAID Owner",'RAID Log'!$1:$1,0)),"")="","",IFERROR(INDEX('RAID Log'!$1:$1048576,$B227,MATCH("RAID Owner",'RAID Log'!$1:$1,0)),"")))</f>
        <v/>
      </c>
      <c r="N227" s="87" t="str">
        <f>IF($B227="","",IF(IFERROR(INDEX('RAID Log'!$1:$1048576,$B227,MATCH("Date Raised",'RAID Log'!$1:$1,0)),"")="","",IFERROR(INDEX('RAID Log'!$1:$1048576,$B227,MATCH("Date Raised",'RAID Log'!$1:$1,0)),"")))</f>
        <v/>
      </c>
      <c r="O227" s="87" t="str">
        <f>IF($B227="","",IF(IFERROR(INDEX('RAID Log'!$1:$1048576,$B227,MATCH("Closed Date",'RAID Log'!$1:$1,0)),"")="","",IFERROR(INDEX('RAID Log'!$1:$1048576,$B227,MATCH("Closed Date",'RAID Log'!$1:$1,0)),"")))</f>
        <v/>
      </c>
      <c r="P227" s="85" t="str">
        <f>IF($B227="","",IF(IFERROR(INDEX('RAID Log'!$1:$1048576,$B227,MATCH("Mitigation Strategy",'RAID Log'!$1:$1,0)),"")="","",IFERROR(INDEX('RAID Log'!$1:$1048576,$B227,MATCH("Mitigation Strategy",'RAID Log'!$1:$1,0)),"")))</f>
        <v/>
      </c>
      <c r="Q227" s="88" t="str">
        <f>IF($B227="","",IF(IFERROR(INDEX('RAID Log'!$1:$1048576,$B227,MATCH("RAID Response/Plan",'RAID Log'!$1:$1,0)),"")="","",IFERROR(INDEX('RAID Log'!$1:$1048576,$B227,MATCH("RAID Response/Plan",'RAID Log'!$1:$1,0)),"")))</f>
        <v/>
      </c>
    </row>
    <row r="228" spans="1:17" ht="14.25" customHeight="1">
      <c r="A228" s="82" t="str">
        <f>IF($B228="","",IF(IFERROR(INDEX('RAID Log'!$1:$1048576,$B228,MATCH("RAID ID",'RAID Log'!$1:$1,0)),"")="","",IFERROR(INDEX('RAID Log'!$1:$1048576,$B228,MATCH("RAID ID",'RAID Log'!$1:$1,0)),"")))</f>
        <v/>
      </c>
      <c r="B228" s="83" t="str">
        <f>IFERROR(MATCH(ROW()-1,'RAID Log'!$S:$S,0),"")</f>
        <v/>
      </c>
      <c r="C228" s="84" t="str">
        <f>IF($B228="","",IF(IFERROR(INDEX('RAID Log'!$1:$1048576,$B228,MATCH("Description",'RAID Log'!$1:$1,0)),"")="","",IFERROR(INDEX('RAID Log'!$1:$1048576,$B228,MATCH("Description",'RAID Log'!$1:$1,0)),"")))</f>
        <v/>
      </c>
      <c r="D228" s="84" t="str">
        <f>IF($B228="","",IF(IFERROR(INDEX('RAID Log'!$1:$1048576,$B228,MATCH("Impact/Effect of the RAID",'RAID Log'!$1:$1,0)),"")="","",IFERROR(INDEX('RAID Log'!$1:$1048576,$B228,MATCH("Impact/Effect of the RAID",'RAID Log'!$1:$1,0)),"")))</f>
        <v/>
      </c>
      <c r="E228" s="85" t="str">
        <f>IF($B228="","",IF(IFERROR(INDEX('RAID Log'!$1:$1048576,$B228,MATCH("Impact Area",'RAID Log'!$1:$1,0)),"")="","",IFERROR(INDEX('RAID Log'!$1:$1048576,$B228,MATCH("Impact Area",'RAID Log'!$1:$1,0)),"")))</f>
        <v/>
      </c>
      <c r="F228" s="85" t="str">
        <f>IF($B228="","",IF(IFERROR(INDEX('RAID Log'!$1:$1048576,$B228,MATCH("Impact Area",'RAID Log'!$1:$1,0)),"")="","",IFERROR(INDEX('RAID Log'!$1:$1048576,$B228,MATCH("Impact Area",'RAID Log'!$1:$1,0)),"")))</f>
        <v/>
      </c>
      <c r="G228" s="85" t="str">
        <f>IF($B228="","",IF(IFERROR(INDEX('RAID Log'!$1:$1048576,$B228,MATCH("Impact Rating",'RAID Log'!$1:$1,0)),"")="","",IFERROR(INDEX('RAID Log'!$1:$1048576,$B228,MATCH("Impact Rating",'RAID Log'!$1:$1,0)),"")))</f>
        <v/>
      </c>
      <c r="H228" s="85" t="str">
        <f>IF($B228="","",IF(IFERROR(INDEX('RAID Log'!$1:$1048576,$B228,MATCH("Initial Probability",'RAID Log'!$1:$1,0)),"")="","",IFERROR(INDEX('RAID Log'!$1:$1048576,$B228,MATCH("Initial Probability",'RAID Log'!$1:$1,0)),"")))</f>
        <v/>
      </c>
      <c r="I228" s="86" t="str">
        <f t="shared" si="9"/>
        <v/>
      </c>
      <c r="J228" s="85" t="str">
        <f t="shared" si="10"/>
        <v/>
      </c>
      <c r="K228" s="86" t="str">
        <f t="shared" si="11"/>
        <v/>
      </c>
      <c r="L228" s="85" t="str">
        <f>IF($B228="","",IF(IFERROR(INDEX('RAID Log'!$1:$1048576,$B228,MATCH("Status",'RAID Log'!$1:$1,0)),"")="","",IFERROR(INDEX('RAID Log'!$1:$1048576,$B228,MATCH("Status",'RAID Log'!$1:$1,0)),"")))</f>
        <v/>
      </c>
      <c r="M228" s="85" t="str">
        <f>IF($B228="","",IF(IFERROR(INDEX('RAID Log'!$1:$1048576,$B228,MATCH("RAID Owner",'RAID Log'!$1:$1,0)),"")="","",IFERROR(INDEX('RAID Log'!$1:$1048576,$B228,MATCH("RAID Owner",'RAID Log'!$1:$1,0)),"")))</f>
        <v/>
      </c>
      <c r="N228" s="87" t="str">
        <f>IF($B228="","",IF(IFERROR(INDEX('RAID Log'!$1:$1048576,$B228,MATCH("Date Raised",'RAID Log'!$1:$1,0)),"")="","",IFERROR(INDEX('RAID Log'!$1:$1048576,$B228,MATCH("Date Raised",'RAID Log'!$1:$1,0)),"")))</f>
        <v/>
      </c>
      <c r="O228" s="87" t="str">
        <f>IF($B228="","",IF(IFERROR(INDEX('RAID Log'!$1:$1048576,$B228,MATCH("Closed Date",'RAID Log'!$1:$1,0)),"")="","",IFERROR(INDEX('RAID Log'!$1:$1048576,$B228,MATCH("Closed Date",'RAID Log'!$1:$1,0)),"")))</f>
        <v/>
      </c>
      <c r="P228" s="85" t="str">
        <f>IF($B228="","",IF(IFERROR(INDEX('RAID Log'!$1:$1048576,$B228,MATCH("Mitigation Strategy",'RAID Log'!$1:$1,0)),"")="","",IFERROR(INDEX('RAID Log'!$1:$1048576,$B228,MATCH("Mitigation Strategy",'RAID Log'!$1:$1,0)),"")))</f>
        <v/>
      </c>
      <c r="Q228" s="88" t="str">
        <f>IF($B228="","",IF(IFERROR(INDEX('RAID Log'!$1:$1048576,$B228,MATCH("RAID Response/Plan",'RAID Log'!$1:$1,0)),"")="","",IFERROR(INDEX('RAID Log'!$1:$1048576,$B228,MATCH("RAID Response/Plan",'RAID Log'!$1:$1,0)),"")))</f>
        <v/>
      </c>
    </row>
    <row r="229" spans="1:17" ht="14.25" customHeight="1">
      <c r="A229" s="82" t="str">
        <f>IF($B229="","",IF(IFERROR(INDEX('RAID Log'!$1:$1048576,$B229,MATCH("RAID ID",'RAID Log'!$1:$1,0)),"")="","",IFERROR(INDEX('RAID Log'!$1:$1048576,$B229,MATCH("RAID ID",'RAID Log'!$1:$1,0)),"")))</f>
        <v/>
      </c>
      <c r="B229" s="83" t="str">
        <f>IFERROR(MATCH(ROW()-1,'RAID Log'!$S:$S,0),"")</f>
        <v/>
      </c>
      <c r="C229" s="84" t="str">
        <f>IF($B229="","",IF(IFERROR(INDEX('RAID Log'!$1:$1048576,$B229,MATCH("Description",'RAID Log'!$1:$1,0)),"")="","",IFERROR(INDEX('RAID Log'!$1:$1048576,$B229,MATCH("Description",'RAID Log'!$1:$1,0)),"")))</f>
        <v/>
      </c>
      <c r="D229" s="84" t="str">
        <f>IF($B229="","",IF(IFERROR(INDEX('RAID Log'!$1:$1048576,$B229,MATCH("Impact/Effect of the RAID",'RAID Log'!$1:$1,0)),"")="","",IFERROR(INDEX('RAID Log'!$1:$1048576,$B229,MATCH("Impact/Effect of the RAID",'RAID Log'!$1:$1,0)),"")))</f>
        <v/>
      </c>
      <c r="E229" s="85" t="str">
        <f>IF($B229="","",IF(IFERROR(INDEX('RAID Log'!$1:$1048576,$B229,MATCH("Impact Area",'RAID Log'!$1:$1,0)),"")="","",IFERROR(INDEX('RAID Log'!$1:$1048576,$B229,MATCH("Impact Area",'RAID Log'!$1:$1,0)),"")))</f>
        <v/>
      </c>
      <c r="F229" s="85" t="str">
        <f>IF($B229="","",IF(IFERROR(INDEX('RAID Log'!$1:$1048576,$B229,MATCH("Impact Area",'RAID Log'!$1:$1,0)),"")="","",IFERROR(INDEX('RAID Log'!$1:$1048576,$B229,MATCH("Impact Area",'RAID Log'!$1:$1,0)),"")))</f>
        <v/>
      </c>
      <c r="G229" s="85" t="str">
        <f>IF($B229="","",IF(IFERROR(INDEX('RAID Log'!$1:$1048576,$B229,MATCH("Impact Rating",'RAID Log'!$1:$1,0)),"")="","",IFERROR(INDEX('RAID Log'!$1:$1048576,$B229,MATCH("Impact Rating",'RAID Log'!$1:$1,0)),"")))</f>
        <v/>
      </c>
      <c r="H229" s="85" t="str">
        <f>IF($B229="","",IF(IFERROR(INDEX('RAID Log'!$1:$1048576,$B229,MATCH("Initial Probability",'RAID Log'!$1:$1,0)),"")="","",IFERROR(INDEX('RAID Log'!$1:$1048576,$B229,MATCH("Initial Probability",'RAID Log'!$1:$1,0)),"")))</f>
        <v/>
      </c>
      <c r="I229" s="86" t="str">
        <f t="shared" si="9"/>
        <v/>
      </c>
      <c r="J229" s="85" t="str">
        <f t="shared" si="10"/>
        <v/>
      </c>
      <c r="K229" s="86" t="str">
        <f t="shared" si="11"/>
        <v/>
      </c>
      <c r="L229" s="85" t="str">
        <f>IF($B229="","",IF(IFERROR(INDEX('RAID Log'!$1:$1048576,$B229,MATCH("Status",'RAID Log'!$1:$1,0)),"")="","",IFERROR(INDEX('RAID Log'!$1:$1048576,$B229,MATCH("Status",'RAID Log'!$1:$1,0)),"")))</f>
        <v/>
      </c>
      <c r="M229" s="85" t="str">
        <f>IF($B229="","",IF(IFERROR(INDEX('RAID Log'!$1:$1048576,$B229,MATCH("RAID Owner",'RAID Log'!$1:$1,0)),"")="","",IFERROR(INDEX('RAID Log'!$1:$1048576,$B229,MATCH("RAID Owner",'RAID Log'!$1:$1,0)),"")))</f>
        <v/>
      </c>
      <c r="N229" s="87" t="str">
        <f>IF($B229="","",IF(IFERROR(INDEX('RAID Log'!$1:$1048576,$B229,MATCH("Date Raised",'RAID Log'!$1:$1,0)),"")="","",IFERROR(INDEX('RAID Log'!$1:$1048576,$B229,MATCH("Date Raised",'RAID Log'!$1:$1,0)),"")))</f>
        <v/>
      </c>
      <c r="O229" s="87" t="str">
        <f>IF($B229="","",IF(IFERROR(INDEX('RAID Log'!$1:$1048576,$B229,MATCH("Closed Date",'RAID Log'!$1:$1,0)),"")="","",IFERROR(INDEX('RAID Log'!$1:$1048576,$B229,MATCH("Closed Date",'RAID Log'!$1:$1,0)),"")))</f>
        <v/>
      </c>
      <c r="P229" s="85" t="str">
        <f>IF($B229="","",IF(IFERROR(INDEX('RAID Log'!$1:$1048576,$B229,MATCH("Mitigation Strategy",'RAID Log'!$1:$1,0)),"")="","",IFERROR(INDEX('RAID Log'!$1:$1048576,$B229,MATCH("Mitigation Strategy",'RAID Log'!$1:$1,0)),"")))</f>
        <v/>
      </c>
      <c r="Q229" s="88" t="str">
        <f>IF($B229="","",IF(IFERROR(INDEX('RAID Log'!$1:$1048576,$B229,MATCH("RAID Response/Plan",'RAID Log'!$1:$1,0)),"")="","",IFERROR(INDEX('RAID Log'!$1:$1048576,$B229,MATCH("RAID Response/Plan",'RAID Log'!$1:$1,0)),"")))</f>
        <v/>
      </c>
    </row>
    <row r="230" spans="1:17" ht="14.25" customHeight="1">
      <c r="A230" s="82" t="str">
        <f>IF($B230="","",IF(IFERROR(INDEX('RAID Log'!$1:$1048576,$B230,MATCH("RAID ID",'RAID Log'!$1:$1,0)),"")="","",IFERROR(INDEX('RAID Log'!$1:$1048576,$B230,MATCH("RAID ID",'RAID Log'!$1:$1,0)),"")))</f>
        <v/>
      </c>
      <c r="B230" s="83" t="str">
        <f>IFERROR(MATCH(ROW()-1,'RAID Log'!$S:$S,0),"")</f>
        <v/>
      </c>
      <c r="C230" s="84" t="str">
        <f>IF($B230="","",IF(IFERROR(INDEX('RAID Log'!$1:$1048576,$B230,MATCH("Description",'RAID Log'!$1:$1,0)),"")="","",IFERROR(INDEX('RAID Log'!$1:$1048576,$B230,MATCH("Description",'RAID Log'!$1:$1,0)),"")))</f>
        <v/>
      </c>
      <c r="D230" s="84" t="str">
        <f>IF($B230="","",IF(IFERROR(INDEX('RAID Log'!$1:$1048576,$B230,MATCH("Impact/Effect of the RAID",'RAID Log'!$1:$1,0)),"")="","",IFERROR(INDEX('RAID Log'!$1:$1048576,$B230,MATCH("Impact/Effect of the RAID",'RAID Log'!$1:$1,0)),"")))</f>
        <v/>
      </c>
      <c r="E230" s="85" t="str">
        <f>IF($B230="","",IF(IFERROR(INDEX('RAID Log'!$1:$1048576,$B230,MATCH("Impact Area",'RAID Log'!$1:$1,0)),"")="","",IFERROR(INDEX('RAID Log'!$1:$1048576,$B230,MATCH("Impact Area",'RAID Log'!$1:$1,0)),"")))</f>
        <v/>
      </c>
      <c r="F230" s="85" t="str">
        <f>IF($B230="","",IF(IFERROR(INDEX('RAID Log'!$1:$1048576,$B230,MATCH("Impact Area",'RAID Log'!$1:$1,0)),"")="","",IFERROR(INDEX('RAID Log'!$1:$1048576,$B230,MATCH("Impact Area",'RAID Log'!$1:$1,0)),"")))</f>
        <v/>
      </c>
      <c r="G230" s="85" t="str">
        <f>IF($B230="","",IF(IFERROR(INDEX('RAID Log'!$1:$1048576,$B230,MATCH("Impact Rating",'RAID Log'!$1:$1,0)),"")="","",IFERROR(INDEX('RAID Log'!$1:$1048576,$B230,MATCH("Impact Rating",'RAID Log'!$1:$1,0)),"")))</f>
        <v/>
      </c>
      <c r="H230" s="85" t="str">
        <f>IF($B230="","",IF(IFERROR(INDEX('RAID Log'!$1:$1048576,$B230,MATCH("Initial Probability",'RAID Log'!$1:$1,0)),"")="","",IFERROR(INDEX('RAID Log'!$1:$1048576,$B230,MATCH("Initial Probability",'RAID Log'!$1:$1,0)),"")))</f>
        <v/>
      </c>
      <c r="I230" s="86" t="str">
        <f t="shared" si="9"/>
        <v/>
      </c>
      <c r="J230" s="85" t="str">
        <f t="shared" si="10"/>
        <v/>
      </c>
      <c r="K230" s="86" t="str">
        <f t="shared" si="11"/>
        <v/>
      </c>
      <c r="L230" s="85" t="str">
        <f>IF($B230="","",IF(IFERROR(INDEX('RAID Log'!$1:$1048576,$B230,MATCH("Status",'RAID Log'!$1:$1,0)),"")="","",IFERROR(INDEX('RAID Log'!$1:$1048576,$B230,MATCH("Status",'RAID Log'!$1:$1,0)),"")))</f>
        <v/>
      </c>
      <c r="M230" s="85" t="str">
        <f>IF($B230="","",IF(IFERROR(INDEX('RAID Log'!$1:$1048576,$B230,MATCH("RAID Owner",'RAID Log'!$1:$1,0)),"")="","",IFERROR(INDEX('RAID Log'!$1:$1048576,$B230,MATCH("RAID Owner",'RAID Log'!$1:$1,0)),"")))</f>
        <v/>
      </c>
      <c r="N230" s="87" t="str">
        <f>IF($B230="","",IF(IFERROR(INDEX('RAID Log'!$1:$1048576,$B230,MATCH("Date Raised",'RAID Log'!$1:$1,0)),"")="","",IFERROR(INDEX('RAID Log'!$1:$1048576,$B230,MATCH("Date Raised",'RAID Log'!$1:$1,0)),"")))</f>
        <v/>
      </c>
      <c r="O230" s="87" t="str">
        <f>IF($B230="","",IF(IFERROR(INDEX('RAID Log'!$1:$1048576,$B230,MATCH("Closed Date",'RAID Log'!$1:$1,0)),"")="","",IFERROR(INDEX('RAID Log'!$1:$1048576,$B230,MATCH("Closed Date",'RAID Log'!$1:$1,0)),"")))</f>
        <v/>
      </c>
      <c r="P230" s="85" t="str">
        <f>IF($B230="","",IF(IFERROR(INDEX('RAID Log'!$1:$1048576,$B230,MATCH("Mitigation Strategy",'RAID Log'!$1:$1,0)),"")="","",IFERROR(INDEX('RAID Log'!$1:$1048576,$B230,MATCH("Mitigation Strategy",'RAID Log'!$1:$1,0)),"")))</f>
        <v/>
      </c>
      <c r="Q230" s="88" t="str">
        <f>IF($B230="","",IF(IFERROR(INDEX('RAID Log'!$1:$1048576,$B230,MATCH("RAID Response/Plan",'RAID Log'!$1:$1,0)),"")="","",IFERROR(INDEX('RAID Log'!$1:$1048576,$B230,MATCH("RAID Response/Plan",'RAID Log'!$1:$1,0)),"")))</f>
        <v/>
      </c>
    </row>
    <row r="231" spans="1:17" ht="14.25" customHeight="1">
      <c r="A231" s="82" t="str">
        <f>IF($B231="","",IF(IFERROR(INDEX('RAID Log'!$1:$1048576,$B231,MATCH("RAID ID",'RAID Log'!$1:$1,0)),"")="","",IFERROR(INDEX('RAID Log'!$1:$1048576,$B231,MATCH("RAID ID",'RAID Log'!$1:$1,0)),"")))</f>
        <v/>
      </c>
      <c r="B231" s="83" t="str">
        <f>IFERROR(MATCH(ROW()-1,'RAID Log'!$S:$S,0),"")</f>
        <v/>
      </c>
      <c r="C231" s="84" t="str">
        <f>IF($B231="","",IF(IFERROR(INDEX('RAID Log'!$1:$1048576,$B231,MATCH("Description",'RAID Log'!$1:$1,0)),"")="","",IFERROR(INDEX('RAID Log'!$1:$1048576,$B231,MATCH("Description",'RAID Log'!$1:$1,0)),"")))</f>
        <v/>
      </c>
      <c r="D231" s="84" t="str">
        <f>IF($B231="","",IF(IFERROR(INDEX('RAID Log'!$1:$1048576,$B231,MATCH("Impact/Effect of the RAID",'RAID Log'!$1:$1,0)),"")="","",IFERROR(INDEX('RAID Log'!$1:$1048576,$B231,MATCH("Impact/Effect of the RAID",'RAID Log'!$1:$1,0)),"")))</f>
        <v/>
      </c>
      <c r="E231" s="85" t="str">
        <f>IF($B231="","",IF(IFERROR(INDEX('RAID Log'!$1:$1048576,$B231,MATCH("Impact Area",'RAID Log'!$1:$1,0)),"")="","",IFERROR(INDEX('RAID Log'!$1:$1048576,$B231,MATCH("Impact Area",'RAID Log'!$1:$1,0)),"")))</f>
        <v/>
      </c>
      <c r="F231" s="85" t="str">
        <f>IF($B231="","",IF(IFERROR(INDEX('RAID Log'!$1:$1048576,$B231,MATCH("Impact Area",'RAID Log'!$1:$1,0)),"")="","",IFERROR(INDEX('RAID Log'!$1:$1048576,$B231,MATCH("Impact Area",'RAID Log'!$1:$1,0)),"")))</f>
        <v/>
      </c>
      <c r="G231" s="85" t="str">
        <f>IF($B231="","",IF(IFERROR(INDEX('RAID Log'!$1:$1048576,$B231,MATCH("Impact Rating",'RAID Log'!$1:$1,0)),"")="","",IFERROR(INDEX('RAID Log'!$1:$1048576,$B231,MATCH("Impact Rating",'RAID Log'!$1:$1,0)),"")))</f>
        <v/>
      </c>
      <c r="H231" s="85" t="str">
        <f>IF($B231="","",IF(IFERROR(INDEX('RAID Log'!$1:$1048576,$B231,MATCH("Initial Probability",'RAID Log'!$1:$1,0)),"")="","",IFERROR(INDEX('RAID Log'!$1:$1048576,$B231,MATCH("Initial Probability",'RAID Log'!$1:$1,0)),"")))</f>
        <v/>
      </c>
      <c r="I231" s="86" t="str">
        <f t="shared" si="9"/>
        <v/>
      </c>
      <c r="J231" s="85" t="str">
        <f t="shared" si="10"/>
        <v/>
      </c>
      <c r="K231" s="86" t="str">
        <f t="shared" si="11"/>
        <v/>
      </c>
      <c r="L231" s="85" t="str">
        <f>IF($B231="","",IF(IFERROR(INDEX('RAID Log'!$1:$1048576,$B231,MATCH("Status",'RAID Log'!$1:$1,0)),"")="","",IFERROR(INDEX('RAID Log'!$1:$1048576,$B231,MATCH("Status",'RAID Log'!$1:$1,0)),"")))</f>
        <v/>
      </c>
      <c r="M231" s="85" t="str">
        <f>IF($B231="","",IF(IFERROR(INDEX('RAID Log'!$1:$1048576,$B231,MATCH("RAID Owner",'RAID Log'!$1:$1,0)),"")="","",IFERROR(INDEX('RAID Log'!$1:$1048576,$B231,MATCH("RAID Owner",'RAID Log'!$1:$1,0)),"")))</f>
        <v/>
      </c>
      <c r="N231" s="87" t="str">
        <f>IF($B231="","",IF(IFERROR(INDEX('RAID Log'!$1:$1048576,$B231,MATCH("Date Raised",'RAID Log'!$1:$1,0)),"")="","",IFERROR(INDEX('RAID Log'!$1:$1048576,$B231,MATCH("Date Raised",'RAID Log'!$1:$1,0)),"")))</f>
        <v/>
      </c>
      <c r="O231" s="87" t="str">
        <f>IF($B231="","",IF(IFERROR(INDEX('RAID Log'!$1:$1048576,$B231,MATCH("Closed Date",'RAID Log'!$1:$1,0)),"")="","",IFERROR(INDEX('RAID Log'!$1:$1048576,$B231,MATCH("Closed Date",'RAID Log'!$1:$1,0)),"")))</f>
        <v/>
      </c>
      <c r="P231" s="85" t="str">
        <f>IF($B231="","",IF(IFERROR(INDEX('RAID Log'!$1:$1048576,$B231,MATCH("Mitigation Strategy",'RAID Log'!$1:$1,0)),"")="","",IFERROR(INDEX('RAID Log'!$1:$1048576,$B231,MATCH("Mitigation Strategy",'RAID Log'!$1:$1,0)),"")))</f>
        <v/>
      </c>
      <c r="Q231" s="88" t="str">
        <f>IF($B231="","",IF(IFERROR(INDEX('RAID Log'!$1:$1048576,$B231,MATCH("RAID Response/Plan",'RAID Log'!$1:$1,0)),"")="","",IFERROR(INDEX('RAID Log'!$1:$1048576,$B231,MATCH("RAID Response/Plan",'RAID Log'!$1:$1,0)),"")))</f>
        <v/>
      </c>
    </row>
    <row r="232" spans="1:17" ht="14.25" customHeight="1">
      <c r="A232" s="82" t="str">
        <f>IF($B232="","",IF(IFERROR(INDEX('RAID Log'!$1:$1048576,$B232,MATCH("RAID ID",'RAID Log'!$1:$1,0)),"")="","",IFERROR(INDEX('RAID Log'!$1:$1048576,$B232,MATCH("RAID ID",'RAID Log'!$1:$1,0)),"")))</f>
        <v/>
      </c>
      <c r="B232" s="83" t="str">
        <f>IFERROR(MATCH(ROW()-1,'RAID Log'!$S:$S,0),"")</f>
        <v/>
      </c>
      <c r="C232" s="84" t="str">
        <f>IF($B232="","",IF(IFERROR(INDEX('RAID Log'!$1:$1048576,$B232,MATCH("Description",'RAID Log'!$1:$1,0)),"")="","",IFERROR(INDEX('RAID Log'!$1:$1048576,$B232,MATCH("Description",'RAID Log'!$1:$1,0)),"")))</f>
        <v/>
      </c>
      <c r="D232" s="84" t="str">
        <f>IF($B232="","",IF(IFERROR(INDEX('RAID Log'!$1:$1048576,$B232,MATCH("Impact/Effect of the RAID",'RAID Log'!$1:$1,0)),"")="","",IFERROR(INDEX('RAID Log'!$1:$1048576,$B232,MATCH("Impact/Effect of the RAID",'RAID Log'!$1:$1,0)),"")))</f>
        <v/>
      </c>
      <c r="E232" s="85" t="str">
        <f>IF($B232="","",IF(IFERROR(INDEX('RAID Log'!$1:$1048576,$B232,MATCH("Impact Area",'RAID Log'!$1:$1,0)),"")="","",IFERROR(INDEX('RAID Log'!$1:$1048576,$B232,MATCH("Impact Area",'RAID Log'!$1:$1,0)),"")))</f>
        <v/>
      </c>
      <c r="F232" s="85" t="str">
        <f>IF($B232="","",IF(IFERROR(INDEX('RAID Log'!$1:$1048576,$B232,MATCH("Impact Area",'RAID Log'!$1:$1,0)),"")="","",IFERROR(INDEX('RAID Log'!$1:$1048576,$B232,MATCH("Impact Area",'RAID Log'!$1:$1,0)),"")))</f>
        <v/>
      </c>
      <c r="G232" s="85" t="str">
        <f>IF($B232="","",IF(IFERROR(INDEX('RAID Log'!$1:$1048576,$B232,MATCH("Impact Rating",'RAID Log'!$1:$1,0)),"")="","",IFERROR(INDEX('RAID Log'!$1:$1048576,$B232,MATCH("Impact Rating",'RAID Log'!$1:$1,0)),"")))</f>
        <v/>
      </c>
      <c r="H232" s="85" t="str">
        <f>IF($B232="","",IF(IFERROR(INDEX('RAID Log'!$1:$1048576,$B232,MATCH("Initial Probability",'RAID Log'!$1:$1,0)),"")="","",IFERROR(INDEX('RAID Log'!$1:$1048576,$B232,MATCH("Initial Probability",'RAID Log'!$1:$1,0)),"")))</f>
        <v/>
      </c>
      <c r="I232" s="86" t="str">
        <f t="shared" si="9"/>
        <v/>
      </c>
      <c r="J232" s="85" t="str">
        <f t="shared" si="10"/>
        <v/>
      </c>
      <c r="K232" s="86" t="str">
        <f t="shared" si="11"/>
        <v/>
      </c>
      <c r="L232" s="85" t="str">
        <f>IF($B232="","",IF(IFERROR(INDEX('RAID Log'!$1:$1048576,$B232,MATCH("Status",'RAID Log'!$1:$1,0)),"")="","",IFERROR(INDEX('RAID Log'!$1:$1048576,$B232,MATCH("Status",'RAID Log'!$1:$1,0)),"")))</f>
        <v/>
      </c>
      <c r="M232" s="85" t="str">
        <f>IF($B232="","",IF(IFERROR(INDEX('RAID Log'!$1:$1048576,$B232,MATCH("RAID Owner",'RAID Log'!$1:$1,0)),"")="","",IFERROR(INDEX('RAID Log'!$1:$1048576,$B232,MATCH("RAID Owner",'RAID Log'!$1:$1,0)),"")))</f>
        <v/>
      </c>
      <c r="N232" s="87" t="str">
        <f>IF($B232="","",IF(IFERROR(INDEX('RAID Log'!$1:$1048576,$B232,MATCH("Date Raised",'RAID Log'!$1:$1,0)),"")="","",IFERROR(INDEX('RAID Log'!$1:$1048576,$B232,MATCH("Date Raised",'RAID Log'!$1:$1,0)),"")))</f>
        <v/>
      </c>
      <c r="O232" s="87" t="str">
        <f>IF($B232="","",IF(IFERROR(INDEX('RAID Log'!$1:$1048576,$B232,MATCH("Closed Date",'RAID Log'!$1:$1,0)),"")="","",IFERROR(INDEX('RAID Log'!$1:$1048576,$B232,MATCH("Closed Date",'RAID Log'!$1:$1,0)),"")))</f>
        <v/>
      </c>
      <c r="P232" s="85" t="str">
        <f>IF($B232="","",IF(IFERROR(INDEX('RAID Log'!$1:$1048576,$B232,MATCH("Mitigation Strategy",'RAID Log'!$1:$1,0)),"")="","",IFERROR(INDEX('RAID Log'!$1:$1048576,$B232,MATCH("Mitigation Strategy",'RAID Log'!$1:$1,0)),"")))</f>
        <v/>
      </c>
      <c r="Q232" s="88" t="str">
        <f>IF($B232="","",IF(IFERROR(INDEX('RAID Log'!$1:$1048576,$B232,MATCH("RAID Response/Plan",'RAID Log'!$1:$1,0)),"")="","",IFERROR(INDEX('RAID Log'!$1:$1048576,$B232,MATCH("RAID Response/Plan",'RAID Log'!$1:$1,0)),"")))</f>
        <v/>
      </c>
    </row>
    <row r="233" spans="1:17" ht="14.25" customHeight="1">
      <c r="A233" s="82" t="str">
        <f>IF($B233="","",IF(IFERROR(INDEX('RAID Log'!$1:$1048576,$B233,MATCH("RAID ID",'RAID Log'!$1:$1,0)),"")="","",IFERROR(INDEX('RAID Log'!$1:$1048576,$B233,MATCH("RAID ID",'RAID Log'!$1:$1,0)),"")))</f>
        <v/>
      </c>
      <c r="B233" s="83" t="str">
        <f>IFERROR(MATCH(ROW()-1,'RAID Log'!$S:$S,0),"")</f>
        <v/>
      </c>
      <c r="C233" s="84" t="str">
        <f>IF($B233="","",IF(IFERROR(INDEX('RAID Log'!$1:$1048576,$B233,MATCH("Description",'RAID Log'!$1:$1,0)),"")="","",IFERROR(INDEX('RAID Log'!$1:$1048576,$B233,MATCH("Description",'RAID Log'!$1:$1,0)),"")))</f>
        <v/>
      </c>
      <c r="D233" s="84" t="str">
        <f>IF($B233="","",IF(IFERROR(INDEX('RAID Log'!$1:$1048576,$B233,MATCH("Impact/Effect of the RAID",'RAID Log'!$1:$1,0)),"")="","",IFERROR(INDEX('RAID Log'!$1:$1048576,$B233,MATCH("Impact/Effect of the RAID",'RAID Log'!$1:$1,0)),"")))</f>
        <v/>
      </c>
      <c r="E233" s="85" t="str">
        <f>IF($B233="","",IF(IFERROR(INDEX('RAID Log'!$1:$1048576,$B233,MATCH("Impact Area",'RAID Log'!$1:$1,0)),"")="","",IFERROR(INDEX('RAID Log'!$1:$1048576,$B233,MATCH("Impact Area",'RAID Log'!$1:$1,0)),"")))</f>
        <v/>
      </c>
      <c r="F233" s="85" t="str">
        <f>IF($B233="","",IF(IFERROR(INDEX('RAID Log'!$1:$1048576,$B233,MATCH("Impact Area",'RAID Log'!$1:$1,0)),"")="","",IFERROR(INDEX('RAID Log'!$1:$1048576,$B233,MATCH("Impact Area",'RAID Log'!$1:$1,0)),"")))</f>
        <v/>
      </c>
      <c r="G233" s="85" t="str">
        <f>IF($B233="","",IF(IFERROR(INDEX('RAID Log'!$1:$1048576,$B233,MATCH("Impact Rating",'RAID Log'!$1:$1,0)),"")="","",IFERROR(INDEX('RAID Log'!$1:$1048576,$B233,MATCH("Impact Rating",'RAID Log'!$1:$1,0)),"")))</f>
        <v/>
      </c>
      <c r="H233" s="85" t="str">
        <f>IF($B233="","",IF(IFERROR(INDEX('RAID Log'!$1:$1048576,$B233,MATCH("Initial Probability",'RAID Log'!$1:$1,0)),"")="","",IFERROR(INDEX('RAID Log'!$1:$1048576,$B233,MATCH("Initial Probability",'RAID Log'!$1:$1,0)),"")))</f>
        <v/>
      </c>
      <c r="I233" s="86" t="str">
        <f t="shared" si="9"/>
        <v/>
      </c>
      <c r="J233" s="85" t="str">
        <f t="shared" si="10"/>
        <v/>
      </c>
      <c r="K233" s="86" t="str">
        <f t="shared" si="11"/>
        <v/>
      </c>
      <c r="L233" s="85" t="str">
        <f>IF($B233="","",IF(IFERROR(INDEX('RAID Log'!$1:$1048576,$B233,MATCH("Status",'RAID Log'!$1:$1,0)),"")="","",IFERROR(INDEX('RAID Log'!$1:$1048576,$B233,MATCH("Status",'RAID Log'!$1:$1,0)),"")))</f>
        <v/>
      </c>
      <c r="M233" s="85" t="str">
        <f>IF($B233="","",IF(IFERROR(INDEX('RAID Log'!$1:$1048576,$B233,MATCH("RAID Owner",'RAID Log'!$1:$1,0)),"")="","",IFERROR(INDEX('RAID Log'!$1:$1048576,$B233,MATCH("RAID Owner",'RAID Log'!$1:$1,0)),"")))</f>
        <v/>
      </c>
      <c r="N233" s="87" t="str">
        <f>IF($B233="","",IF(IFERROR(INDEX('RAID Log'!$1:$1048576,$B233,MATCH("Date Raised",'RAID Log'!$1:$1,0)),"")="","",IFERROR(INDEX('RAID Log'!$1:$1048576,$B233,MATCH("Date Raised",'RAID Log'!$1:$1,0)),"")))</f>
        <v/>
      </c>
      <c r="O233" s="87" t="str">
        <f>IF($B233="","",IF(IFERROR(INDEX('RAID Log'!$1:$1048576,$B233,MATCH("Closed Date",'RAID Log'!$1:$1,0)),"")="","",IFERROR(INDEX('RAID Log'!$1:$1048576,$B233,MATCH("Closed Date",'RAID Log'!$1:$1,0)),"")))</f>
        <v/>
      </c>
      <c r="P233" s="85" t="str">
        <f>IF($B233="","",IF(IFERROR(INDEX('RAID Log'!$1:$1048576,$B233,MATCH("Mitigation Strategy",'RAID Log'!$1:$1,0)),"")="","",IFERROR(INDEX('RAID Log'!$1:$1048576,$B233,MATCH("Mitigation Strategy",'RAID Log'!$1:$1,0)),"")))</f>
        <v/>
      </c>
      <c r="Q233" s="88" t="str">
        <f>IF($B233="","",IF(IFERROR(INDEX('RAID Log'!$1:$1048576,$B233,MATCH("RAID Response/Plan",'RAID Log'!$1:$1,0)),"")="","",IFERROR(INDEX('RAID Log'!$1:$1048576,$B233,MATCH("RAID Response/Plan",'RAID Log'!$1:$1,0)),"")))</f>
        <v/>
      </c>
    </row>
    <row r="234" spans="1:17" ht="14.25" customHeight="1">
      <c r="A234" s="82" t="str">
        <f>IF($B234="","",IF(IFERROR(INDEX('RAID Log'!$1:$1048576,$B234,MATCH("RAID ID",'RAID Log'!$1:$1,0)),"")="","",IFERROR(INDEX('RAID Log'!$1:$1048576,$B234,MATCH("RAID ID",'RAID Log'!$1:$1,0)),"")))</f>
        <v/>
      </c>
      <c r="B234" s="83" t="str">
        <f>IFERROR(MATCH(ROW()-1,'RAID Log'!$S:$S,0),"")</f>
        <v/>
      </c>
      <c r="C234" s="84" t="str">
        <f>IF($B234="","",IF(IFERROR(INDEX('RAID Log'!$1:$1048576,$B234,MATCH("Description",'RAID Log'!$1:$1,0)),"")="","",IFERROR(INDEX('RAID Log'!$1:$1048576,$B234,MATCH("Description",'RAID Log'!$1:$1,0)),"")))</f>
        <v/>
      </c>
      <c r="D234" s="84" t="str">
        <f>IF($B234="","",IF(IFERROR(INDEX('RAID Log'!$1:$1048576,$B234,MATCH("Impact/Effect of the RAID",'RAID Log'!$1:$1,0)),"")="","",IFERROR(INDEX('RAID Log'!$1:$1048576,$B234,MATCH("Impact/Effect of the RAID",'RAID Log'!$1:$1,0)),"")))</f>
        <v/>
      </c>
      <c r="E234" s="85" t="str">
        <f>IF($B234="","",IF(IFERROR(INDEX('RAID Log'!$1:$1048576,$B234,MATCH("Impact Area",'RAID Log'!$1:$1,0)),"")="","",IFERROR(INDEX('RAID Log'!$1:$1048576,$B234,MATCH("Impact Area",'RAID Log'!$1:$1,0)),"")))</f>
        <v/>
      </c>
      <c r="F234" s="85" t="str">
        <f>IF($B234="","",IF(IFERROR(INDEX('RAID Log'!$1:$1048576,$B234,MATCH("Impact Area",'RAID Log'!$1:$1,0)),"")="","",IFERROR(INDEX('RAID Log'!$1:$1048576,$B234,MATCH("Impact Area",'RAID Log'!$1:$1,0)),"")))</f>
        <v/>
      </c>
      <c r="G234" s="85" t="str">
        <f>IF($B234="","",IF(IFERROR(INDEX('RAID Log'!$1:$1048576,$B234,MATCH("Impact Rating",'RAID Log'!$1:$1,0)),"")="","",IFERROR(INDEX('RAID Log'!$1:$1048576,$B234,MATCH("Impact Rating",'RAID Log'!$1:$1,0)),"")))</f>
        <v/>
      </c>
      <c r="H234" s="85" t="str">
        <f>IF($B234="","",IF(IFERROR(INDEX('RAID Log'!$1:$1048576,$B234,MATCH("Initial Probability",'RAID Log'!$1:$1,0)),"")="","",IFERROR(INDEX('RAID Log'!$1:$1048576,$B234,MATCH("Initial Probability",'RAID Log'!$1:$1,0)),"")))</f>
        <v/>
      </c>
      <c r="I234" s="86" t="str">
        <f t="shared" si="9"/>
        <v/>
      </c>
      <c r="J234" s="85" t="str">
        <f t="shared" si="10"/>
        <v/>
      </c>
      <c r="K234" s="86" t="str">
        <f t="shared" si="11"/>
        <v/>
      </c>
      <c r="L234" s="85" t="str">
        <f>IF($B234="","",IF(IFERROR(INDEX('RAID Log'!$1:$1048576,$B234,MATCH("Status",'RAID Log'!$1:$1,0)),"")="","",IFERROR(INDEX('RAID Log'!$1:$1048576,$B234,MATCH("Status",'RAID Log'!$1:$1,0)),"")))</f>
        <v/>
      </c>
      <c r="M234" s="85" t="str">
        <f>IF($B234="","",IF(IFERROR(INDEX('RAID Log'!$1:$1048576,$B234,MATCH("RAID Owner",'RAID Log'!$1:$1,0)),"")="","",IFERROR(INDEX('RAID Log'!$1:$1048576,$B234,MATCH("RAID Owner",'RAID Log'!$1:$1,0)),"")))</f>
        <v/>
      </c>
      <c r="N234" s="87" t="str">
        <f>IF($B234="","",IF(IFERROR(INDEX('RAID Log'!$1:$1048576,$B234,MATCH("Date Raised",'RAID Log'!$1:$1,0)),"")="","",IFERROR(INDEX('RAID Log'!$1:$1048576,$B234,MATCH("Date Raised",'RAID Log'!$1:$1,0)),"")))</f>
        <v/>
      </c>
      <c r="O234" s="87" t="str">
        <f>IF($B234="","",IF(IFERROR(INDEX('RAID Log'!$1:$1048576,$B234,MATCH("Closed Date",'RAID Log'!$1:$1,0)),"")="","",IFERROR(INDEX('RAID Log'!$1:$1048576,$B234,MATCH("Closed Date",'RAID Log'!$1:$1,0)),"")))</f>
        <v/>
      </c>
      <c r="P234" s="85" t="str">
        <f>IF($B234="","",IF(IFERROR(INDEX('RAID Log'!$1:$1048576,$B234,MATCH("Mitigation Strategy",'RAID Log'!$1:$1,0)),"")="","",IFERROR(INDEX('RAID Log'!$1:$1048576,$B234,MATCH("Mitigation Strategy",'RAID Log'!$1:$1,0)),"")))</f>
        <v/>
      </c>
      <c r="Q234" s="88" t="str">
        <f>IF($B234="","",IF(IFERROR(INDEX('RAID Log'!$1:$1048576,$B234,MATCH("RAID Response/Plan",'RAID Log'!$1:$1,0)),"")="","",IFERROR(INDEX('RAID Log'!$1:$1048576,$B234,MATCH("RAID Response/Plan",'RAID Log'!$1:$1,0)),"")))</f>
        <v/>
      </c>
    </row>
    <row r="235" spans="1:17" ht="14.25" customHeight="1">
      <c r="A235" s="82" t="str">
        <f>IF($B235="","",IF(IFERROR(INDEX('RAID Log'!$1:$1048576,$B235,MATCH("RAID ID",'RAID Log'!$1:$1,0)),"")="","",IFERROR(INDEX('RAID Log'!$1:$1048576,$B235,MATCH("RAID ID",'RAID Log'!$1:$1,0)),"")))</f>
        <v/>
      </c>
      <c r="B235" s="83" t="str">
        <f>IFERROR(MATCH(ROW()-1,'RAID Log'!$S:$S,0),"")</f>
        <v/>
      </c>
      <c r="C235" s="84" t="str">
        <f>IF($B235="","",IF(IFERROR(INDEX('RAID Log'!$1:$1048576,$B235,MATCH("Description",'RAID Log'!$1:$1,0)),"")="","",IFERROR(INDEX('RAID Log'!$1:$1048576,$B235,MATCH("Description",'RAID Log'!$1:$1,0)),"")))</f>
        <v/>
      </c>
      <c r="D235" s="84" t="str">
        <f>IF($B235="","",IF(IFERROR(INDEX('RAID Log'!$1:$1048576,$B235,MATCH("Impact/Effect of the RAID",'RAID Log'!$1:$1,0)),"")="","",IFERROR(INDEX('RAID Log'!$1:$1048576,$B235,MATCH("Impact/Effect of the RAID",'RAID Log'!$1:$1,0)),"")))</f>
        <v/>
      </c>
      <c r="E235" s="85" t="str">
        <f>IF($B235="","",IF(IFERROR(INDEX('RAID Log'!$1:$1048576,$B235,MATCH("Impact Area",'RAID Log'!$1:$1,0)),"")="","",IFERROR(INDEX('RAID Log'!$1:$1048576,$B235,MATCH("Impact Area",'RAID Log'!$1:$1,0)),"")))</f>
        <v/>
      </c>
      <c r="F235" s="85" t="str">
        <f>IF($B235="","",IF(IFERROR(INDEX('RAID Log'!$1:$1048576,$B235,MATCH("Impact Area",'RAID Log'!$1:$1,0)),"")="","",IFERROR(INDEX('RAID Log'!$1:$1048576,$B235,MATCH("Impact Area",'RAID Log'!$1:$1,0)),"")))</f>
        <v/>
      </c>
      <c r="G235" s="85" t="str">
        <f>IF($B235="","",IF(IFERROR(INDEX('RAID Log'!$1:$1048576,$B235,MATCH("Impact Rating",'RAID Log'!$1:$1,0)),"")="","",IFERROR(INDEX('RAID Log'!$1:$1048576,$B235,MATCH("Impact Rating",'RAID Log'!$1:$1,0)),"")))</f>
        <v/>
      </c>
      <c r="H235" s="85" t="str">
        <f>IF($B235="","",IF(IFERROR(INDEX('RAID Log'!$1:$1048576,$B235,MATCH("Initial Probability",'RAID Log'!$1:$1,0)),"")="","",IFERROR(INDEX('RAID Log'!$1:$1048576,$B235,MATCH("Initial Probability",'RAID Log'!$1:$1,0)),"")))</f>
        <v/>
      </c>
      <c r="I235" s="86" t="str">
        <f t="shared" si="9"/>
        <v/>
      </c>
      <c r="J235" s="85" t="str">
        <f t="shared" si="10"/>
        <v/>
      </c>
      <c r="K235" s="86" t="str">
        <f t="shared" si="11"/>
        <v/>
      </c>
      <c r="L235" s="85" t="str">
        <f>IF($B235="","",IF(IFERROR(INDEX('RAID Log'!$1:$1048576,$B235,MATCH("Status",'RAID Log'!$1:$1,0)),"")="","",IFERROR(INDEX('RAID Log'!$1:$1048576,$B235,MATCH("Status",'RAID Log'!$1:$1,0)),"")))</f>
        <v/>
      </c>
      <c r="M235" s="85" t="str">
        <f>IF($B235="","",IF(IFERROR(INDEX('RAID Log'!$1:$1048576,$B235,MATCH("RAID Owner",'RAID Log'!$1:$1,0)),"")="","",IFERROR(INDEX('RAID Log'!$1:$1048576,$B235,MATCH("RAID Owner",'RAID Log'!$1:$1,0)),"")))</f>
        <v/>
      </c>
      <c r="N235" s="87" t="str">
        <f>IF($B235="","",IF(IFERROR(INDEX('RAID Log'!$1:$1048576,$B235,MATCH("Date Raised",'RAID Log'!$1:$1,0)),"")="","",IFERROR(INDEX('RAID Log'!$1:$1048576,$B235,MATCH("Date Raised",'RAID Log'!$1:$1,0)),"")))</f>
        <v/>
      </c>
      <c r="O235" s="87" t="str">
        <f>IF($B235="","",IF(IFERROR(INDEX('RAID Log'!$1:$1048576,$B235,MATCH("Closed Date",'RAID Log'!$1:$1,0)),"")="","",IFERROR(INDEX('RAID Log'!$1:$1048576,$B235,MATCH("Closed Date",'RAID Log'!$1:$1,0)),"")))</f>
        <v/>
      </c>
      <c r="P235" s="85" t="str">
        <f>IF($B235="","",IF(IFERROR(INDEX('RAID Log'!$1:$1048576,$B235,MATCH("Mitigation Strategy",'RAID Log'!$1:$1,0)),"")="","",IFERROR(INDEX('RAID Log'!$1:$1048576,$B235,MATCH("Mitigation Strategy",'RAID Log'!$1:$1,0)),"")))</f>
        <v/>
      </c>
      <c r="Q235" s="88" t="str">
        <f>IF($B235="","",IF(IFERROR(INDEX('RAID Log'!$1:$1048576,$B235,MATCH("RAID Response/Plan",'RAID Log'!$1:$1,0)),"")="","",IFERROR(INDEX('RAID Log'!$1:$1048576,$B235,MATCH("RAID Response/Plan",'RAID Log'!$1:$1,0)),"")))</f>
        <v/>
      </c>
    </row>
    <row r="236" spans="1:17" ht="14.25" customHeight="1">
      <c r="A236" s="82" t="str">
        <f>IF($B236="","",IF(IFERROR(INDEX('RAID Log'!$1:$1048576,$B236,MATCH("RAID ID",'RAID Log'!$1:$1,0)),"")="","",IFERROR(INDEX('RAID Log'!$1:$1048576,$B236,MATCH("RAID ID",'RAID Log'!$1:$1,0)),"")))</f>
        <v/>
      </c>
      <c r="B236" s="83" t="str">
        <f>IFERROR(MATCH(ROW()-1,'RAID Log'!$S:$S,0),"")</f>
        <v/>
      </c>
      <c r="C236" s="84" t="str">
        <f>IF($B236="","",IF(IFERROR(INDEX('RAID Log'!$1:$1048576,$B236,MATCH("Description",'RAID Log'!$1:$1,0)),"")="","",IFERROR(INDEX('RAID Log'!$1:$1048576,$B236,MATCH("Description",'RAID Log'!$1:$1,0)),"")))</f>
        <v/>
      </c>
      <c r="D236" s="84" t="str">
        <f>IF($B236="","",IF(IFERROR(INDEX('RAID Log'!$1:$1048576,$B236,MATCH("Impact/Effect of the RAID",'RAID Log'!$1:$1,0)),"")="","",IFERROR(INDEX('RAID Log'!$1:$1048576,$B236,MATCH("Impact/Effect of the RAID",'RAID Log'!$1:$1,0)),"")))</f>
        <v/>
      </c>
      <c r="E236" s="85" t="str">
        <f>IF($B236="","",IF(IFERROR(INDEX('RAID Log'!$1:$1048576,$B236,MATCH("Impact Area",'RAID Log'!$1:$1,0)),"")="","",IFERROR(INDEX('RAID Log'!$1:$1048576,$B236,MATCH("Impact Area",'RAID Log'!$1:$1,0)),"")))</f>
        <v/>
      </c>
      <c r="F236" s="85" t="str">
        <f>IF($B236="","",IF(IFERROR(INDEX('RAID Log'!$1:$1048576,$B236,MATCH("Impact Area",'RAID Log'!$1:$1,0)),"")="","",IFERROR(INDEX('RAID Log'!$1:$1048576,$B236,MATCH("Impact Area",'RAID Log'!$1:$1,0)),"")))</f>
        <v/>
      </c>
      <c r="G236" s="85" t="str">
        <f>IF($B236="","",IF(IFERROR(INDEX('RAID Log'!$1:$1048576,$B236,MATCH("Impact Rating",'RAID Log'!$1:$1,0)),"")="","",IFERROR(INDEX('RAID Log'!$1:$1048576,$B236,MATCH("Impact Rating",'RAID Log'!$1:$1,0)),"")))</f>
        <v/>
      </c>
      <c r="H236" s="85" t="str">
        <f>IF($B236="","",IF(IFERROR(INDEX('RAID Log'!$1:$1048576,$B236,MATCH("Initial Probability",'RAID Log'!$1:$1,0)),"")="","",IFERROR(INDEX('RAID Log'!$1:$1048576,$B236,MATCH("Initial Probability",'RAID Log'!$1:$1,0)),"")))</f>
        <v/>
      </c>
      <c r="I236" s="86" t="str">
        <f t="shared" si="9"/>
        <v/>
      </c>
      <c r="J236" s="85" t="str">
        <f t="shared" si="10"/>
        <v/>
      </c>
      <c r="K236" s="86" t="str">
        <f t="shared" si="11"/>
        <v/>
      </c>
      <c r="L236" s="85" t="str">
        <f>IF($B236="","",IF(IFERROR(INDEX('RAID Log'!$1:$1048576,$B236,MATCH("Status",'RAID Log'!$1:$1,0)),"")="","",IFERROR(INDEX('RAID Log'!$1:$1048576,$B236,MATCH("Status",'RAID Log'!$1:$1,0)),"")))</f>
        <v/>
      </c>
      <c r="M236" s="85" t="str">
        <f>IF($B236="","",IF(IFERROR(INDEX('RAID Log'!$1:$1048576,$B236,MATCH("RAID Owner",'RAID Log'!$1:$1,0)),"")="","",IFERROR(INDEX('RAID Log'!$1:$1048576,$B236,MATCH("RAID Owner",'RAID Log'!$1:$1,0)),"")))</f>
        <v/>
      </c>
      <c r="N236" s="87" t="str">
        <f>IF($B236="","",IF(IFERROR(INDEX('RAID Log'!$1:$1048576,$B236,MATCH("Date Raised",'RAID Log'!$1:$1,0)),"")="","",IFERROR(INDEX('RAID Log'!$1:$1048576,$B236,MATCH("Date Raised",'RAID Log'!$1:$1,0)),"")))</f>
        <v/>
      </c>
      <c r="O236" s="87" t="str">
        <f>IF($B236="","",IF(IFERROR(INDEX('RAID Log'!$1:$1048576,$B236,MATCH("Closed Date",'RAID Log'!$1:$1,0)),"")="","",IFERROR(INDEX('RAID Log'!$1:$1048576,$B236,MATCH("Closed Date",'RAID Log'!$1:$1,0)),"")))</f>
        <v/>
      </c>
      <c r="P236" s="85" t="str">
        <f>IF($B236="","",IF(IFERROR(INDEX('RAID Log'!$1:$1048576,$B236,MATCH("Mitigation Strategy",'RAID Log'!$1:$1,0)),"")="","",IFERROR(INDEX('RAID Log'!$1:$1048576,$B236,MATCH("Mitigation Strategy",'RAID Log'!$1:$1,0)),"")))</f>
        <v/>
      </c>
      <c r="Q236" s="88" t="str">
        <f>IF($B236="","",IF(IFERROR(INDEX('RAID Log'!$1:$1048576,$B236,MATCH("RAID Response/Plan",'RAID Log'!$1:$1,0)),"")="","",IFERROR(INDEX('RAID Log'!$1:$1048576,$B236,MATCH("RAID Response/Plan",'RAID Log'!$1:$1,0)),"")))</f>
        <v/>
      </c>
    </row>
    <row r="237" spans="1:17" ht="14.25" customHeight="1">
      <c r="A237" s="82" t="str">
        <f>IF($B237="","",IF(IFERROR(INDEX('RAID Log'!$1:$1048576,$B237,MATCH("RAID ID",'RAID Log'!$1:$1,0)),"")="","",IFERROR(INDEX('RAID Log'!$1:$1048576,$B237,MATCH("RAID ID",'RAID Log'!$1:$1,0)),"")))</f>
        <v/>
      </c>
      <c r="B237" s="83" t="str">
        <f>IFERROR(MATCH(ROW()-1,'RAID Log'!$S:$S,0),"")</f>
        <v/>
      </c>
      <c r="C237" s="84" t="str">
        <f>IF($B237="","",IF(IFERROR(INDEX('RAID Log'!$1:$1048576,$B237,MATCH("Description",'RAID Log'!$1:$1,0)),"")="","",IFERROR(INDEX('RAID Log'!$1:$1048576,$B237,MATCH("Description",'RAID Log'!$1:$1,0)),"")))</f>
        <v/>
      </c>
      <c r="D237" s="84" t="str">
        <f>IF($B237="","",IF(IFERROR(INDEX('RAID Log'!$1:$1048576,$B237,MATCH("Impact/Effect of the RAID",'RAID Log'!$1:$1,0)),"")="","",IFERROR(INDEX('RAID Log'!$1:$1048576,$B237,MATCH("Impact/Effect of the RAID",'RAID Log'!$1:$1,0)),"")))</f>
        <v/>
      </c>
      <c r="E237" s="85" t="str">
        <f>IF($B237="","",IF(IFERROR(INDEX('RAID Log'!$1:$1048576,$B237,MATCH("Impact Area",'RAID Log'!$1:$1,0)),"")="","",IFERROR(INDEX('RAID Log'!$1:$1048576,$B237,MATCH("Impact Area",'RAID Log'!$1:$1,0)),"")))</f>
        <v/>
      </c>
      <c r="F237" s="85" t="str">
        <f>IF($B237="","",IF(IFERROR(INDEX('RAID Log'!$1:$1048576,$B237,MATCH("Impact Area",'RAID Log'!$1:$1,0)),"")="","",IFERROR(INDEX('RAID Log'!$1:$1048576,$B237,MATCH("Impact Area",'RAID Log'!$1:$1,0)),"")))</f>
        <v/>
      </c>
      <c r="G237" s="85" t="str">
        <f>IF($B237="","",IF(IFERROR(INDEX('RAID Log'!$1:$1048576,$B237,MATCH("Impact Rating",'RAID Log'!$1:$1,0)),"")="","",IFERROR(INDEX('RAID Log'!$1:$1048576,$B237,MATCH("Impact Rating",'RAID Log'!$1:$1,0)),"")))</f>
        <v/>
      </c>
      <c r="H237" s="85" t="str">
        <f>IF($B237="","",IF(IFERROR(INDEX('RAID Log'!$1:$1048576,$B237,MATCH("Initial Probability",'RAID Log'!$1:$1,0)),"")="","",IFERROR(INDEX('RAID Log'!$1:$1048576,$B237,MATCH("Initial Probability",'RAID Log'!$1:$1,0)),"")))</f>
        <v/>
      </c>
      <c r="I237" s="86" t="str">
        <f t="shared" si="9"/>
        <v/>
      </c>
      <c r="J237" s="85" t="str">
        <f t="shared" si="10"/>
        <v/>
      </c>
      <c r="K237" s="86" t="str">
        <f t="shared" si="11"/>
        <v/>
      </c>
      <c r="L237" s="85" t="str">
        <f>IF($B237="","",IF(IFERROR(INDEX('RAID Log'!$1:$1048576,$B237,MATCH("Status",'RAID Log'!$1:$1,0)),"")="","",IFERROR(INDEX('RAID Log'!$1:$1048576,$B237,MATCH("Status",'RAID Log'!$1:$1,0)),"")))</f>
        <v/>
      </c>
      <c r="M237" s="85" t="str">
        <f>IF($B237="","",IF(IFERROR(INDEX('RAID Log'!$1:$1048576,$B237,MATCH("RAID Owner",'RAID Log'!$1:$1,0)),"")="","",IFERROR(INDEX('RAID Log'!$1:$1048576,$B237,MATCH("RAID Owner",'RAID Log'!$1:$1,0)),"")))</f>
        <v/>
      </c>
      <c r="N237" s="87" t="str">
        <f>IF($B237="","",IF(IFERROR(INDEX('RAID Log'!$1:$1048576,$B237,MATCH("Date Raised",'RAID Log'!$1:$1,0)),"")="","",IFERROR(INDEX('RAID Log'!$1:$1048576,$B237,MATCH("Date Raised",'RAID Log'!$1:$1,0)),"")))</f>
        <v/>
      </c>
      <c r="O237" s="87" t="str">
        <f>IF($B237="","",IF(IFERROR(INDEX('RAID Log'!$1:$1048576,$B237,MATCH("Closed Date",'RAID Log'!$1:$1,0)),"")="","",IFERROR(INDEX('RAID Log'!$1:$1048576,$B237,MATCH("Closed Date",'RAID Log'!$1:$1,0)),"")))</f>
        <v/>
      </c>
      <c r="P237" s="85" t="str">
        <f>IF($B237="","",IF(IFERROR(INDEX('RAID Log'!$1:$1048576,$B237,MATCH("Mitigation Strategy",'RAID Log'!$1:$1,0)),"")="","",IFERROR(INDEX('RAID Log'!$1:$1048576,$B237,MATCH("Mitigation Strategy",'RAID Log'!$1:$1,0)),"")))</f>
        <v/>
      </c>
      <c r="Q237" s="88" t="str">
        <f>IF($B237="","",IF(IFERROR(INDEX('RAID Log'!$1:$1048576,$B237,MATCH("RAID Response/Plan",'RAID Log'!$1:$1,0)),"")="","",IFERROR(INDEX('RAID Log'!$1:$1048576,$B237,MATCH("RAID Response/Plan",'RAID Log'!$1:$1,0)),"")))</f>
        <v/>
      </c>
    </row>
    <row r="238" spans="1:17" ht="14.25" customHeight="1">
      <c r="A238" s="82" t="str">
        <f>IF($B238="","",IF(IFERROR(INDEX('RAID Log'!$1:$1048576,$B238,MATCH("RAID ID",'RAID Log'!$1:$1,0)),"")="","",IFERROR(INDEX('RAID Log'!$1:$1048576,$B238,MATCH("RAID ID",'RAID Log'!$1:$1,0)),"")))</f>
        <v/>
      </c>
      <c r="B238" s="83" t="str">
        <f>IFERROR(MATCH(ROW()-1,'RAID Log'!$S:$S,0),"")</f>
        <v/>
      </c>
      <c r="C238" s="84" t="str">
        <f>IF($B238="","",IF(IFERROR(INDEX('RAID Log'!$1:$1048576,$B238,MATCH("Description",'RAID Log'!$1:$1,0)),"")="","",IFERROR(INDEX('RAID Log'!$1:$1048576,$B238,MATCH("Description",'RAID Log'!$1:$1,0)),"")))</f>
        <v/>
      </c>
      <c r="D238" s="84" t="str">
        <f>IF($B238="","",IF(IFERROR(INDEX('RAID Log'!$1:$1048576,$B238,MATCH("Impact/Effect of the RAID",'RAID Log'!$1:$1,0)),"")="","",IFERROR(INDEX('RAID Log'!$1:$1048576,$B238,MATCH("Impact/Effect of the RAID",'RAID Log'!$1:$1,0)),"")))</f>
        <v/>
      </c>
      <c r="E238" s="85" t="str">
        <f>IF($B238="","",IF(IFERROR(INDEX('RAID Log'!$1:$1048576,$B238,MATCH("Impact Area",'RAID Log'!$1:$1,0)),"")="","",IFERROR(INDEX('RAID Log'!$1:$1048576,$B238,MATCH("Impact Area",'RAID Log'!$1:$1,0)),"")))</f>
        <v/>
      </c>
      <c r="F238" s="85" t="str">
        <f>IF($B238="","",IF(IFERROR(INDEX('RAID Log'!$1:$1048576,$B238,MATCH("Impact Area",'RAID Log'!$1:$1,0)),"")="","",IFERROR(INDEX('RAID Log'!$1:$1048576,$B238,MATCH("Impact Area",'RAID Log'!$1:$1,0)),"")))</f>
        <v/>
      </c>
      <c r="G238" s="85" t="str">
        <f>IF($B238="","",IF(IFERROR(INDEX('RAID Log'!$1:$1048576,$B238,MATCH("Impact Rating",'RAID Log'!$1:$1,0)),"")="","",IFERROR(INDEX('RAID Log'!$1:$1048576,$B238,MATCH("Impact Rating",'RAID Log'!$1:$1,0)),"")))</f>
        <v/>
      </c>
      <c r="H238" s="85" t="str">
        <f>IF($B238="","",IF(IFERROR(INDEX('RAID Log'!$1:$1048576,$B238,MATCH("Initial Probability",'RAID Log'!$1:$1,0)),"")="","",IFERROR(INDEX('RAID Log'!$1:$1048576,$B238,MATCH("Initial Probability",'RAID Log'!$1:$1,0)),"")))</f>
        <v/>
      </c>
      <c r="I238" s="86" t="str">
        <f t="shared" si="9"/>
        <v/>
      </c>
      <c r="J238" s="85" t="str">
        <f t="shared" si="10"/>
        <v/>
      </c>
      <c r="K238" s="86" t="str">
        <f t="shared" si="11"/>
        <v/>
      </c>
      <c r="L238" s="85" t="str">
        <f>IF($B238="","",IF(IFERROR(INDEX('RAID Log'!$1:$1048576,$B238,MATCH("Status",'RAID Log'!$1:$1,0)),"")="","",IFERROR(INDEX('RAID Log'!$1:$1048576,$B238,MATCH("Status",'RAID Log'!$1:$1,0)),"")))</f>
        <v/>
      </c>
      <c r="M238" s="85" t="str">
        <f>IF($B238="","",IF(IFERROR(INDEX('RAID Log'!$1:$1048576,$B238,MATCH("RAID Owner",'RAID Log'!$1:$1,0)),"")="","",IFERROR(INDEX('RAID Log'!$1:$1048576,$B238,MATCH("RAID Owner",'RAID Log'!$1:$1,0)),"")))</f>
        <v/>
      </c>
      <c r="N238" s="87" t="str">
        <f>IF($B238="","",IF(IFERROR(INDEX('RAID Log'!$1:$1048576,$B238,MATCH("Date Raised",'RAID Log'!$1:$1,0)),"")="","",IFERROR(INDEX('RAID Log'!$1:$1048576,$B238,MATCH("Date Raised",'RAID Log'!$1:$1,0)),"")))</f>
        <v/>
      </c>
      <c r="O238" s="87" t="str">
        <f>IF($B238="","",IF(IFERROR(INDEX('RAID Log'!$1:$1048576,$B238,MATCH("Closed Date",'RAID Log'!$1:$1,0)),"")="","",IFERROR(INDEX('RAID Log'!$1:$1048576,$B238,MATCH("Closed Date",'RAID Log'!$1:$1,0)),"")))</f>
        <v/>
      </c>
      <c r="P238" s="85" t="str">
        <f>IF($B238="","",IF(IFERROR(INDEX('RAID Log'!$1:$1048576,$B238,MATCH("Mitigation Strategy",'RAID Log'!$1:$1,0)),"")="","",IFERROR(INDEX('RAID Log'!$1:$1048576,$B238,MATCH("Mitigation Strategy",'RAID Log'!$1:$1,0)),"")))</f>
        <v/>
      </c>
      <c r="Q238" s="88" t="str">
        <f>IF($B238="","",IF(IFERROR(INDEX('RAID Log'!$1:$1048576,$B238,MATCH("RAID Response/Plan",'RAID Log'!$1:$1,0)),"")="","",IFERROR(INDEX('RAID Log'!$1:$1048576,$B238,MATCH("RAID Response/Plan",'RAID Log'!$1:$1,0)),"")))</f>
        <v/>
      </c>
    </row>
    <row r="239" spans="1:17" ht="14.25" customHeight="1">
      <c r="A239" s="82" t="str">
        <f>IF($B239="","",IF(IFERROR(INDEX('RAID Log'!$1:$1048576,$B239,MATCH("RAID ID",'RAID Log'!$1:$1,0)),"")="","",IFERROR(INDEX('RAID Log'!$1:$1048576,$B239,MATCH("RAID ID",'RAID Log'!$1:$1,0)),"")))</f>
        <v/>
      </c>
      <c r="B239" s="83" t="str">
        <f>IFERROR(MATCH(ROW()-1,'RAID Log'!$S:$S,0),"")</f>
        <v/>
      </c>
      <c r="C239" s="84" t="str">
        <f>IF($B239="","",IF(IFERROR(INDEX('RAID Log'!$1:$1048576,$B239,MATCH("Description",'RAID Log'!$1:$1,0)),"")="","",IFERROR(INDEX('RAID Log'!$1:$1048576,$B239,MATCH("Description",'RAID Log'!$1:$1,0)),"")))</f>
        <v/>
      </c>
      <c r="D239" s="84" t="str">
        <f>IF($B239="","",IF(IFERROR(INDEX('RAID Log'!$1:$1048576,$B239,MATCH("Impact/Effect of the RAID",'RAID Log'!$1:$1,0)),"")="","",IFERROR(INDEX('RAID Log'!$1:$1048576,$B239,MATCH("Impact/Effect of the RAID",'RAID Log'!$1:$1,0)),"")))</f>
        <v/>
      </c>
      <c r="E239" s="85" t="str">
        <f>IF($B239="","",IF(IFERROR(INDEX('RAID Log'!$1:$1048576,$B239,MATCH("Impact Area",'RAID Log'!$1:$1,0)),"")="","",IFERROR(INDEX('RAID Log'!$1:$1048576,$B239,MATCH("Impact Area",'RAID Log'!$1:$1,0)),"")))</f>
        <v/>
      </c>
      <c r="F239" s="85" t="str">
        <f>IF($B239="","",IF(IFERROR(INDEX('RAID Log'!$1:$1048576,$B239,MATCH("Impact Area",'RAID Log'!$1:$1,0)),"")="","",IFERROR(INDEX('RAID Log'!$1:$1048576,$B239,MATCH("Impact Area",'RAID Log'!$1:$1,0)),"")))</f>
        <v/>
      </c>
      <c r="G239" s="85" t="str">
        <f>IF($B239="","",IF(IFERROR(INDEX('RAID Log'!$1:$1048576,$B239,MATCH("Impact Rating",'RAID Log'!$1:$1,0)),"")="","",IFERROR(INDEX('RAID Log'!$1:$1048576,$B239,MATCH("Impact Rating",'RAID Log'!$1:$1,0)),"")))</f>
        <v/>
      </c>
      <c r="H239" s="85" t="str">
        <f>IF($B239="","",IF(IFERROR(INDEX('RAID Log'!$1:$1048576,$B239,MATCH("Initial Probability",'RAID Log'!$1:$1,0)),"")="","",IFERROR(INDEX('RAID Log'!$1:$1048576,$B239,MATCH("Initial Probability",'RAID Log'!$1:$1,0)),"")))</f>
        <v/>
      </c>
      <c r="I239" s="86" t="str">
        <f t="shared" si="9"/>
        <v/>
      </c>
      <c r="J239" s="85" t="str">
        <f t="shared" si="10"/>
        <v/>
      </c>
      <c r="K239" s="86" t="str">
        <f t="shared" si="11"/>
        <v/>
      </c>
      <c r="L239" s="85" t="str">
        <f>IF($B239="","",IF(IFERROR(INDEX('RAID Log'!$1:$1048576,$B239,MATCH("Status",'RAID Log'!$1:$1,0)),"")="","",IFERROR(INDEX('RAID Log'!$1:$1048576,$B239,MATCH("Status",'RAID Log'!$1:$1,0)),"")))</f>
        <v/>
      </c>
      <c r="M239" s="85" t="str">
        <f>IF($B239="","",IF(IFERROR(INDEX('RAID Log'!$1:$1048576,$B239,MATCH("RAID Owner",'RAID Log'!$1:$1,0)),"")="","",IFERROR(INDEX('RAID Log'!$1:$1048576,$B239,MATCH("RAID Owner",'RAID Log'!$1:$1,0)),"")))</f>
        <v/>
      </c>
      <c r="N239" s="87" t="str">
        <f>IF($B239="","",IF(IFERROR(INDEX('RAID Log'!$1:$1048576,$B239,MATCH("Date Raised",'RAID Log'!$1:$1,0)),"")="","",IFERROR(INDEX('RAID Log'!$1:$1048576,$B239,MATCH("Date Raised",'RAID Log'!$1:$1,0)),"")))</f>
        <v/>
      </c>
      <c r="O239" s="87" t="str">
        <f>IF($B239="","",IF(IFERROR(INDEX('RAID Log'!$1:$1048576,$B239,MATCH("Closed Date",'RAID Log'!$1:$1,0)),"")="","",IFERROR(INDEX('RAID Log'!$1:$1048576,$B239,MATCH("Closed Date",'RAID Log'!$1:$1,0)),"")))</f>
        <v/>
      </c>
      <c r="P239" s="85" t="str">
        <f>IF($B239="","",IF(IFERROR(INDEX('RAID Log'!$1:$1048576,$B239,MATCH("Mitigation Strategy",'RAID Log'!$1:$1,0)),"")="","",IFERROR(INDEX('RAID Log'!$1:$1048576,$B239,MATCH("Mitigation Strategy",'RAID Log'!$1:$1,0)),"")))</f>
        <v/>
      </c>
      <c r="Q239" s="88" t="str">
        <f>IF($B239="","",IF(IFERROR(INDEX('RAID Log'!$1:$1048576,$B239,MATCH("RAID Response/Plan",'RAID Log'!$1:$1,0)),"")="","",IFERROR(INDEX('RAID Log'!$1:$1048576,$B239,MATCH("RAID Response/Plan",'RAID Log'!$1:$1,0)),"")))</f>
        <v/>
      </c>
    </row>
    <row r="240" spans="1:17" ht="14.25" customHeight="1">
      <c r="A240" s="82" t="str">
        <f>IF($B240="","",IF(IFERROR(INDEX('RAID Log'!$1:$1048576,$B240,MATCH("RAID ID",'RAID Log'!$1:$1,0)),"")="","",IFERROR(INDEX('RAID Log'!$1:$1048576,$B240,MATCH("RAID ID",'RAID Log'!$1:$1,0)),"")))</f>
        <v/>
      </c>
      <c r="B240" s="83" t="str">
        <f>IFERROR(MATCH(ROW()-1,'RAID Log'!$S:$S,0),"")</f>
        <v/>
      </c>
      <c r="C240" s="84" t="str">
        <f>IF($B240="","",IF(IFERROR(INDEX('RAID Log'!$1:$1048576,$B240,MATCH("Description",'RAID Log'!$1:$1,0)),"")="","",IFERROR(INDEX('RAID Log'!$1:$1048576,$B240,MATCH("Description",'RAID Log'!$1:$1,0)),"")))</f>
        <v/>
      </c>
      <c r="D240" s="84" t="str">
        <f>IF($B240="","",IF(IFERROR(INDEX('RAID Log'!$1:$1048576,$B240,MATCH("Impact/Effect of the RAID",'RAID Log'!$1:$1,0)),"")="","",IFERROR(INDEX('RAID Log'!$1:$1048576,$B240,MATCH("Impact/Effect of the RAID",'RAID Log'!$1:$1,0)),"")))</f>
        <v/>
      </c>
      <c r="E240" s="85" t="str">
        <f>IF($B240="","",IF(IFERROR(INDEX('RAID Log'!$1:$1048576,$B240,MATCH("Impact Area",'RAID Log'!$1:$1,0)),"")="","",IFERROR(INDEX('RAID Log'!$1:$1048576,$B240,MATCH("Impact Area",'RAID Log'!$1:$1,0)),"")))</f>
        <v/>
      </c>
      <c r="F240" s="85" t="str">
        <f>IF($B240="","",IF(IFERROR(INDEX('RAID Log'!$1:$1048576,$B240,MATCH("Impact Area",'RAID Log'!$1:$1,0)),"")="","",IFERROR(INDEX('RAID Log'!$1:$1048576,$B240,MATCH("Impact Area",'RAID Log'!$1:$1,0)),"")))</f>
        <v/>
      </c>
      <c r="G240" s="85" t="str">
        <f>IF($B240="","",IF(IFERROR(INDEX('RAID Log'!$1:$1048576,$B240,MATCH("Impact Rating",'RAID Log'!$1:$1,0)),"")="","",IFERROR(INDEX('RAID Log'!$1:$1048576,$B240,MATCH("Impact Rating",'RAID Log'!$1:$1,0)),"")))</f>
        <v/>
      </c>
      <c r="H240" s="85" t="str">
        <f>IF($B240="","",IF(IFERROR(INDEX('RAID Log'!$1:$1048576,$B240,MATCH("Initial Probability",'RAID Log'!$1:$1,0)),"")="","",IFERROR(INDEX('RAID Log'!$1:$1048576,$B240,MATCH("Initial Probability",'RAID Log'!$1:$1,0)),"")))</f>
        <v/>
      </c>
      <c r="I240" s="86" t="str">
        <f t="shared" si="9"/>
        <v/>
      </c>
      <c r="J240" s="85" t="str">
        <f t="shared" si="10"/>
        <v/>
      </c>
      <c r="K240" s="86" t="str">
        <f t="shared" si="11"/>
        <v/>
      </c>
      <c r="L240" s="85" t="str">
        <f>IF($B240="","",IF(IFERROR(INDEX('RAID Log'!$1:$1048576,$B240,MATCH("Status",'RAID Log'!$1:$1,0)),"")="","",IFERROR(INDEX('RAID Log'!$1:$1048576,$B240,MATCH("Status",'RAID Log'!$1:$1,0)),"")))</f>
        <v/>
      </c>
      <c r="M240" s="85" t="str">
        <f>IF($B240="","",IF(IFERROR(INDEX('RAID Log'!$1:$1048576,$B240,MATCH("RAID Owner",'RAID Log'!$1:$1,0)),"")="","",IFERROR(INDEX('RAID Log'!$1:$1048576,$B240,MATCH("RAID Owner",'RAID Log'!$1:$1,0)),"")))</f>
        <v/>
      </c>
      <c r="N240" s="87" t="str">
        <f>IF($B240="","",IF(IFERROR(INDEX('RAID Log'!$1:$1048576,$B240,MATCH("Date Raised",'RAID Log'!$1:$1,0)),"")="","",IFERROR(INDEX('RAID Log'!$1:$1048576,$B240,MATCH("Date Raised",'RAID Log'!$1:$1,0)),"")))</f>
        <v/>
      </c>
      <c r="O240" s="87" t="str">
        <f>IF($B240="","",IF(IFERROR(INDEX('RAID Log'!$1:$1048576,$B240,MATCH("Closed Date",'RAID Log'!$1:$1,0)),"")="","",IFERROR(INDEX('RAID Log'!$1:$1048576,$B240,MATCH("Closed Date",'RAID Log'!$1:$1,0)),"")))</f>
        <v/>
      </c>
      <c r="P240" s="85" t="str">
        <f>IF($B240="","",IF(IFERROR(INDEX('RAID Log'!$1:$1048576,$B240,MATCH("Mitigation Strategy",'RAID Log'!$1:$1,0)),"")="","",IFERROR(INDEX('RAID Log'!$1:$1048576,$B240,MATCH("Mitigation Strategy",'RAID Log'!$1:$1,0)),"")))</f>
        <v/>
      </c>
      <c r="Q240" s="88" t="str">
        <f>IF($B240="","",IF(IFERROR(INDEX('RAID Log'!$1:$1048576,$B240,MATCH("RAID Response/Plan",'RAID Log'!$1:$1,0)),"")="","",IFERROR(INDEX('RAID Log'!$1:$1048576,$B240,MATCH("RAID Response/Plan",'RAID Log'!$1:$1,0)),"")))</f>
        <v/>
      </c>
    </row>
    <row r="241" spans="1:17" ht="14.25" customHeight="1">
      <c r="A241" s="82" t="str">
        <f>IF($B241="","",IF(IFERROR(INDEX('RAID Log'!$1:$1048576,$B241,MATCH("RAID ID",'RAID Log'!$1:$1,0)),"")="","",IFERROR(INDEX('RAID Log'!$1:$1048576,$B241,MATCH("RAID ID",'RAID Log'!$1:$1,0)),"")))</f>
        <v/>
      </c>
      <c r="B241" s="83" t="str">
        <f>IFERROR(MATCH(ROW()-1,'RAID Log'!$S:$S,0),"")</f>
        <v/>
      </c>
      <c r="C241" s="84" t="str">
        <f>IF($B241="","",IF(IFERROR(INDEX('RAID Log'!$1:$1048576,$B241,MATCH("Description",'RAID Log'!$1:$1,0)),"")="","",IFERROR(INDEX('RAID Log'!$1:$1048576,$B241,MATCH("Description",'RAID Log'!$1:$1,0)),"")))</f>
        <v/>
      </c>
      <c r="D241" s="84" t="str">
        <f>IF($B241="","",IF(IFERROR(INDEX('RAID Log'!$1:$1048576,$B241,MATCH("Impact/Effect of the RAID",'RAID Log'!$1:$1,0)),"")="","",IFERROR(INDEX('RAID Log'!$1:$1048576,$B241,MATCH("Impact/Effect of the RAID",'RAID Log'!$1:$1,0)),"")))</f>
        <v/>
      </c>
      <c r="E241" s="85" t="str">
        <f>IF($B241="","",IF(IFERROR(INDEX('RAID Log'!$1:$1048576,$B241,MATCH("Impact Area",'RAID Log'!$1:$1,0)),"")="","",IFERROR(INDEX('RAID Log'!$1:$1048576,$B241,MATCH("Impact Area",'RAID Log'!$1:$1,0)),"")))</f>
        <v/>
      </c>
      <c r="F241" s="85" t="str">
        <f>IF($B241="","",IF(IFERROR(INDEX('RAID Log'!$1:$1048576,$B241,MATCH("Impact Area",'RAID Log'!$1:$1,0)),"")="","",IFERROR(INDEX('RAID Log'!$1:$1048576,$B241,MATCH("Impact Area",'RAID Log'!$1:$1,0)),"")))</f>
        <v/>
      </c>
      <c r="G241" s="85" t="str">
        <f>IF($B241="","",IF(IFERROR(INDEX('RAID Log'!$1:$1048576,$B241,MATCH("Impact Rating",'RAID Log'!$1:$1,0)),"")="","",IFERROR(INDEX('RAID Log'!$1:$1048576,$B241,MATCH("Impact Rating",'RAID Log'!$1:$1,0)),"")))</f>
        <v/>
      </c>
      <c r="H241" s="85" t="str">
        <f>IF($B241="","",IF(IFERROR(INDEX('RAID Log'!$1:$1048576,$B241,MATCH("Initial Probability",'RAID Log'!$1:$1,0)),"")="","",IFERROR(INDEX('RAID Log'!$1:$1048576,$B241,MATCH("Initial Probability",'RAID Log'!$1:$1,0)),"")))</f>
        <v/>
      </c>
      <c r="I241" s="86" t="str">
        <f t="shared" si="9"/>
        <v/>
      </c>
      <c r="J241" s="85" t="str">
        <f t="shared" si="10"/>
        <v/>
      </c>
      <c r="K241" s="86" t="str">
        <f t="shared" si="11"/>
        <v/>
      </c>
      <c r="L241" s="85" t="str">
        <f>IF($B241="","",IF(IFERROR(INDEX('RAID Log'!$1:$1048576,$B241,MATCH("Status",'RAID Log'!$1:$1,0)),"")="","",IFERROR(INDEX('RAID Log'!$1:$1048576,$B241,MATCH("Status",'RAID Log'!$1:$1,0)),"")))</f>
        <v/>
      </c>
      <c r="M241" s="85" t="str">
        <f>IF($B241="","",IF(IFERROR(INDEX('RAID Log'!$1:$1048576,$B241,MATCH("RAID Owner",'RAID Log'!$1:$1,0)),"")="","",IFERROR(INDEX('RAID Log'!$1:$1048576,$B241,MATCH("RAID Owner",'RAID Log'!$1:$1,0)),"")))</f>
        <v/>
      </c>
      <c r="N241" s="87" t="str">
        <f>IF($B241="","",IF(IFERROR(INDEX('RAID Log'!$1:$1048576,$B241,MATCH("Date Raised",'RAID Log'!$1:$1,0)),"")="","",IFERROR(INDEX('RAID Log'!$1:$1048576,$B241,MATCH("Date Raised",'RAID Log'!$1:$1,0)),"")))</f>
        <v/>
      </c>
      <c r="O241" s="87" t="str">
        <f>IF($B241="","",IF(IFERROR(INDEX('RAID Log'!$1:$1048576,$B241,MATCH("Closed Date",'RAID Log'!$1:$1,0)),"")="","",IFERROR(INDEX('RAID Log'!$1:$1048576,$B241,MATCH("Closed Date",'RAID Log'!$1:$1,0)),"")))</f>
        <v/>
      </c>
      <c r="P241" s="85" t="str">
        <f>IF($B241="","",IF(IFERROR(INDEX('RAID Log'!$1:$1048576,$B241,MATCH("Mitigation Strategy",'RAID Log'!$1:$1,0)),"")="","",IFERROR(INDEX('RAID Log'!$1:$1048576,$B241,MATCH("Mitigation Strategy",'RAID Log'!$1:$1,0)),"")))</f>
        <v/>
      </c>
      <c r="Q241" s="88" t="str">
        <f>IF($B241="","",IF(IFERROR(INDEX('RAID Log'!$1:$1048576,$B241,MATCH("RAID Response/Plan",'RAID Log'!$1:$1,0)),"")="","",IFERROR(INDEX('RAID Log'!$1:$1048576,$B241,MATCH("RAID Response/Plan",'RAID Log'!$1:$1,0)),"")))</f>
        <v/>
      </c>
    </row>
    <row r="242" spans="1:17" ht="14.25" customHeight="1">
      <c r="A242" s="82" t="str">
        <f>IF($B242="","",IF(IFERROR(INDEX('RAID Log'!$1:$1048576,$B242,MATCH("RAID ID",'RAID Log'!$1:$1,0)),"")="","",IFERROR(INDEX('RAID Log'!$1:$1048576,$B242,MATCH("RAID ID",'RAID Log'!$1:$1,0)),"")))</f>
        <v/>
      </c>
      <c r="B242" s="83" t="str">
        <f>IFERROR(MATCH(ROW()-1,'RAID Log'!$S:$S,0),"")</f>
        <v/>
      </c>
      <c r="C242" s="84" t="str">
        <f>IF($B242="","",IF(IFERROR(INDEX('RAID Log'!$1:$1048576,$B242,MATCH("Description",'RAID Log'!$1:$1,0)),"")="","",IFERROR(INDEX('RAID Log'!$1:$1048576,$B242,MATCH("Description",'RAID Log'!$1:$1,0)),"")))</f>
        <v/>
      </c>
      <c r="D242" s="84" t="str">
        <f>IF($B242="","",IF(IFERROR(INDEX('RAID Log'!$1:$1048576,$B242,MATCH("Impact/Effect of the RAID",'RAID Log'!$1:$1,0)),"")="","",IFERROR(INDEX('RAID Log'!$1:$1048576,$B242,MATCH("Impact/Effect of the RAID",'RAID Log'!$1:$1,0)),"")))</f>
        <v/>
      </c>
      <c r="E242" s="85" t="str">
        <f>IF($B242="","",IF(IFERROR(INDEX('RAID Log'!$1:$1048576,$B242,MATCH("Impact Area",'RAID Log'!$1:$1,0)),"")="","",IFERROR(INDEX('RAID Log'!$1:$1048576,$B242,MATCH("Impact Area",'RAID Log'!$1:$1,0)),"")))</f>
        <v/>
      </c>
      <c r="F242" s="85" t="str">
        <f>IF($B242="","",IF(IFERROR(INDEX('RAID Log'!$1:$1048576,$B242,MATCH("Impact Area",'RAID Log'!$1:$1,0)),"")="","",IFERROR(INDEX('RAID Log'!$1:$1048576,$B242,MATCH("Impact Area",'RAID Log'!$1:$1,0)),"")))</f>
        <v/>
      </c>
      <c r="G242" s="85" t="str">
        <f>IF($B242="","",IF(IFERROR(INDEX('RAID Log'!$1:$1048576,$B242,MATCH("Impact Rating",'RAID Log'!$1:$1,0)),"")="","",IFERROR(INDEX('RAID Log'!$1:$1048576,$B242,MATCH("Impact Rating",'RAID Log'!$1:$1,0)),"")))</f>
        <v/>
      </c>
      <c r="H242" s="85" t="str">
        <f>IF($B242="","",IF(IFERROR(INDEX('RAID Log'!$1:$1048576,$B242,MATCH("Initial Probability",'RAID Log'!$1:$1,0)),"")="","",IFERROR(INDEX('RAID Log'!$1:$1048576,$B242,MATCH("Initial Probability",'RAID Log'!$1:$1,0)),"")))</f>
        <v/>
      </c>
      <c r="I242" s="86" t="str">
        <f t="shared" si="9"/>
        <v/>
      </c>
      <c r="J242" s="85" t="str">
        <f t="shared" si="10"/>
        <v/>
      </c>
      <c r="K242" s="86" t="str">
        <f t="shared" si="11"/>
        <v/>
      </c>
      <c r="L242" s="85" t="str">
        <f>IF($B242="","",IF(IFERROR(INDEX('RAID Log'!$1:$1048576,$B242,MATCH("Status",'RAID Log'!$1:$1,0)),"")="","",IFERROR(INDEX('RAID Log'!$1:$1048576,$B242,MATCH("Status",'RAID Log'!$1:$1,0)),"")))</f>
        <v/>
      </c>
      <c r="M242" s="85" t="str">
        <f>IF($B242="","",IF(IFERROR(INDEX('RAID Log'!$1:$1048576,$B242,MATCH("RAID Owner",'RAID Log'!$1:$1,0)),"")="","",IFERROR(INDEX('RAID Log'!$1:$1048576,$B242,MATCH("RAID Owner",'RAID Log'!$1:$1,0)),"")))</f>
        <v/>
      </c>
      <c r="N242" s="87" t="str">
        <f>IF($B242="","",IF(IFERROR(INDEX('RAID Log'!$1:$1048576,$B242,MATCH("Date Raised",'RAID Log'!$1:$1,0)),"")="","",IFERROR(INDEX('RAID Log'!$1:$1048576,$B242,MATCH("Date Raised",'RAID Log'!$1:$1,0)),"")))</f>
        <v/>
      </c>
      <c r="O242" s="87" t="str">
        <f>IF($B242="","",IF(IFERROR(INDEX('RAID Log'!$1:$1048576,$B242,MATCH("Closed Date",'RAID Log'!$1:$1,0)),"")="","",IFERROR(INDEX('RAID Log'!$1:$1048576,$B242,MATCH("Closed Date",'RAID Log'!$1:$1,0)),"")))</f>
        <v/>
      </c>
      <c r="P242" s="85" t="str">
        <f>IF($B242="","",IF(IFERROR(INDEX('RAID Log'!$1:$1048576,$B242,MATCH("Mitigation Strategy",'RAID Log'!$1:$1,0)),"")="","",IFERROR(INDEX('RAID Log'!$1:$1048576,$B242,MATCH("Mitigation Strategy",'RAID Log'!$1:$1,0)),"")))</f>
        <v/>
      </c>
      <c r="Q242" s="88" t="str">
        <f>IF($B242="","",IF(IFERROR(INDEX('RAID Log'!$1:$1048576,$B242,MATCH("RAID Response/Plan",'RAID Log'!$1:$1,0)),"")="","",IFERROR(INDEX('RAID Log'!$1:$1048576,$B242,MATCH("RAID Response/Plan",'RAID Log'!$1:$1,0)),"")))</f>
        <v/>
      </c>
    </row>
    <row r="243" spans="1:17" ht="14.25" customHeight="1">
      <c r="A243" s="82" t="str">
        <f>IF($B243="","",IF(IFERROR(INDEX('RAID Log'!$1:$1048576,$B243,MATCH("RAID ID",'RAID Log'!$1:$1,0)),"")="","",IFERROR(INDEX('RAID Log'!$1:$1048576,$B243,MATCH("RAID ID",'RAID Log'!$1:$1,0)),"")))</f>
        <v/>
      </c>
      <c r="B243" s="83" t="str">
        <f>IFERROR(MATCH(ROW()-1,'RAID Log'!$S:$S,0),"")</f>
        <v/>
      </c>
      <c r="C243" s="84" t="str">
        <f>IF($B243="","",IF(IFERROR(INDEX('RAID Log'!$1:$1048576,$B243,MATCH("Description",'RAID Log'!$1:$1,0)),"")="","",IFERROR(INDEX('RAID Log'!$1:$1048576,$B243,MATCH("Description",'RAID Log'!$1:$1,0)),"")))</f>
        <v/>
      </c>
      <c r="D243" s="84" t="str">
        <f>IF($B243="","",IF(IFERROR(INDEX('RAID Log'!$1:$1048576,$B243,MATCH("Impact/Effect of the RAID",'RAID Log'!$1:$1,0)),"")="","",IFERROR(INDEX('RAID Log'!$1:$1048576,$B243,MATCH("Impact/Effect of the RAID",'RAID Log'!$1:$1,0)),"")))</f>
        <v/>
      </c>
      <c r="E243" s="85" t="str">
        <f>IF($B243="","",IF(IFERROR(INDEX('RAID Log'!$1:$1048576,$B243,MATCH("Impact Area",'RAID Log'!$1:$1,0)),"")="","",IFERROR(INDEX('RAID Log'!$1:$1048576,$B243,MATCH("Impact Area",'RAID Log'!$1:$1,0)),"")))</f>
        <v/>
      </c>
      <c r="F243" s="85" t="str">
        <f>IF($B243="","",IF(IFERROR(INDEX('RAID Log'!$1:$1048576,$B243,MATCH("Impact Area",'RAID Log'!$1:$1,0)),"")="","",IFERROR(INDEX('RAID Log'!$1:$1048576,$B243,MATCH("Impact Area",'RAID Log'!$1:$1,0)),"")))</f>
        <v/>
      </c>
      <c r="G243" s="85" t="str">
        <f>IF($B243="","",IF(IFERROR(INDEX('RAID Log'!$1:$1048576,$B243,MATCH("Impact Rating",'RAID Log'!$1:$1,0)),"")="","",IFERROR(INDEX('RAID Log'!$1:$1048576,$B243,MATCH("Impact Rating",'RAID Log'!$1:$1,0)),"")))</f>
        <v/>
      </c>
      <c r="H243" s="85" t="str">
        <f>IF($B243="","",IF(IFERROR(INDEX('RAID Log'!$1:$1048576,$B243,MATCH("Initial Probability",'RAID Log'!$1:$1,0)),"")="","",IFERROR(INDEX('RAID Log'!$1:$1048576,$B243,MATCH("Initial Probability",'RAID Log'!$1:$1,0)),"")))</f>
        <v/>
      </c>
      <c r="I243" s="86" t="str">
        <f t="shared" si="9"/>
        <v/>
      </c>
      <c r="J243" s="85" t="str">
        <f t="shared" si="10"/>
        <v/>
      </c>
      <c r="K243" s="86" t="str">
        <f t="shared" si="11"/>
        <v/>
      </c>
      <c r="L243" s="85" t="str">
        <f>IF($B243="","",IF(IFERROR(INDEX('RAID Log'!$1:$1048576,$B243,MATCH("Status",'RAID Log'!$1:$1,0)),"")="","",IFERROR(INDEX('RAID Log'!$1:$1048576,$B243,MATCH("Status",'RAID Log'!$1:$1,0)),"")))</f>
        <v/>
      </c>
      <c r="M243" s="85" t="str">
        <f>IF($B243="","",IF(IFERROR(INDEX('RAID Log'!$1:$1048576,$B243,MATCH("RAID Owner",'RAID Log'!$1:$1,0)),"")="","",IFERROR(INDEX('RAID Log'!$1:$1048576,$B243,MATCH("RAID Owner",'RAID Log'!$1:$1,0)),"")))</f>
        <v/>
      </c>
      <c r="N243" s="87" t="str">
        <f>IF($B243="","",IF(IFERROR(INDEX('RAID Log'!$1:$1048576,$B243,MATCH("Date Raised",'RAID Log'!$1:$1,0)),"")="","",IFERROR(INDEX('RAID Log'!$1:$1048576,$B243,MATCH("Date Raised",'RAID Log'!$1:$1,0)),"")))</f>
        <v/>
      </c>
      <c r="O243" s="87" t="str">
        <f>IF($B243="","",IF(IFERROR(INDEX('RAID Log'!$1:$1048576,$B243,MATCH("Closed Date",'RAID Log'!$1:$1,0)),"")="","",IFERROR(INDEX('RAID Log'!$1:$1048576,$B243,MATCH("Closed Date",'RAID Log'!$1:$1,0)),"")))</f>
        <v/>
      </c>
      <c r="P243" s="85" t="str">
        <f>IF($B243="","",IF(IFERROR(INDEX('RAID Log'!$1:$1048576,$B243,MATCH("Mitigation Strategy",'RAID Log'!$1:$1,0)),"")="","",IFERROR(INDEX('RAID Log'!$1:$1048576,$B243,MATCH("Mitigation Strategy",'RAID Log'!$1:$1,0)),"")))</f>
        <v/>
      </c>
      <c r="Q243" s="88" t="str">
        <f>IF($B243="","",IF(IFERROR(INDEX('RAID Log'!$1:$1048576,$B243,MATCH("RAID Response/Plan",'RAID Log'!$1:$1,0)),"")="","",IFERROR(INDEX('RAID Log'!$1:$1048576,$B243,MATCH("RAID Response/Plan",'RAID Log'!$1:$1,0)),"")))</f>
        <v/>
      </c>
    </row>
    <row r="244" spans="1:17" ht="14.25" customHeight="1">
      <c r="A244" s="82" t="str">
        <f>IF($B244="","",IF(IFERROR(INDEX('RAID Log'!$1:$1048576,$B244,MATCH("RAID ID",'RAID Log'!$1:$1,0)),"")="","",IFERROR(INDEX('RAID Log'!$1:$1048576,$B244,MATCH("RAID ID",'RAID Log'!$1:$1,0)),"")))</f>
        <v/>
      </c>
      <c r="B244" s="83" t="str">
        <f>IFERROR(MATCH(ROW()-1,'RAID Log'!$S:$S,0),"")</f>
        <v/>
      </c>
      <c r="C244" s="84" t="str">
        <f>IF($B244="","",IF(IFERROR(INDEX('RAID Log'!$1:$1048576,$B244,MATCH("Description",'RAID Log'!$1:$1,0)),"")="","",IFERROR(INDEX('RAID Log'!$1:$1048576,$B244,MATCH("Description",'RAID Log'!$1:$1,0)),"")))</f>
        <v/>
      </c>
      <c r="D244" s="84" t="str">
        <f>IF($B244="","",IF(IFERROR(INDEX('RAID Log'!$1:$1048576,$B244,MATCH("Impact/Effect of the RAID",'RAID Log'!$1:$1,0)),"")="","",IFERROR(INDEX('RAID Log'!$1:$1048576,$B244,MATCH("Impact/Effect of the RAID",'RAID Log'!$1:$1,0)),"")))</f>
        <v/>
      </c>
      <c r="E244" s="85" t="str">
        <f>IF($B244="","",IF(IFERROR(INDEX('RAID Log'!$1:$1048576,$B244,MATCH("Impact Area",'RAID Log'!$1:$1,0)),"")="","",IFERROR(INDEX('RAID Log'!$1:$1048576,$B244,MATCH("Impact Area",'RAID Log'!$1:$1,0)),"")))</f>
        <v/>
      </c>
      <c r="F244" s="85" t="str">
        <f>IF($B244="","",IF(IFERROR(INDEX('RAID Log'!$1:$1048576,$B244,MATCH("Impact Area",'RAID Log'!$1:$1,0)),"")="","",IFERROR(INDEX('RAID Log'!$1:$1048576,$B244,MATCH("Impact Area",'RAID Log'!$1:$1,0)),"")))</f>
        <v/>
      </c>
      <c r="G244" s="85" t="str">
        <f>IF($B244="","",IF(IFERROR(INDEX('RAID Log'!$1:$1048576,$B244,MATCH("Impact Rating",'RAID Log'!$1:$1,0)),"")="","",IFERROR(INDEX('RAID Log'!$1:$1048576,$B244,MATCH("Impact Rating",'RAID Log'!$1:$1,0)),"")))</f>
        <v/>
      </c>
      <c r="H244" s="85" t="str">
        <f>IF($B244="","",IF(IFERROR(INDEX('RAID Log'!$1:$1048576,$B244,MATCH("Initial Probability",'RAID Log'!$1:$1,0)),"")="","",IFERROR(INDEX('RAID Log'!$1:$1048576,$B244,MATCH("Initial Probability",'RAID Log'!$1:$1,0)),"")))</f>
        <v/>
      </c>
      <c r="I244" s="86" t="str">
        <f t="shared" si="9"/>
        <v/>
      </c>
      <c r="J244" s="85" t="str">
        <f t="shared" si="10"/>
        <v/>
      </c>
      <c r="K244" s="86" t="str">
        <f t="shared" si="11"/>
        <v/>
      </c>
      <c r="L244" s="85" t="str">
        <f>IF($B244="","",IF(IFERROR(INDEX('RAID Log'!$1:$1048576,$B244,MATCH("Status",'RAID Log'!$1:$1,0)),"")="","",IFERROR(INDEX('RAID Log'!$1:$1048576,$B244,MATCH("Status",'RAID Log'!$1:$1,0)),"")))</f>
        <v/>
      </c>
      <c r="M244" s="85" t="str">
        <f>IF($B244="","",IF(IFERROR(INDEX('RAID Log'!$1:$1048576,$B244,MATCH("RAID Owner",'RAID Log'!$1:$1,0)),"")="","",IFERROR(INDEX('RAID Log'!$1:$1048576,$B244,MATCH("RAID Owner",'RAID Log'!$1:$1,0)),"")))</f>
        <v/>
      </c>
      <c r="N244" s="87" t="str">
        <f>IF($B244="","",IF(IFERROR(INDEX('RAID Log'!$1:$1048576,$B244,MATCH("Date Raised",'RAID Log'!$1:$1,0)),"")="","",IFERROR(INDEX('RAID Log'!$1:$1048576,$B244,MATCH("Date Raised",'RAID Log'!$1:$1,0)),"")))</f>
        <v/>
      </c>
      <c r="O244" s="87" t="str">
        <f>IF($B244="","",IF(IFERROR(INDEX('RAID Log'!$1:$1048576,$B244,MATCH("Closed Date",'RAID Log'!$1:$1,0)),"")="","",IFERROR(INDEX('RAID Log'!$1:$1048576,$B244,MATCH("Closed Date",'RAID Log'!$1:$1,0)),"")))</f>
        <v/>
      </c>
      <c r="P244" s="85" t="str">
        <f>IF($B244="","",IF(IFERROR(INDEX('RAID Log'!$1:$1048576,$B244,MATCH("Mitigation Strategy",'RAID Log'!$1:$1,0)),"")="","",IFERROR(INDEX('RAID Log'!$1:$1048576,$B244,MATCH("Mitigation Strategy",'RAID Log'!$1:$1,0)),"")))</f>
        <v/>
      </c>
      <c r="Q244" s="88" t="str">
        <f>IF($B244="","",IF(IFERROR(INDEX('RAID Log'!$1:$1048576,$B244,MATCH("RAID Response/Plan",'RAID Log'!$1:$1,0)),"")="","",IFERROR(INDEX('RAID Log'!$1:$1048576,$B244,MATCH("RAID Response/Plan",'RAID Log'!$1:$1,0)),"")))</f>
        <v/>
      </c>
    </row>
    <row r="245" spans="1:17" ht="14.25" customHeight="1">
      <c r="A245" s="82" t="str">
        <f>IF($B245="","",IF(IFERROR(INDEX('RAID Log'!$1:$1048576,$B245,MATCH("RAID ID",'RAID Log'!$1:$1,0)),"")="","",IFERROR(INDEX('RAID Log'!$1:$1048576,$B245,MATCH("RAID ID",'RAID Log'!$1:$1,0)),"")))</f>
        <v/>
      </c>
      <c r="B245" s="83" t="str">
        <f>IFERROR(MATCH(ROW()-1,'RAID Log'!$S:$S,0),"")</f>
        <v/>
      </c>
      <c r="C245" s="84" t="str">
        <f>IF($B245="","",IF(IFERROR(INDEX('RAID Log'!$1:$1048576,$B245,MATCH("Description",'RAID Log'!$1:$1,0)),"")="","",IFERROR(INDEX('RAID Log'!$1:$1048576,$B245,MATCH("Description",'RAID Log'!$1:$1,0)),"")))</f>
        <v/>
      </c>
      <c r="D245" s="84" t="str">
        <f>IF($B245="","",IF(IFERROR(INDEX('RAID Log'!$1:$1048576,$B245,MATCH("Impact/Effect of the RAID",'RAID Log'!$1:$1,0)),"")="","",IFERROR(INDEX('RAID Log'!$1:$1048576,$B245,MATCH("Impact/Effect of the RAID",'RAID Log'!$1:$1,0)),"")))</f>
        <v/>
      </c>
      <c r="E245" s="85" t="str">
        <f>IF($B245="","",IF(IFERROR(INDEX('RAID Log'!$1:$1048576,$B245,MATCH("Impact Area",'RAID Log'!$1:$1,0)),"")="","",IFERROR(INDEX('RAID Log'!$1:$1048576,$B245,MATCH("Impact Area",'RAID Log'!$1:$1,0)),"")))</f>
        <v/>
      </c>
      <c r="F245" s="85" t="str">
        <f>IF($B245="","",IF(IFERROR(INDEX('RAID Log'!$1:$1048576,$B245,MATCH("Impact Area",'RAID Log'!$1:$1,0)),"")="","",IFERROR(INDEX('RAID Log'!$1:$1048576,$B245,MATCH("Impact Area",'RAID Log'!$1:$1,0)),"")))</f>
        <v/>
      </c>
      <c r="G245" s="85" t="str">
        <f>IF($B245="","",IF(IFERROR(INDEX('RAID Log'!$1:$1048576,$B245,MATCH("Impact Rating",'RAID Log'!$1:$1,0)),"")="","",IFERROR(INDEX('RAID Log'!$1:$1048576,$B245,MATCH("Impact Rating",'RAID Log'!$1:$1,0)),"")))</f>
        <v/>
      </c>
      <c r="H245" s="85" t="str">
        <f>IF($B245="","",IF(IFERROR(INDEX('RAID Log'!$1:$1048576,$B245,MATCH("Initial Probability",'RAID Log'!$1:$1,0)),"")="","",IFERROR(INDEX('RAID Log'!$1:$1048576,$B245,MATCH("Initial Probability",'RAID Log'!$1:$1,0)),"")))</f>
        <v/>
      </c>
      <c r="I245" s="86" t="str">
        <f t="shared" si="9"/>
        <v/>
      </c>
      <c r="J245" s="85" t="str">
        <f t="shared" si="10"/>
        <v/>
      </c>
      <c r="K245" s="86" t="str">
        <f t="shared" si="11"/>
        <v/>
      </c>
      <c r="L245" s="85" t="str">
        <f>IF($B245="","",IF(IFERROR(INDEX('RAID Log'!$1:$1048576,$B245,MATCH("Status",'RAID Log'!$1:$1,0)),"")="","",IFERROR(INDEX('RAID Log'!$1:$1048576,$B245,MATCH("Status",'RAID Log'!$1:$1,0)),"")))</f>
        <v/>
      </c>
      <c r="M245" s="85" t="str">
        <f>IF($B245="","",IF(IFERROR(INDEX('RAID Log'!$1:$1048576,$B245,MATCH("RAID Owner",'RAID Log'!$1:$1,0)),"")="","",IFERROR(INDEX('RAID Log'!$1:$1048576,$B245,MATCH("RAID Owner",'RAID Log'!$1:$1,0)),"")))</f>
        <v/>
      </c>
      <c r="N245" s="87" t="str">
        <f>IF($B245="","",IF(IFERROR(INDEX('RAID Log'!$1:$1048576,$B245,MATCH("Date Raised",'RAID Log'!$1:$1,0)),"")="","",IFERROR(INDEX('RAID Log'!$1:$1048576,$B245,MATCH("Date Raised",'RAID Log'!$1:$1,0)),"")))</f>
        <v/>
      </c>
      <c r="O245" s="87" t="str">
        <f>IF($B245="","",IF(IFERROR(INDEX('RAID Log'!$1:$1048576,$B245,MATCH("Closed Date",'RAID Log'!$1:$1,0)),"")="","",IFERROR(INDEX('RAID Log'!$1:$1048576,$B245,MATCH("Closed Date",'RAID Log'!$1:$1,0)),"")))</f>
        <v/>
      </c>
      <c r="P245" s="85" t="str">
        <f>IF($B245="","",IF(IFERROR(INDEX('RAID Log'!$1:$1048576,$B245,MATCH("Mitigation Strategy",'RAID Log'!$1:$1,0)),"")="","",IFERROR(INDEX('RAID Log'!$1:$1048576,$B245,MATCH("Mitigation Strategy",'RAID Log'!$1:$1,0)),"")))</f>
        <v/>
      </c>
      <c r="Q245" s="88" t="str">
        <f>IF($B245="","",IF(IFERROR(INDEX('RAID Log'!$1:$1048576,$B245,MATCH("RAID Response/Plan",'RAID Log'!$1:$1,0)),"")="","",IFERROR(INDEX('RAID Log'!$1:$1048576,$B245,MATCH("RAID Response/Plan",'RAID Log'!$1:$1,0)),"")))</f>
        <v/>
      </c>
    </row>
    <row r="246" spans="1:17" ht="14.25" customHeight="1">
      <c r="A246" s="82" t="str">
        <f>IF($B246="","",IF(IFERROR(INDEX('RAID Log'!$1:$1048576,$B246,MATCH("RAID ID",'RAID Log'!$1:$1,0)),"")="","",IFERROR(INDEX('RAID Log'!$1:$1048576,$B246,MATCH("RAID ID",'RAID Log'!$1:$1,0)),"")))</f>
        <v/>
      </c>
      <c r="B246" s="83" t="str">
        <f>IFERROR(MATCH(ROW()-1,'RAID Log'!$S:$S,0),"")</f>
        <v/>
      </c>
      <c r="C246" s="84" t="str">
        <f>IF($B246="","",IF(IFERROR(INDEX('RAID Log'!$1:$1048576,$B246,MATCH("Description",'RAID Log'!$1:$1,0)),"")="","",IFERROR(INDEX('RAID Log'!$1:$1048576,$B246,MATCH("Description",'RAID Log'!$1:$1,0)),"")))</f>
        <v/>
      </c>
      <c r="D246" s="84" t="str">
        <f>IF($B246="","",IF(IFERROR(INDEX('RAID Log'!$1:$1048576,$B246,MATCH("Impact/Effect of the RAID",'RAID Log'!$1:$1,0)),"")="","",IFERROR(INDEX('RAID Log'!$1:$1048576,$B246,MATCH("Impact/Effect of the RAID",'RAID Log'!$1:$1,0)),"")))</f>
        <v/>
      </c>
      <c r="E246" s="85" t="str">
        <f>IF($B246="","",IF(IFERROR(INDEX('RAID Log'!$1:$1048576,$B246,MATCH("Impact Area",'RAID Log'!$1:$1,0)),"")="","",IFERROR(INDEX('RAID Log'!$1:$1048576,$B246,MATCH("Impact Area",'RAID Log'!$1:$1,0)),"")))</f>
        <v/>
      </c>
      <c r="F246" s="85" t="str">
        <f>IF($B246="","",IF(IFERROR(INDEX('RAID Log'!$1:$1048576,$B246,MATCH("Impact Area",'RAID Log'!$1:$1,0)),"")="","",IFERROR(INDEX('RAID Log'!$1:$1048576,$B246,MATCH("Impact Area",'RAID Log'!$1:$1,0)),"")))</f>
        <v/>
      </c>
      <c r="G246" s="85" t="str">
        <f>IF($B246="","",IF(IFERROR(INDEX('RAID Log'!$1:$1048576,$B246,MATCH("Impact Rating",'RAID Log'!$1:$1,0)),"")="","",IFERROR(INDEX('RAID Log'!$1:$1048576,$B246,MATCH("Impact Rating",'RAID Log'!$1:$1,0)),"")))</f>
        <v/>
      </c>
      <c r="H246" s="85" t="str">
        <f>IF($B246="","",IF(IFERROR(INDEX('RAID Log'!$1:$1048576,$B246,MATCH("Initial Probability",'RAID Log'!$1:$1,0)),"")="","",IFERROR(INDEX('RAID Log'!$1:$1048576,$B246,MATCH("Initial Probability",'RAID Log'!$1:$1,0)),"")))</f>
        <v/>
      </c>
      <c r="I246" s="86" t="str">
        <f t="shared" si="9"/>
        <v/>
      </c>
      <c r="J246" s="85" t="str">
        <f t="shared" si="10"/>
        <v/>
      </c>
      <c r="K246" s="86" t="str">
        <f t="shared" si="11"/>
        <v/>
      </c>
      <c r="L246" s="85" t="str">
        <f>IF($B246="","",IF(IFERROR(INDEX('RAID Log'!$1:$1048576,$B246,MATCH("Status",'RAID Log'!$1:$1,0)),"")="","",IFERROR(INDEX('RAID Log'!$1:$1048576,$B246,MATCH("Status",'RAID Log'!$1:$1,0)),"")))</f>
        <v/>
      </c>
      <c r="M246" s="85" t="str">
        <f>IF($B246="","",IF(IFERROR(INDEX('RAID Log'!$1:$1048576,$B246,MATCH("RAID Owner",'RAID Log'!$1:$1,0)),"")="","",IFERROR(INDEX('RAID Log'!$1:$1048576,$B246,MATCH("RAID Owner",'RAID Log'!$1:$1,0)),"")))</f>
        <v/>
      </c>
      <c r="N246" s="87" t="str">
        <f>IF($B246="","",IF(IFERROR(INDEX('RAID Log'!$1:$1048576,$B246,MATCH("Date Raised",'RAID Log'!$1:$1,0)),"")="","",IFERROR(INDEX('RAID Log'!$1:$1048576,$B246,MATCH("Date Raised",'RAID Log'!$1:$1,0)),"")))</f>
        <v/>
      </c>
      <c r="O246" s="87" t="str">
        <f>IF($B246="","",IF(IFERROR(INDEX('RAID Log'!$1:$1048576,$B246,MATCH("Closed Date",'RAID Log'!$1:$1,0)),"")="","",IFERROR(INDEX('RAID Log'!$1:$1048576,$B246,MATCH("Closed Date",'RAID Log'!$1:$1,0)),"")))</f>
        <v/>
      </c>
      <c r="P246" s="85" t="str">
        <f>IF($B246="","",IF(IFERROR(INDEX('RAID Log'!$1:$1048576,$B246,MATCH("Mitigation Strategy",'RAID Log'!$1:$1,0)),"")="","",IFERROR(INDEX('RAID Log'!$1:$1048576,$B246,MATCH("Mitigation Strategy",'RAID Log'!$1:$1,0)),"")))</f>
        <v/>
      </c>
      <c r="Q246" s="88" t="str">
        <f>IF($B246="","",IF(IFERROR(INDEX('RAID Log'!$1:$1048576,$B246,MATCH("RAID Response/Plan",'RAID Log'!$1:$1,0)),"")="","",IFERROR(INDEX('RAID Log'!$1:$1048576,$B246,MATCH("RAID Response/Plan",'RAID Log'!$1:$1,0)),"")))</f>
        <v/>
      </c>
    </row>
    <row r="247" spans="1:17" ht="14.25" customHeight="1">
      <c r="A247" s="82" t="str">
        <f>IF($B247="","",IF(IFERROR(INDEX('RAID Log'!$1:$1048576,$B247,MATCH("RAID ID",'RAID Log'!$1:$1,0)),"")="","",IFERROR(INDEX('RAID Log'!$1:$1048576,$B247,MATCH("RAID ID",'RAID Log'!$1:$1,0)),"")))</f>
        <v/>
      </c>
      <c r="B247" s="83" t="str">
        <f>IFERROR(MATCH(ROW()-1,'RAID Log'!$S:$S,0),"")</f>
        <v/>
      </c>
      <c r="C247" s="84" t="str">
        <f>IF($B247="","",IF(IFERROR(INDEX('RAID Log'!$1:$1048576,$B247,MATCH("Description",'RAID Log'!$1:$1,0)),"")="","",IFERROR(INDEX('RAID Log'!$1:$1048576,$B247,MATCH("Description",'RAID Log'!$1:$1,0)),"")))</f>
        <v/>
      </c>
      <c r="D247" s="84" t="str">
        <f>IF($B247="","",IF(IFERROR(INDEX('RAID Log'!$1:$1048576,$B247,MATCH("Impact/Effect of the RAID",'RAID Log'!$1:$1,0)),"")="","",IFERROR(INDEX('RAID Log'!$1:$1048576,$B247,MATCH("Impact/Effect of the RAID",'RAID Log'!$1:$1,0)),"")))</f>
        <v/>
      </c>
      <c r="E247" s="85" t="str">
        <f>IF($B247="","",IF(IFERROR(INDEX('RAID Log'!$1:$1048576,$B247,MATCH("Impact Area",'RAID Log'!$1:$1,0)),"")="","",IFERROR(INDEX('RAID Log'!$1:$1048576,$B247,MATCH("Impact Area",'RAID Log'!$1:$1,0)),"")))</f>
        <v/>
      </c>
      <c r="F247" s="85" t="str">
        <f>IF($B247="","",IF(IFERROR(INDEX('RAID Log'!$1:$1048576,$B247,MATCH("Impact Area",'RAID Log'!$1:$1,0)),"")="","",IFERROR(INDEX('RAID Log'!$1:$1048576,$B247,MATCH("Impact Area",'RAID Log'!$1:$1,0)),"")))</f>
        <v/>
      </c>
      <c r="G247" s="85" t="str">
        <f>IF($B247="","",IF(IFERROR(INDEX('RAID Log'!$1:$1048576,$B247,MATCH("Impact Rating",'RAID Log'!$1:$1,0)),"")="","",IFERROR(INDEX('RAID Log'!$1:$1048576,$B247,MATCH("Impact Rating",'RAID Log'!$1:$1,0)),"")))</f>
        <v/>
      </c>
      <c r="H247" s="85" t="str">
        <f>IF($B247="","",IF(IFERROR(INDEX('RAID Log'!$1:$1048576,$B247,MATCH("Initial Probability",'RAID Log'!$1:$1,0)),"")="","",IFERROR(INDEX('RAID Log'!$1:$1048576,$B247,MATCH("Initial Probability",'RAID Log'!$1:$1,0)),"")))</f>
        <v/>
      </c>
      <c r="I247" s="86" t="str">
        <f t="shared" si="9"/>
        <v/>
      </c>
      <c r="J247" s="85" t="str">
        <f t="shared" si="10"/>
        <v/>
      </c>
      <c r="K247" s="86" t="str">
        <f t="shared" si="11"/>
        <v/>
      </c>
      <c r="L247" s="85" t="str">
        <f>IF($B247="","",IF(IFERROR(INDEX('RAID Log'!$1:$1048576,$B247,MATCH("Status",'RAID Log'!$1:$1,0)),"")="","",IFERROR(INDEX('RAID Log'!$1:$1048576,$B247,MATCH("Status",'RAID Log'!$1:$1,0)),"")))</f>
        <v/>
      </c>
      <c r="M247" s="85" t="str">
        <f>IF($B247="","",IF(IFERROR(INDEX('RAID Log'!$1:$1048576,$B247,MATCH("RAID Owner",'RAID Log'!$1:$1,0)),"")="","",IFERROR(INDEX('RAID Log'!$1:$1048576,$B247,MATCH("RAID Owner",'RAID Log'!$1:$1,0)),"")))</f>
        <v/>
      </c>
      <c r="N247" s="87" t="str">
        <f>IF($B247="","",IF(IFERROR(INDEX('RAID Log'!$1:$1048576,$B247,MATCH("Date Raised",'RAID Log'!$1:$1,0)),"")="","",IFERROR(INDEX('RAID Log'!$1:$1048576,$B247,MATCH("Date Raised",'RAID Log'!$1:$1,0)),"")))</f>
        <v/>
      </c>
      <c r="O247" s="87" t="str">
        <f>IF($B247="","",IF(IFERROR(INDEX('RAID Log'!$1:$1048576,$B247,MATCH("Closed Date",'RAID Log'!$1:$1,0)),"")="","",IFERROR(INDEX('RAID Log'!$1:$1048576,$B247,MATCH("Closed Date",'RAID Log'!$1:$1,0)),"")))</f>
        <v/>
      </c>
      <c r="P247" s="85" t="str">
        <f>IF($B247="","",IF(IFERROR(INDEX('RAID Log'!$1:$1048576,$B247,MATCH("Mitigation Strategy",'RAID Log'!$1:$1,0)),"")="","",IFERROR(INDEX('RAID Log'!$1:$1048576,$B247,MATCH("Mitigation Strategy",'RAID Log'!$1:$1,0)),"")))</f>
        <v/>
      </c>
      <c r="Q247" s="88" t="str">
        <f>IF($B247="","",IF(IFERROR(INDEX('RAID Log'!$1:$1048576,$B247,MATCH("RAID Response/Plan",'RAID Log'!$1:$1,0)),"")="","",IFERROR(INDEX('RAID Log'!$1:$1048576,$B247,MATCH("RAID Response/Plan",'RAID Log'!$1:$1,0)),"")))</f>
        <v/>
      </c>
    </row>
    <row r="248" spans="1:17" ht="14.25" customHeight="1">
      <c r="A248" s="82" t="str">
        <f>IF($B248="","",IF(IFERROR(INDEX('RAID Log'!$1:$1048576,$B248,MATCH("RAID ID",'RAID Log'!$1:$1,0)),"")="","",IFERROR(INDEX('RAID Log'!$1:$1048576,$B248,MATCH("RAID ID",'RAID Log'!$1:$1,0)),"")))</f>
        <v/>
      </c>
      <c r="B248" s="83" t="str">
        <f>IFERROR(MATCH(ROW()-1,'RAID Log'!$S:$S,0),"")</f>
        <v/>
      </c>
      <c r="C248" s="84" t="str">
        <f>IF($B248="","",IF(IFERROR(INDEX('RAID Log'!$1:$1048576,$B248,MATCH("Description",'RAID Log'!$1:$1,0)),"")="","",IFERROR(INDEX('RAID Log'!$1:$1048576,$B248,MATCH("Description",'RAID Log'!$1:$1,0)),"")))</f>
        <v/>
      </c>
      <c r="D248" s="84" t="str">
        <f>IF($B248="","",IF(IFERROR(INDEX('RAID Log'!$1:$1048576,$B248,MATCH("Impact/Effect of the RAID",'RAID Log'!$1:$1,0)),"")="","",IFERROR(INDEX('RAID Log'!$1:$1048576,$B248,MATCH("Impact/Effect of the RAID",'RAID Log'!$1:$1,0)),"")))</f>
        <v/>
      </c>
      <c r="E248" s="85" t="str">
        <f>IF($B248="","",IF(IFERROR(INDEX('RAID Log'!$1:$1048576,$B248,MATCH("Impact Area",'RAID Log'!$1:$1,0)),"")="","",IFERROR(INDEX('RAID Log'!$1:$1048576,$B248,MATCH("Impact Area",'RAID Log'!$1:$1,0)),"")))</f>
        <v/>
      </c>
      <c r="F248" s="85" t="str">
        <f>IF($B248="","",IF(IFERROR(INDEX('RAID Log'!$1:$1048576,$B248,MATCH("Impact Area",'RAID Log'!$1:$1,0)),"")="","",IFERROR(INDEX('RAID Log'!$1:$1048576,$B248,MATCH("Impact Area",'RAID Log'!$1:$1,0)),"")))</f>
        <v/>
      </c>
      <c r="G248" s="85" t="str">
        <f>IF($B248="","",IF(IFERROR(INDEX('RAID Log'!$1:$1048576,$B248,MATCH("Impact Rating",'RAID Log'!$1:$1,0)),"")="","",IFERROR(INDEX('RAID Log'!$1:$1048576,$B248,MATCH("Impact Rating",'RAID Log'!$1:$1,0)),"")))</f>
        <v/>
      </c>
      <c r="H248" s="85" t="str">
        <f>IF($B248="","",IF(IFERROR(INDEX('RAID Log'!$1:$1048576,$B248,MATCH("Initial Probability",'RAID Log'!$1:$1,0)),"")="","",IFERROR(INDEX('RAID Log'!$1:$1048576,$B248,MATCH("Initial Probability",'RAID Log'!$1:$1,0)),"")))</f>
        <v/>
      </c>
      <c r="I248" s="86" t="str">
        <f t="shared" si="9"/>
        <v/>
      </c>
      <c r="J248" s="85" t="str">
        <f t="shared" si="10"/>
        <v/>
      </c>
      <c r="K248" s="86" t="str">
        <f t="shared" si="11"/>
        <v/>
      </c>
      <c r="L248" s="85" t="str">
        <f>IF($B248="","",IF(IFERROR(INDEX('RAID Log'!$1:$1048576,$B248,MATCH("Status",'RAID Log'!$1:$1,0)),"")="","",IFERROR(INDEX('RAID Log'!$1:$1048576,$B248,MATCH("Status",'RAID Log'!$1:$1,0)),"")))</f>
        <v/>
      </c>
      <c r="M248" s="85" t="str">
        <f>IF($B248="","",IF(IFERROR(INDEX('RAID Log'!$1:$1048576,$B248,MATCH("RAID Owner",'RAID Log'!$1:$1,0)),"")="","",IFERROR(INDEX('RAID Log'!$1:$1048576,$B248,MATCH("RAID Owner",'RAID Log'!$1:$1,0)),"")))</f>
        <v/>
      </c>
      <c r="N248" s="87" t="str">
        <f>IF($B248="","",IF(IFERROR(INDEX('RAID Log'!$1:$1048576,$B248,MATCH("Date Raised",'RAID Log'!$1:$1,0)),"")="","",IFERROR(INDEX('RAID Log'!$1:$1048576,$B248,MATCH("Date Raised",'RAID Log'!$1:$1,0)),"")))</f>
        <v/>
      </c>
      <c r="O248" s="87" t="str">
        <f>IF($B248="","",IF(IFERROR(INDEX('RAID Log'!$1:$1048576,$B248,MATCH("Closed Date",'RAID Log'!$1:$1,0)),"")="","",IFERROR(INDEX('RAID Log'!$1:$1048576,$B248,MATCH("Closed Date",'RAID Log'!$1:$1,0)),"")))</f>
        <v/>
      </c>
      <c r="P248" s="85" t="str">
        <f>IF($B248="","",IF(IFERROR(INDEX('RAID Log'!$1:$1048576,$B248,MATCH("Mitigation Strategy",'RAID Log'!$1:$1,0)),"")="","",IFERROR(INDEX('RAID Log'!$1:$1048576,$B248,MATCH("Mitigation Strategy",'RAID Log'!$1:$1,0)),"")))</f>
        <v/>
      </c>
      <c r="Q248" s="88" t="str">
        <f>IF($B248="","",IF(IFERROR(INDEX('RAID Log'!$1:$1048576,$B248,MATCH("RAID Response/Plan",'RAID Log'!$1:$1,0)),"")="","",IFERROR(INDEX('RAID Log'!$1:$1048576,$B248,MATCH("RAID Response/Plan",'RAID Log'!$1:$1,0)),"")))</f>
        <v/>
      </c>
    </row>
    <row r="249" spans="1:17" ht="14.25" customHeight="1">
      <c r="A249" s="82" t="str">
        <f>IF($B249="","",IF(IFERROR(INDEX('RAID Log'!$1:$1048576,$B249,MATCH("RAID ID",'RAID Log'!$1:$1,0)),"")="","",IFERROR(INDEX('RAID Log'!$1:$1048576,$B249,MATCH("RAID ID",'RAID Log'!$1:$1,0)),"")))</f>
        <v/>
      </c>
      <c r="B249" s="83" t="str">
        <f>IFERROR(MATCH(ROW()-1,'RAID Log'!$S:$S,0),"")</f>
        <v/>
      </c>
      <c r="C249" s="84" t="str">
        <f>IF($B249="","",IF(IFERROR(INDEX('RAID Log'!$1:$1048576,$B249,MATCH("Description",'RAID Log'!$1:$1,0)),"")="","",IFERROR(INDEX('RAID Log'!$1:$1048576,$B249,MATCH("Description",'RAID Log'!$1:$1,0)),"")))</f>
        <v/>
      </c>
      <c r="D249" s="84" t="str">
        <f>IF($B249="","",IF(IFERROR(INDEX('RAID Log'!$1:$1048576,$B249,MATCH("Impact/Effect of the RAID",'RAID Log'!$1:$1,0)),"")="","",IFERROR(INDEX('RAID Log'!$1:$1048576,$B249,MATCH("Impact/Effect of the RAID",'RAID Log'!$1:$1,0)),"")))</f>
        <v/>
      </c>
      <c r="E249" s="85" t="str">
        <f>IF($B249="","",IF(IFERROR(INDEX('RAID Log'!$1:$1048576,$B249,MATCH("Impact Area",'RAID Log'!$1:$1,0)),"")="","",IFERROR(INDEX('RAID Log'!$1:$1048576,$B249,MATCH("Impact Area",'RAID Log'!$1:$1,0)),"")))</f>
        <v/>
      </c>
      <c r="F249" s="85" t="str">
        <f>IF($B249="","",IF(IFERROR(INDEX('RAID Log'!$1:$1048576,$B249,MATCH("Impact Area",'RAID Log'!$1:$1,0)),"")="","",IFERROR(INDEX('RAID Log'!$1:$1048576,$B249,MATCH("Impact Area",'RAID Log'!$1:$1,0)),"")))</f>
        <v/>
      </c>
      <c r="G249" s="85" t="str">
        <f>IF($B249="","",IF(IFERROR(INDEX('RAID Log'!$1:$1048576,$B249,MATCH("Impact Rating",'RAID Log'!$1:$1,0)),"")="","",IFERROR(INDEX('RAID Log'!$1:$1048576,$B249,MATCH("Impact Rating",'RAID Log'!$1:$1,0)),"")))</f>
        <v/>
      </c>
      <c r="H249" s="85" t="str">
        <f>IF($B249="","",IF(IFERROR(INDEX('RAID Log'!$1:$1048576,$B249,MATCH("Initial Probability",'RAID Log'!$1:$1,0)),"")="","",IFERROR(INDEX('RAID Log'!$1:$1048576,$B249,MATCH("Initial Probability",'RAID Log'!$1:$1,0)),"")))</f>
        <v/>
      </c>
      <c r="I249" s="86" t="str">
        <f t="shared" si="9"/>
        <v/>
      </c>
      <c r="J249" s="85" t="str">
        <f t="shared" si="10"/>
        <v/>
      </c>
      <c r="K249" s="86" t="str">
        <f t="shared" si="11"/>
        <v/>
      </c>
      <c r="L249" s="85" t="str">
        <f>IF($B249="","",IF(IFERROR(INDEX('RAID Log'!$1:$1048576,$B249,MATCH("Status",'RAID Log'!$1:$1,0)),"")="","",IFERROR(INDEX('RAID Log'!$1:$1048576,$B249,MATCH("Status",'RAID Log'!$1:$1,0)),"")))</f>
        <v/>
      </c>
      <c r="M249" s="85" t="str">
        <f>IF($B249="","",IF(IFERROR(INDEX('RAID Log'!$1:$1048576,$B249,MATCH("RAID Owner",'RAID Log'!$1:$1,0)),"")="","",IFERROR(INDEX('RAID Log'!$1:$1048576,$B249,MATCH("RAID Owner",'RAID Log'!$1:$1,0)),"")))</f>
        <v/>
      </c>
      <c r="N249" s="87" t="str">
        <f>IF($B249="","",IF(IFERROR(INDEX('RAID Log'!$1:$1048576,$B249,MATCH("Date Raised",'RAID Log'!$1:$1,0)),"")="","",IFERROR(INDEX('RAID Log'!$1:$1048576,$B249,MATCH("Date Raised",'RAID Log'!$1:$1,0)),"")))</f>
        <v/>
      </c>
      <c r="O249" s="87" t="str">
        <f>IF($B249="","",IF(IFERROR(INDEX('RAID Log'!$1:$1048576,$B249,MATCH("Closed Date",'RAID Log'!$1:$1,0)),"")="","",IFERROR(INDEX('RAID Log'!$1:$1048576,$B249,MATCH("Closed Date",'RAID Log'!$1:$1,0)),"")))</f>
        <v/>
      </c>
      <c r="P249" s="85" t="str">
        <f>IF($B249="","",IF(IFERROR(INDEX('RAID Log'!$1:$1048576,$B249,MATCH("Mitigation Strategy",'RAID Log'!$1:$1,0)),"")="","",IFERROR(INDEX('RAID Log'!$1:$1048576,$B249,MATCH("Mitigation Strategy",'RAID Log'!$1:$1,0)),"")))</f>
        <v/>
      </c>
      <c r="Q249" s="88" t="str">
        <f>IF($B249="","",IF(IFERROR(INDEX('RAID Log'!$1:$1048576,$B249,MATCH("RAID Response/Plan",'RAID Log'!$1:$1,0)),"")="","",IFERROR(INDEX('RAID Log'!$1:$1048576,$B249,MATCH("RAID Response/Plan",'RAID Log'!$1:$1,0)),"")))</f>
        <v/>
      </c>
    </row>
    <row r="250" spans="1:17" ht="14.25" customHeight="1">
      <c r="A250" s="82" t="str">
        <f>IF($B250="","",IF(IFERROR(INDEX('RAID Log'!$1:$1048576,$B250,MATCH("RAID ID",'RAID Log'!$1:$1,0)),"")="","",IFERROR(INDEX('RAID Log'!$1:$1048576,$B250,MATCH("RAID ID",'RAID Log'!$1:$1,0)),"")))</f>
        <v/>
      </c>
      <c r="B250" s="83" t="str">
        <f>IFERROR(MATCH(ROW()-1,'RAID Log'!$S:$S,0),"")</f>
        <v/>
      </c>
      <c r="C250" s="84" t="str">
        <f>IF($B250="","",IF(IFERROR(INDEX('RAID Log'!$1:$1048576,$B250,MATCH("Description",'RAID Log'!$1:$1,0)),"")="","",IFERROR(INDEX('RAID Log'!$1:$1048576,$B250,MATCH("Description",'RAID Log'!$1:$1,0)),"")))</f>
        <v/>
      </c>
      <c r="D250" s="84" t="str">
        <f>IF($B250="","",IF(IFERROR(INDEX('RAID Log'!$1:$1048576,$B250,MATCH("Impact/Effect of the RAID",'RAID Log'!$1:$1,0)),"")="","",IFERROR(INDEX('RAID Log'!$1:$1048576,$B250,MATCH("Impact/Effect of the RAID",'RAID Log'!$1:$1,0)),"")))</f>
        <v/>
      </c>
      <c r="E250" s="85" t="str">
        <f>IF($B250="","",IF(IFERROR(INDEX('RAID Log'!$1:$1048576,$B250,MATCH("Impact Area",'RAID Log'!$1:$1,0)),"")="","",IFERROR(INDEX('RAID Log'!$1:$1048576,$B250,MATCH("Impact Area",'RAID Log'!$1:$1,0)),"")))</f>
        <v/>
      </c>
      <c r="F250" s="85" t="str">
        <f>IF($B250="","",IF(IFERROR(INDEX('RAID Log'!$1:$1048576,$B250,MATCH("Impact Area",'RAID Log'!$1:$1,0)),"")="","",IFERROR(INDEX('RAID Log'!$1:$1048576,$B250,MATCH("Impact Area",'RAID Log'!$1:$1,0)),"")))</f>
        <v/>
      </c>
      <c r="G250" s="85" t="str">
        <f>IF($B250="","",IF(IFERROR(INDEX('RAID Log'!$1:$1048576,$B250,MATCH("Impact Rating",'RAID Log'!$1:$1,0)),"")="","",IFERROR(INDEX('RAID Log'!$1:$1048576,$B250,MATCH("Impact Rating",'RAID Log'!$1:$1,0)),"")))</f>
        <v/>
      </c>
      <c r="H250" s="85" t="str">
        <f>IF($B250="","",IF(IFERROR(INDEX('RAID Log'!$1:$1048576,$B250,MATCH("Initial Probability",'RAID Log'!$1:$1,0)),"")="","",IFERROR(INDEX('RAID Log'!$1:$1048576,$B250,MATCH("Initial Probability",'RAID Log'!$1:$1,0)),"")))</f>
        <v/>
      </c>
      <c r="I250" s="86" t="str">
        <f t="shared" si="9"/>
        <v/>
      </c>
      <c r="J250" s="85" t="str">
        <f t="shared" si="10"/>
        <v/>
      </c>
      <c r="K250" s="86" t="str">
        <f t="shared" si="11"/>
        <v/>
      </c>
      <c r="L250" s="85" t="str">
        <f>IF($B250="","",IF(IFERROR(INDEX('RAID Log'!$1:$1048576,$B250,MATCH("Status",'RAID Log'!$1:$1,0)),"")="","",IFERROR(INDEX('RAID Log'!$1:$1048576,$B250,MATCH("Status",'RAID Log'!$1:$1,0)),"")))</f>
        <v/>
      </c>
      <c r="M250" s="85" t="str">
        <f>IF($B250="","",IF(IFERROR(INDEX('RAID Log'!$1:$1048576,$B250,MATCH("RAID Owner",'RAID Log'!$1:$1,0)),"")="","",IFERROR(INDEX('RAID Log'!$1:$1048576,$B250,MATCH("RAID Owner",'RAID Log'!$1:$1,0)),"")))</f>
        <v/>
      </c>
      <c r="N250" s="87" t="str">
        <f>IF($B250="","",IF(IFERROR(INDEX('RAID Log'!$1:$1048576,$B250,MATCH("Date Raised",'RAID Log'!$1:$1,0)),"")="","",IFERROR(INDEX('RAID Log'!$1:$1048576,$B250,MATCH("Date Raised",'RAID Log'!$1:$1,0)),"")))</f>
        <v/>
      </c>
      <c r="O250" s="87" t="str">
        <f>IF($B250="","",IF(IFERROR(INDEX('RAID Log'!$1:$1048576,$B250,MATCH("Closed Date",'RAID Log'!$1:$1,0)),"")="","",IFERROR(INDEX('RAID Log'!$1:$1048576,$B250,MATCH("Closed Date",'RAID Log'!$1:$1,0)),"")))</f>
        <v/>
      </c>
      <c r="P250" s="85" t="str">
        <f>IF($B250="","",IF(IFERROR(INDEX('RAID Log'!$1:$1048576,$B250,MATCH("Mitigation Strategy",'RAID Log'!$1:$1,0)),"")="","",IFERROR(INDEX('RAID Log'!$1:$1048576,$B250,MATCH("Mitigation Strategy",'RAID Log'!$1:$1,0)),"")))</f>
        <v/>
      </c>
      <c r="Q250" s="88" t="str">
        <f>IF($B250="","",IF(IFERROR(INDEX('RAID Log'!$1:$1048576,$B250,MATCH("RAID Response/Plan",'RAID Log'!$1:$1,0)),"")="","",IFERROR(INDEX('RAID Log'!$1:$1048576,$B250,MATCH("RAID Response/Plan",'RAID Log'!$1:$1,0)),"")))</f>
        <v/>
      </c>
    </row>
    <row r="251" spans="1:17" ht="14.25" customHeight="1">
      <c r="A251" s="82" t="str">
        <f>IF($B251="","",IF(IFERROR(INDEX('RAID Log'!$1:$1048576,$B251,MATCH("RAID ID",'RAID Log'!$1:$1,0)),"")="","",IFERROR(INDEX('RAID Log'!$1:$1048576,$B251,MATCH("RAID ID",'RAID Log'!$1:$1,0)),"")))</f>
        <v/>
      </c>
      <c r="B251" s="83" t="str">
        <f>IFERROR(MATCH(ROW()-1,'RAID Log'!$S:$S,0),"")</f>
        <v/>
      </c>
      <c r="C251" s="84" t="str">
        <f>IF($B251="","",IF(IFERROR(INDEX('RAID Log'!$1:$1048576,$B251,MATCH("Description",'RAID Log'!$1:$1,0)),"")="","",IFERROR(INDEX('RAID Log'!$1:$1048576,$B251,MATCH("Description",'RAID Log'!$1:$1,0)),"")))</f>
        <v/>
      </c>
      <c r="D251" s="84" t="str">
        <f>IF($B251="","",IF(IFERROR(INDEX('RAID Log'!$1:$1048576,$B251,MATCH("Impact/Effect of the RAID",'RAID Log'!$1:$1,0)),"")="","",IFERROR(INDEX('RAID Log'!$1:$1048576,$B251,MATCH("Impact/Effect of the RAID",'RAID Log'!$1:$1,0)),"")))</f>
        <v/>
      </c>
      <c r="E251" s="85" t="str">
        <f>IF($B251="","",IF(IFERROR(INDEX('RAID Log'!$1:$1048576,$B251,MATCH("Impact Area",'RAID Log'!$1:$1,0)),"")="","",IFERROR(INDEX('RAID Log'!$1:$1048576,$B251,MATCH("Impact Area",'RAID Log'!$1:$1,0)),"")))</f>
        <v/>
      </c>
      <c r="F251" s="85" t="str">
        <f>IF($B251="","",IF(IFERROR(INDEX('RAID Log'!$1:$1048576,$B251,MATCH("Impact Area",'RAID Log'!$1:$1,0)),"")="","",IFERROR(INDEX('RAID Log'!$1:$1048576,$B251,MATCH("Impact Area",'RAID Log'!$1:$1,0)),"")))</f>
        <v/>
      </c>
      <c r="G251" s="85" t="str">
        <f>IF($B251="","",IF(IFERROR(INDEX('RAID Log'!$1:$1048576,$B251,MATCH("Impact Rating",'RAID Log'!$1:$1,0)),"")="","",IFERROR(INDEX('RAID Log'!$1:$1048576,$B251,MATCH("Impact Rating",'RAID Log'!$1:$1,0)),"")))</f>
        <v/>
      </c>
      <c r="H251" s="85" t="str">
        <f>IF($B251="","",IF(IFERROR(INDEX('RAID Log'!$1:$1048576,$B251,MATCH("Initial Probability",'RAID Log'!$1:$1,0)),"")="","",IFERROR(INDEX('RAID Log'!$1:$1048576,$B251,MATCH("Initial Probability",'RAID Log'!$1:$1,0)),"")))</f>
        <v/>
      </c>
      <c r="I251" s="86" t="str">
        <f t="shared" si="9"/>
        <v/>
      </c>
      <c r="J251" s="85" t="str">
        <f t="shared" si="10"/>
        <v/>
      </c>
      <c r="K251" s="86" t="str">
        <f t="shared" si="11"/>
        <v/>
      </c>
      <c r="L251" s="85" t="str">
        <f>IF($B251="","",IF(IFERROR(INDEX('RAID Log'!$1:$1048576,$B251,MATCH("Status",'RAID Log'!$1:$1,0)),"")="","",IFERROR(INDEX('RAID Log'!$1:$1048576,$B251,MATCH("Status",'RAID Log'!$1:$1,0)),"")))</f>
        <v/>
      </c>
      <c r="M251" s="85" t="str">
        <f>IF($B251="","",IF(IFERROR(INDEX('RAID Log'!$1:$1048576,$B251,MATCH("RAID Owner",'RAID Log'!$1:$1,0)),"")="","",IFERROR(INDEX('RAID Log'!$1:$1048576,$B251,MATCH("RAID Owner",'RAID Log'!$1:$1,0)),"")))</f>
        <v/>
      </c>
      <c r="N251" s="87" t="str">
        <f>IF($B251="","",IF(IFERROR(INDEX('RAID Log'!$1:$1048576,$B251,MATCH("Date Raised",'RAID Log'!$1:$1,0)),"")="","",IFERROR(INDEX('RAID Log'!$1:$1048576,$B251,MATCH("Date Raised",'RAID Log'!$1:$1,0)),"")))</f>
        <v/>
      </c>
      <c r="O251" s="87" t="str">
        <f>IF($B251="","",IF(IFERROR(INDEX('RAID Log'!$1:$1048576,$B251,MATCH("Closed Date",'RAID Log'!$1:$1,0)),"")="","",IFERROR(INDEX('RAID Log'!$1:$1048576,$B251,MATCH("Closed Date",'RAID Log'!$1:$1,0)),"")))</f>
        <v/>
      </c>
      <c r="P251" s="85" t="str">
        <f>IF($B251="","",IF(IFERROR(INDEX('RAID Log'!$1:$1048576,$B251,MATCH("Mitigation Strategy",'RAID Log'!$1:$1,0)),"")="","",IFERROR(INDEX('RAID Log'!$1:$1048576,$B251,MATCH("Mitigation Strategy",'RAID Log'!$1:$1,0)),"")))</f>
        <v/>
      </c>
      <c r="Q251" s="88" t="str">
        <f>IF($B251="","",IF(IFERROR(INDEX('RAID Log'!$1:$1048576,$B251,MATCH("RAID Response/Plan",'RAID Log'!$1:$1,0)),"")="","",IFERROR(INDEX('RAID Log'!$1:$1048576,$B251,MATCH("RAID Response/Plan",'RAID Log'!$1:$1,0)),"")))</f>
        <v/>
      </c>
    </row>
    <row r="252" spans="1:17" ht="14.25" customHeight="1">
      <c r="A252" s="82" t="str">
        <f>IF($B252="","",IF(IFERROR(INDEX('RAID Log'!$1:$1048576,$B252,MATCH("RAID ID",'RAID Log'!$1:$1,0)),"")="","",IFERROR(INDEX('RAID Log'!$1:$1048576,$B252,MATCH("RAID ID",'RAID Log'!$1:$1,0)),"")))</f>
        <v/>
      </c>
      <c r="B252" s="83" t="str">
        <f>IFERROR(MATCH(ROW()-1,'RAID Log'!$S:$S,0),"")</f>
        <v/>
      </c>
      <c r="C252" s="84" t="str">
        <f>IF($B252="","",IF(IFERROR(INDEX('RAID Log'!$1:$1048576,$B252,MATCH("Description",'RAID Log'!$1:$1,0)),"")="","",IFERROR(INDEX('RAID Log'!$1:$1048576,$B252,MATCH("Description",'RAID Log'!$1:$1,0)),"")))</f>
        <v/>
      </c>
      <c r="D252" s="84" t="str">
        <f>IF($B252="","",IF(IFERROR(INDEX('RAID Log'!$1:$1048576,$B252,MATCH("Impact/Effect of the RAID",'RAID Log'!$1:$1,0)),"")="","",IFERROR(INDEX('RAID Log'!$1:$1048576,$B252,MATCH("Impact/Effect of the RAID",'RAID Log'!$1:$1,0)),"")))</f>
        <v/>
      </c>
      <c r="E252" s="85" t="str">
        <f>IF($B252="","",IF(IFERROR(INDEX('RAID Log'!$1:$1048576,$B252,MATCH("Impact Area",'RAID Log'!$1:$1,0)),"")="","",IFERROR(INDEX('RAID Log'!$1:$1048576,$B252,MATCH("Impact Area",'RAID Log'!$1:$1,0)),"")))</f>
        <v/>
      </c>
      <c r="F252" s="85" t="str">
        <f>IF($B252="","",IF(IFERROR(INDEX('RAID Log'!$1:$1048576,$B252,MATCH("Impact Area",'RAID Log'!$1:$1,0)),"")="","",IFERROR(INDEX('RAID Log'!$1:$1048576,$B252,MATCH("Impact Area",'RAID Log'!$1:$1,0)),"")))</f>
        <v/>
      </c>
      <c r="G252" s="85" t="str">
        <f>IF($B252="","",IF(IFERROR(INDEX('RAID Log'!$1:$1048576,$B252,MATCH("Impact Rating",'RAID Log'!$1:$1,0)),"")="","",IFERROR(INDEX('RAID Log'!$1:$1048576,$B252,MATCH("Impact Rating",'RAID Log'!$1:$1,0)),"")))</f>
        <v/>
      </c>
      <c r="H252" s="85" t="str">
        <f>IF($B252="","",IF(IFERROR(INDEX('RAID Log'!$1:$1048576,$B252,MATCH("Initial Probability",'RAID Log'!$1:$1,0)),"")="","",IFERROR(INDEX('RAID Log'!$1:$1048576,$B252,MATCH("Initial Probability",'RAID Log'!$1:$1,0)),"")))</f>
        <v/>
      </c>
      <c r="I252" s="86" t="str">
        <f t="shared" si="9"/>
        <v/>
      </c>
      <c r="J252" s="85" t="str">
        <f t="shared" si="10"/>
        <v/>
      </c>
      <c r="K252" s="86" t="str">
        <f t="shared" si="11"/>
        <v/>
      </c>
      <c r="L252" s="85" t="str">
        <f>IF($B252="","",IF(IFERROR(INDEX('RAID Log'!$1:$1048576,$B252,MATCH("Status",'RAID Log'!$1:$1,0)),"")="","",IFERROR(INDEX('RAID Log'!$1:$1048576,$B252,MATCH("Status",'RAID Log'!$1:$1,0)),"")))</f>
        <v/>
      </c>
      <c r="M252" s="85" t="str">
        <f>IF($B252="","",IF(IFERROR(INDEX('RAID Log'!$1:$1048576,$B252,MATCH("RAID Owner",'RAID Log'!$1:$1,0)),"")="","",IFERROR(INDEX('RAID Log'!$1:$1048576,$B252,MATCH("RAID Owner",'RAID Log'!$1:$1,0)),"")))</f>
        <v/>
      </c>
      <c r="N252" s="87" t="str">
        <f>IF($B252="","",IF(IFERROR(INDEX('RAID Log'!$1:$1048576,$B252,MATCH("Date Raised",'RAID Log'!$1:$1,0)),"")="","",IFERROR(INDEX('RAID Log'!$1:$1048576,$B252,MATCH("Date Raised",'RAID Log'!$1:$1,0)),"")))</f>
        <v/>
      </c>
      <c r="O252" s="87" t="str">
        <f>IF($B252="","",IF(IFERROR(INDEX('RAID Log'!$1:$1048576,$B252,MATCH("Closed Date",'RAID Log'!$1:$1,0)),"")="","",IFERROR(INDEX('RAID Log'!$1:$1048576,$B252,MATCH("Closed Date",'RAID Log'!$1:$1,0)),"")))</f>
        <v/>
      </c>
      <c r="P252" s="85" t="str">
        <f>IF($B252="","",IF(IFERROR(INDEX('RAID Log'!$1:$1048576,$B252,MATCH("Mitigation Strategy",'RAID Log'!$1:$1,0)),"")="","",IFERROR(INDEX('RAID Log'!$1:$1048576,$B252,MATCH("Mitigation Strategy",'RAID Log'!$1:$1,0)),"")))</f>
        <v/>
      </c>
      <c r="Q252" s="88" t="str">
        <f>IF($B252="","",IF(IFERROR(INDEX('RAID Log'!$1:$1048576,$B252,MATCH("RAID Response/Plan",'RAID Log'!$1:$1,0)),"")="","",IFERROR(INDEX('RAID Log'!$1:$1048576,$B252,MATCH("RAID Response/Plan",'RAID Log'!$1:$1,0)),"")))</f>
        <v/>
      </c>
    </row>
    <row r="253" spans="1:17" ht="14.25" customHeight="1">
      <c r="A253" s="82" t="str">
        <f>IF($B253="","",IF(IFERROR(INDEX('RAID Log'!$1:$1048576,$B253,MATCH("RAID ID",'RAID Log'!$1:$1,0)),"")="","",IFERROR(INDEX('RAID Log'!$1:$1048576,$B253,MATCH("RAID ID",'RAID Log'!$1:$1,0)),"")))</f>
        <v/>
      </c>
      <c r="B253" s="83" t="str">
        <f>IFERROR(MATCH(ROW()-1,'RAID Log'!$S:$S,0),"")</f>
        <v/>
      </c>
      <c r="C253" s="84" t="str">
        <f>IF($B253="","",IF(IFERROR(INDEX('RAID Log'!$1:$1048576,$B253,MATCH("Description",'RAID Log'!$1:$1,0)),"")="","",IFERROR(INDEX('RAID Log'!$1:$1048576,$B253,MATCH("Description",'RAID Log'!$1:$1,0)),"")))</f>
        <v/>
      </c>
      <c r="D253" s="84" t="str">
        <f>IF($B253="","",IF(IFERROR(INDEX('RAID Log'!$1:$1048576,$B253,MATCH("Impact/Effect of the RAID",'RAID Log'!$1:$1,0)),"")="","",IFERROR(INDEX('RAID Log'!$1:$1048576,$B253,MATCH("Impact/Effect of the RAID",'RAID Log'!$1:$1,0)),"")))</f>
        <v/>
      </c>
      <c r="E253" s="85" t="str">
        <f>IF($B253="","",IF(IFERROR(INDEX('RAID Log'!$1:$1048576,$B253,MATCH("Impact Area",'RAID Log'!$1:$1,0)),"")="","",IFERROR(INDEX('RAID Log'!$1:$1048576,$B253,MATCH("Impact Area",'RAID Log'!$1:$1,0)),"")))</f>
        <v/>
      </c>
      <c r="F253" s="85" t="str">
        <f>IF($B253="","",IF(IFERROR(INDEX('RAID Log'!$1:$1048576,$B253,MATCH("Impact Area",'RAID Log'!$1:$1,0)),"")="","",IFERROR(INDEX('RAID Log'!$1:$1048576,$B253,MATCH("Impact Area",'RAID Log'!$1:$1,0)),"")))</f>
        <v/>
      </c>
      <c r="G253" s="85" t="str">
        <f>IF($B253="","",IF(IFERROR(INDEX('RAID Log'!$1:$1048576,$B253,MATCH("Impact Rating",'RAID Log'!$1:$1,0)),"")="","",IFERROR(INDEX('RAID Log'!$1:$1048576,$B253,MATCH("Impact Rating",'RAID Log'!$1:$1,0)),"")))</f>
        <v/>
      </c>
      <c r="H253" s="85" t="str">
        <f>IF($B253="","",IF(IFERROR(INDEX('RAID Log'!$1:$1048576,$B253,MATCH("Initial Probability",'RAID Log'!$1:$1,0)),"")="","",IFERROR(INDEX('RAID Log'!$1:$1048576,$B253,MATCH("Initial Probability",'RAID Log'!$1:$1,0)),"")))</f>
        <v/>
      </c>
      <c r="I253" s="86" t="str">
        <f t="shared" si="9"/>
        <v/>
      </c>
      <c r="J253" s="85" t="str">
        <f t="shared" si="10"/>
        <v/>
      </c>
      <c r="K253" s="86" t="str">
        <f t="shared" si="11"/>
        <v/>
      </c>
      <c r="L253" s="85" t="str">
        <f>IF($B253="","",IF(IFERROR(INDEX('RAID Log'!$1:$1048576,$B253,MATCH("Status",'RAID Log'!$1:$1,0)),"")="","",IFERROR(INDEX('RAID Log'!$1:$1048576,$B253,MATCH("Status",'RAID Log'!$1:$1,0)),"")))</f>
        <v/>
      </c>
      <c r="M253" s="85" t="str">
        <f>IF($B253="","",IF(IFERROR(INDEX('RAID Log'!$1:$1048576,$B253,MATCH("RAID Owner",'RAID Log'!$1:$1,0)),"")="","",IFERROR(INDEX('RAID Log'!$1:$1048576,$B253,MATCH("RAID Owner",'RAID Log'!$1:$1,0)),"")))</f>
        <v/>
      </c>
      <c r="N253" s="87" t="str">
        <f>IF($B253="","",IF(IFERROR(INDEX('RAID Log'!$1:$1048576,$B253,MATCH("Date Raised",'RAID Log'!$1:$1,0)),"")="","",IFERROR(INDEX('RAID Log'!$1:$1048576,$B253,MATCH("Date Raised",'RAID Log'!$1:$1,0)),"")))</f>
        <v/>
      </c>
      <c r="O253" s="87" t="str">
        <f>IF($B253="","",IF(IFERROR(INDEX('RAID Log'!$1:$1048576,$B253,MATCH("Closed Date",'RAID Log'!$1:$1,0)),"")="","",IFERROR(INDEX('RAID Log'!$1:$1048576,$B253,MATCH("Closed Date",'RAID Log'!$1:$1,0)),"")))</f>
        <v/>
      </c>
      <c r="P253" s="85" t="str">
        <f>IF($B253="","",IF(IFERROR(INDEX('RAID Log'!$1:$1048576,$B253,MATCH("Mitigation Strategy",'RAID Log'!$1:$1,0)),"")="","",IFERROR(INDEX('RAID Log'!$1:$1048576,$B253,MATCH("Mitigation Strategy",'RAID Log'!$1:$1,0)),"")))</f>
        <v/>
      </c>
      <c r="Q253" s="88" t="str">
        <f>IF($B253="","",IF(IFERROR(INDEX('RAID Log'!$1:$1048576,$B253,MATCH("RAID Response/Plan",'RAID Log'!$1:$1,0)),"")="","",IFERROR(INDEX('RAID Log'!$1:$1048576,$B253,MATCH("RAID Response/Plan",'RAID Log'!$1:$1,0)),"")))</f>
        <v/>
      </c>
    </row>
    <row r="254" spans="1:17" ht="14.25" customHeight="1">
      <c r="A254" s="82" t="str">
        <f>IF($B254="","",IF(IFERROR(INDEX('RAID Log'!$1:$1048576,$B254,MATCH("RAID ID",'RAID Log'!$1:$1,0)),"")="","",IFERROR(INDEX('RAID Log'!$1:$1048576,$B254,MATCH("RAID ID",'RAID Log'!$1:$1,0)),"")))</f>
        <v/>
      </c>
      <c r="B254" s="83" t="str">
        <f>IFERROR(MATCH(ROW()-1,'RAID Log'!$S:$S,0),"")</f>
        <v/>
      </c>
      <c r="C254" s="84" t="str">
        <f>IF($B254="","",IF(IFERROR(INDEX('RAID Log'!$1:$1048576,$B254,MATCH("Description",'RAID Log'!$1:$1,0)),"")="","",IFERROR(INDEX('RAID Log'!$1:$1048576,$B254,MATCH("Description",'RAID Log'!$1:$1,0)),"")))</f>
        <v/>
      </c>
      <c r="D254" s="84" t="str">
        <f>IF($B254="","",IF(IFERROR(INDEX('RAID Log'!$1:$1048576,$B254,MATCH("Impact/Effect of the RAID",'RAID Log'!$1:$1,0)),"")="","",IFERROR(INDEX('RAID Log'!$1:$1048576,$B254,MATCH("Impact/Effect of the RAID",'RAID Log'!$1:$1,0)),"")))</f>
        <v/>
      </c>
      <c r="E254" s="85" t="str">
        <f>IF($B254="","",IF(IFERROR(INDEX('RAID Log'!$1:$1048576,$B254,MATCH("Impact Area",'RAID Log'!$1:$1,0)),"")="","",IFERROR(INDEX('RAID Log'!$1:$1048576,$B254,MATCH("Impact Area",'RAID Log'!$1:$1,0)),"")))</f>
        <v/>
      </c>
      <c r="F254" s="85" t="str">
        <f>IF($B254="","",IF(IFERROR(INDEX('RAID Log'!$1:$1048576,$B254,MATCH("Impact Area",'RAID Log'!$1:$1,0)),"")="","",IFERROR(INDEX('RAID Log'!$1:$1048576,$B254,MATCH("Impact Area",'RAID Log'!$1:$1,0)),"")))</f>
        <v/>
      </c>
      <c r="G254" s="85" t="str">
        <f>IF($B254="","",IF(IFERROR(INDEX('RAID Log'!$1:$1048576,$B254,MATCH("Impact Rating",'RAID Log'!$1:$1,0)),"")="","",IFERROR(INDEX('RAID Log'!$1:$1048576,$B254,MATCH("Impact Rating",'RAID Log'!$1:$1,0)),"")))</f>
        <v/>
      </c>
      <c r="H254" s="85" t="str">
        <f>IF($B254="","",IF(IFERROR(INDEX('RAID Log'!$1:$1048576,$B254,MATCH("Initial Probability",'RAID Log'!$1:$1,0)),"")="","",IFERROR(INDEX('RAID Log'!$1:$1048576,$B254,MATCH("Initial Probability",'RAID Log'!$1:$1,0)),"")))</f>
        <v/>
      </c>
      <c r="I254" s="86" t="str">
        <f t="shared" si="9"/>
        <v/>
      </c>
      <c r="J254" s="85" t="str">
        <f t="shared" si="10"/>
        <v/>
      </c>
      <c r="K254" s="86" t="str">
        <f t="shared" si="11"/>
        <v/>
      </c>
      <c r="L254" s="85" t="str">
        <f>IF($B254="","",IF(IFERROR(INDEX('RAID Log'!$1:$1048576,$B254,MATCH("Status",'RAID Log'!$1:$1,0)),"")="","",IFERROR(INDEX('RAID Log'!$1:$1048576,$B254,MATCH("Status",'RAID Log'!$1:$1,0)),"")))</f>
        <v/>
      </c>
      <c r="M254" s="85" t="str">
        <f>IF($B254="","",IF(IFERROR(INDEX('RAID Log'!$1:$1048576,$B254,MATCH("RAID Owner",'RAID Log'!$1:$1,0)),"")="","",IFERROR(INDEX('RAID Log'!$1:$1048576,$B254,MATCH("RAID Owner",'RAID Log'!$1:$1,0)),"")))</f>
        <v/>
      </c>
      <c r="N254" s="87" t="str">
        <f>IF($B254="","",IF(IFERROR(INDEX('RAID Log'!$1:$1048576,$B254,MATCH("Date Raised",'RAID Log'!$1:$1,0)),"")="","",IFERROR(INDEX('RAID Log'!$1:$1048576,$B254,MATCH("Date Raised",'RAID Log'!$1:$1,0)),"")))</f>
        <v/>
      </c>
      <c r="O254" s="87" t="str">
        <f>IF($B254="","",IF(IFERROR(INDEX('RAID Log'!$1:$1048576,$B254,MATCH("Closed Date",'RAID Log'!$1:$1,0)),"")="","",IFERROR(INDEX('RAID Log'!$1:$1048576,$B254,MATCH("Closed Date",'RAID Log'!$1:$1,0)),"")))</f>
        <v/>
      </c>
      <c r="P254" s="85" t="str">
        <f>IF($B254="","",IF(IFERROR(INDEX('RAID Log'!$1:$1048576,$B254,MATCH("Mitigation Strategy",'RAID Log'!$1:$1,0)),"")="","",IFERROR(INDEX('RAID Log'!$1:$1048576,$B254,MATCH("Mitigation Strategy",'RAID Log'!$1:$1,0)),"")))</f>
        <v/>
      </c>
      <c r="Q254" s="88" t="str">
        <f>IF($B254="","",IF(IFERROR(INDEX('RAID Log'!$1:$1048576,$B254,MATCH("RAID Response/Plan",'RAID Log'!$1:$1,0)),"")="","",IFERROR(INDEX('RAID Log'!$1:$1048576,$B254,MATCH("RAID Response/Plan",'RAID Log'!$1:$1,0)),"")))</f>
        <v/>
      </c>
    </row>
    <row r="255" spans="1:17" ht="14.25" customHeight="1">
      <c r="A255" s="82" t="str">
        <f>IF($B255="","",IF(IFERROR(INDEX('RAID Log'!$1:$1048576,$B255,MATCH("RAID ID",'RAID Log'!$1:$1,0)),"")="","",IFERROR(INDEX('RAID Log'!$1:$1048576,$B255,MATCH("RAID ID",'RAID Log'!$1:$1,0)),"")))</f>
        <v/>
      </c>
      <c r="B255" s="83" t="str">
        <f>IFERROR(MATCH(ROW()-1,'RAID Log'!$S:$S,0),"")</f>
        <v/>
      </c>
      <c r="C255" s="84" t="str">
        <f>IF($B255="","",IF(IFERROR(INDEX('RAID Log'!$1:$1048576,$B255,MATCH("Description",'RAID Log'!$1:$1,0)),"")="","",IFERROR(INDEX('RAID Log'!$1:$1048576,$B255,MATCH("Description",'RAID Log'!$1:$1,0)),"")))</f>
        <v/>
      </c>
      <c r="D255" s="84" t="str">
        <f>IF($B255="","",IF(IFERROR(INDEX('RAID Log'!$1:$1048576,$B255,MATCH("Impact/Effect of the RAID",'RAID Log'!$1:$1,0)),"")="","",IFERROR(INDEX('RAID Log'!$1:$1048576,$B255,MATCH("Impact/Effect of the RAID",'RAID Log'!$1:$1,0)),"")))</f>
        <v/>
      </c>
      <c r="E255" s="85" t="str">
        <f>IF($B255="","",IF(IFERROR(INDEX('RAID Log'!$1:$1048576,$B255,MATCH("Impact Area",'RAID Log'!$1:$1,0)),"")="","",IFERROR(INDEX('RAID Log'!$1:$1048576,$B255,MATCH("Impact Area",'RAID Log'!$1:$1,0)),"")))</f>
        <v/>
      </c>
      <c r="F255" s="85" t="str">
        <f>IF($B255="","",IF(IFERROR(INDEX('RAID Log'!$1:$1048576,$B255,MATCH("Impact Area",'RAID Log'!$1:$1,0)),"")="","",IFERROR(INDEX('RAID Log'!$1:$1048576,$B255,MATCH("Impact Area",'RAID Log'!$1:$1,0)),"")))</f>
        <v/>
      </c>
      <c r="G255" s="85" t="str">
        <f>IF($B255="","",IF(IFERROR(INDEX('RAID Log'!$1:$1048576,$B255,MATCH("Impact Rating",'RAID Log'!$1:$1,0)),"")="","",IFERROR(INDEX('RAID Log'!$1:$1048576,$B255,MATCH("Impact Rating",'RAID Log'!$1:$1,0)),"")))</f>
        <v/>
      </c>
      <c r="H255" s="85" t="str">
        <f>IF($B255="","",IF(IFERROR(INDEX('RAID Log'!$1:$1048576,$B255,MATCH("Initial Probability",'RAID Log'!$1:$1,0)),"")="","",IFERROR(INDEX('RAID Log'!$1:$1048576,$B255,MATCH("Initial Probability",'RAID Log'!$1:$1,0)),"")))</f>
        <v/>
      </c>
      <c r="I255" s="86" t="str">
        <f t="shared" si="9"/>
        <v/>
      </c>
      <c r="J255" s="85" t="str">
        <f t="shared" si="10"/>
        <v/>
      </c>
      <c r="K255" s="86" t="str">
        <f t="shared" si="11"/>
        <v/>
      </c>
      <c r="L255" s="85" t="str">
        <f>IF($B255="","",IF(IFERROR(INDEX('RAID Log'!$1:$1048576,$B255,MATCH("Status",'RAID Log'!$1:$1,0)),"")="","",IFERROR(INDEX('RAID Log'!$1:$1048576,$B255,MATCH("Status",'RAID Log'!$1:$1,0)),"")))</f>
        <v/>
      </c>
      <c r="M255" s="85" t="str">
        <f>IF($B255="","",IF(IFERROR(INDEX('RAID Log'!$1:$1048576,$B255,MATCH("RAID Owner",'RAID Log'!$1:$1,0)),"")="","",IFERROR(INDEX('RAID Log'!$1:$1048576,$B255,MATCH("RAID Owner",'RAID Log'!$1:$1,0)),"")))</f>
        <v/>
      </c>
      <c r="N255" s="87" t="str">
        <f>IF($B255="","",IF(IFERROR(INDEX('RAID Log'!$1:$1048576,$B255,MATCH("Date Raised",'RAID Log'!$1:$1,0)),"")="","",IFERROR(INDEX('RAID Log'!$1:$1048576,$B255,MATCH("Date Raised",'RAID Log'!$1:$1,0)),"")))</f>
        <v/>
      </c>
      <c r="O255" s="87" t="str">
        <f>IF($B255="","",IF(IFERROR(INDEX('RAID Log'!$1:$1048576,$B255,MATCH("Closed Date",'RAID Log'!$1:$1,0)),"")="","",IFERROR(INDEX('RAID Log'!$1:$1048576,$B255,MATCH("Closed Date",'RAID Log'!$1:$1,0)),"")))</f>
        <v/>
      </c>
      <c r="P255" s="85" t="str">
        <f>IF($B255="","",IF(IFERROR(INDEX('RAID Log'!$1:$1048576,$B255,MATCH("Mitigation Strategy",'RAID Log'!$1:$1,0)),"")="","",IFERROR(INDEX('RAID Log'!$1:$1048576,$B255,MATCH("Mitigation Strategy",'RAID Log'!$1:$1,0)),"")))</f>
        <v/>
      </c>
      <c r="Q255" s="88" t="str">
        <f>IF($B255="","",IF(IFERROR(INDEX('RAID Log'!$1:$1048576,$B255,MATCH("RAID Response/Plan",'RAID Log'!$1:$1,0)),"")="","",IFERROR(INDEX('RAID Log'!$1:$1048576,$B255,MATCH("RAID Response/Plan",'RAID Log'!$1:$1,0)),"")))</f>
        <v/>
      </c>
    </row>
    <row r="256" spans="1:17" ht="14.25" customHeight="1">
      <c r="A256" s="82" t="str">
        <f>IF($B256="","",IF(IFERROR(INDEX('RAID Log'!$1:$1048576,$B256,MATCH("RAID ID",'RAID Log'!$1:$1,0)),"")="","",IFERROR(INDEX('RAID Log'!$1:$1048576,$B256,MATCH("RAID ID",'RAID Log'!$1:$1,0)),"")))</f>
        <v/>
      </c>
      <c r="B256" s="83" t="str">
        <f>IFERROR(MATCH(ROW()-1,'RAID Log'!$S:$S,0),"")</f>
        <v/>
      </c>
      <c r="C256" s="84" t="str">
        <f>IF($B256="","",IF(IFERROR(INDEX('RAID Log'!$1:$1048576,$B256,MATCH("Description",'RAID Log'!$1:$1,0)),"")="","",IFERROR(INDEX('RAID Log'!$1:$1048576,$B256,MATCH("Description",'RAID Log'!$1:$1,0)),"")))</f>
        <v/>
      </c>
      <c r="D256" s="84" t="str">
        <f>IF($B256="","",IF(IFERROR(INDEX('RAID Log'!$1:$1048576,$B256,MATCH("Impact/Effect of the RAID",'RAID Log'!$1:$1,0)),"")="","",IFERROR(INDEX('RAID Log'!$1:$1048576,$B256,MATCH("Impact/Effect of the RAID",'RAID Log'!$1:$1,0)),"")))</f>
        <v/>
      </c>
      <c r="E256" s="85" t="str">
        <f>IF($B256="","",IF(IFERROR(INDEX('RAID Log'!$1:$1048576,$B256,MATCH("Impact Area",'RAID Log'!$1:$1,0)),"")="","",IFERROR(INDEX('RAID Log'!$1:$1048576,$B256,MATCH("Impact Area",'RAID Log'!$1:$1,0)),"")))</f>
        <v/>
      </c>
      <c r="F256" s="85" t="str">
        <f>IF($B256="","",IF(IFERROR(INDEX('RAID Log'!$1:$1048576,$B256,MATCH("Impact Area",'RAID Log'!$1:$1,0)),"")="","",IFERROR(INDEX('RAID Log'!$1:$1048576,$B256,MATCH("Impact Area",'RAID Log'!$1:$1,0)),"")))</f>
        <v/>
      </c>
      <c r="G256" s="85" t="str">
        <f>IF($B256="","",IF(IFERROR(INDEX('RAID Log'!$1:$1048576,$B256,MATCH("Impact Rating",'RAID Log'!$1:$1,0)),"")="","",IFERROR(INDEX('RAID Log'!$1:$1048576,$B256,MATCH("Impact Rating",'RAID Log'!$1:$1,0)),"")))</f>
        <v/>
      </c>
      <c r="H256" s="85" t="str">
        <f>IF($B256="","",IF(IFERROR(INDEX('RAID Log'!$1:$1048576,$B256,MATCH("Initial Probability",'RAID Log'!$1:$1,0)),"")="","",IFERROR(INDEX('RAID Log'!$1:$1048576,$B256,MATCH("Initial Probability",'RAID Log'!$1:$1,0)),"")))</f>
        <v/>
      </c>
      <c r="I256" s="86" t="str">
        <f t="shared" si="9"/>
        <v/>
      </c>
      <c r="J256" s="85" t="str">
        <f t="shared" si="10"/>
        <v/>
      </c>
      <c r="K256" s="86" t="str">
        <f t="shared" si="11"/>
        <v/>
      </c>
      <c r="L256" s="85" t="str">
        <f>IF($B256="","",IF(IFERROR(INDEX('RAID Log'!$1:$1048576,$B256,MATCH("Status",'RAID Log'!$1:$1,0)),"")="","",IFERROR(INDEX('RAID Log'!$1:$1048576,$B256,MATCH("Status",'RAID Log'!$1:$1,0)),"")))</f>
        <v/>
      </c>
      <c r="M256" s="85" t="str">
        <f>IF($B256="","",IF(IFERROR(INDEX('RAID Log'!$1:$1048576,$B256,MATCH("RAID Owner",'RAID Log'!$1:$1,0)),"")="","",IFERROR(INDEX('RAID Log'!$1:$1048576,$B256,MATCH("RAID Owner",'RAID Log'!$1:$1,0)),"")))</f>
        <v/>
      </c>
      <c r="N256" s="87" t="str">
        <f>IF($B256="","",IF(IFERROR(INDEX('RAID Log'!$1:$1048576,$B256,MATCH("Date Raised",'RAID Log'!$1:$1,0)),"")="","",IFERROR(INDEX('RAID Log'!$1:$1048576,$B256,MATCH("Date Raised",'RAID Log'!$1:$1,0)),"")))</f>
        <v/>
      </c>
      <c r="O256" s="87" t="str">
        <f>IF($B256="","",IF(IFERROR(INDEX('RAID Log'!$1:$1048576,$B256,MATCH("Closed Date",'RAID Log'!$1:$1,0)),"")="","",IFERROR(INDEX('RAID Log'!$1:$1048576,$B256,MATCH("Closed Date",'RAID Log'!$1:$1,0)),"")))</f>
        <v/>
      </c>
      <c r="P256" s="85" t="str">
        <f>IF($B256="","",IF(IFERROR(INDEX('RAID Log'!$1:$1048576,$B256,MATCH("Mitigation Strategy",'RAID Log'!$1:$1,0)),"")="","",IFERROR(INDEX('RAID Log'!$1:$1048576,$B256,MATCH("Mitigation Strategy",'RAID Log'!$1:$1,0)),"")))</f>
        <v/>
      </c>
      <c r="Q256" s="88" t="str">
        <f>IF($B256="","",IF(IFERROR(INDEX('RAID Log'!$1:$1048576,$B256,MATCH("RAID Response/Plan",'RAID Log'!$1:$1,0)),"")="","",IFERROR(INDEX('RAID Log'!$1:$1048576,$B256,MATCH("RAID Response/Plan",'RAID Log'!$1:$1,0)),"")))</f>
        <v/>
      </c>
    </row>
    <row r="257" spans="1:17" ht="14.25" customHeight="1">
      <c r="A257" s="82" t="str">
        <f>IF($B257="","",IF(IFERROR(INDEX('RAID Log'!$1:$1048576,$B257,MATCH("RAID ID",'RAID Log'!$1:$1,0)),"")="","",IFERROR(INDEX('RAID Log'!$1:$1048576,$B257,MATCH("RAID ID",'RAID Log'!$1:$1,0)),"")))</f>
        <v/>
      </c>
      <c r="B257" s="83" t="str">
        <f>IFERROR(MATCH(ROW()-1,'RAID Log'!$S:$S,0),"")</f>
        <v/>
      </c>
      <c r="C257" s="84" t="str">
        <f>IF($B257="","",IF(IFERROR(INDEX('RAID Log'!$1:$1048576,$B257,MATCH("Description",'RAID Log'!$1:$1,0)),"")="","",IFERROR(INDEX('RAID Log'!$1:$1048576,$B257,MATCH("Description",'RAID Log'!$1:$1,0)),"")))</f>
        <v/>
      </c>
      <c r="D257" s="84" t="str">
        <f>IF($B257="","",IF(IFERROR(INDEX('RAID Log'!$1:$1048576,$B257,MATCH("Impact/Effect of the RAID",'RAID Log'!$1:$1,0)),"")="","",IFERROR(INDEX('RAID Log'!$1:$1048576,$B257,MATCH("Impact/Effect of the RAID",'RAID Log'!$1:$1,0)),"")))</f>
        <v/>
      </c>
      <c r="E257" s="85" t="str">
        <f>IF($B257="","",IF(IFERROR(INDEX('RAID Log'!$1:$1048576,$B257,MATCH("Impact Area",'RAID Log'!$1:$1,0)),"")="","",IFERROR(INDEX('RAID Log'!$1:$1048576,$B257,MATCH("Impact Area",'RAID Log'!$1:$1,0)),"")))</f>
        <v/>
      </c>
      <c r="F257" s="85" t="str">
        <f>IF($B257="","",IF(IFERROR(INDEX('RAID Log'!$1:$1048576,$B257,MATCH("Impact Area",'RAID Log'!$1:$1,0)),"")="","",IFERROR(INDEX('RAID Log'!$1:$1048576,$B257,MATCH("Impact Area",'RAID Log'!$1:$1,0)),"")))</f>
        <v/>
      </c>
      <c r="G257" s="85" t="str">
        <f>IF($B257="","",IF(IFERROR(INDEX('RAID Log'!$1:$1048576,$B257,MATCH("Impact Rating",'RAID Log'!$1:$1,0)),"")="","",IFERROR(INDEX('RAID Log'!$1:$1048576,$B257,MATCH("Impact Rating",'RAID Log'!$1:$1,0)),"")))</f>
        <v/>
      </c>
      <c r="H257" s="85" t="str">
        <f>IF($B257="","",IF(IFERROR(INDEX('RAID Log'!$1:$1048576,$B257,MATCH("Initial Probability",'RAID Log'!$1:$1,0)),"")="","",IFERROR(INDEX('RAID Log'!$1:$1048576,$B257,MATCH("Initial Probability",'RAID Log'!$1:$1,0)),"")))</f>
        <v/>
      </c>
      <c r="I257" s="86" t="str">
        <f t="shared" si="9"/>
        <v/>
      </c>
      <c r="J257" s="85" t="str">
        <f t="shared" si="10"/>
        <v/>
      </c>
      <c r="K257" s="86" t="str">
        <f t="shared" si="11"/>
        <v/>
      </c>
      <c r="L257" s="85" t="str">
        <f>IF($B257="","",IF(IFERROR(INDEX('RAID Log'!$1:$1048576,$B257,MATCH("Status",'RAID Log'!$1:$1,0)),"")="","",IFERROR(INDEX('RAID Log'!$1:$1048576,$B257,MATCH("Status",'RAID Log'!$1:$1,0)),"")))</f>
        <v/>
      </c>
      <c r="M257" s="85" t="str">
        <f>IF($B257="","",IF(IFERROR(INDEX('RAID Log'!$1:$1048576,$B257,MATCH("RAID Owner",'RAID Log'!$1:$1,0)),"")="","",IFERROR(INDEX('RAID Log'!$1:$1048576,$B257,MATCH("RAID Owner",'RAID Log'!$1:$1,0)),"")))</f>
        <v/>
      </c>
      <c r="N257" s="87" t="str">
        <f>IF($B257="","",IF(IFERROR(INDEX('RAID Log'!$1:$1048576,$B257,MATCH("Date Raised",'RAID Log'!$1:$1,0)),"")="","",IFERROR(INDEX('RAID Log'!$1:$1048576,$B257,MATCH("Date Raised",'RAID Log'!$1:$1,0)),"")))</f>
        <v/>
      </c>
      <c r="O257" s="87" t="str">
        <f>IF($B257="","",IF(IFERROR(INDEX('RAID Log'!$1:$1048576,$B257,MATCH("Closed Date",'RAID Log'!$1:$1,0)),"")="","",IFERROR(INDEX('RAID Log'!$1:$1048576,$B257,MATCH("Closed Date",'RAID Log'!$1:$1,0)),"")))</f>
        <v/>
      </c>
      <c r="P257" s="85" t="str">
        <f>IF($B257="","",IF(IFERROR(INDEX('RAID Log'!$1:$1048576,$B257,MATCH("Mitigation Strategy",'RAID Log'!$1:$1,0)),"")="","",IFERROR(INDEX('RAID Log'!$1:$1048576,$B257,MATCH("Mitigation Strategy",'RAID Log'!$1:$1,0)),"")))</f>
        <v/>
      </c>
      <c r="Q257" s="88" t="str">
        <f>IF($B257="","",IF(IFERROR(INDEX('RAID Log'!$1:$1048576,$B257,MATCH("RAID Response/Plan",'RAID Log'!$1:$1,0)),"")="","",IFERROR(INDEX('RAID Log'!$1:$1048576,$B257,MATCH("RAID Response/Plan",'RAID Log'!$1:$1,0)),"")))</f>
        <v/>
      </c>
    </row>
    <row r="258" spans="1:17" ht="14.25" customHeight="1">
      <c r="A258" s="82" t="str">
        <f>IF($B258="","",IF(IFERROR(INDEX('RAID Log'!$1:$1048576,$B258,MATCH("RAID ID",'RAID Log'!$1:$1,0)),"")="","",IFERROR(INDEX('RAID Log'!$1:$1048576,$B258,MATCH("RAID ID",'RAID Log'!$1:$1,0)),"")))</f>
        <v/>
      </c>
      <c r="B258" s="83" t="str">
        <f>IFERROR(MATCH(ROW()-1,'RAID Log'!$S:$S,0),"")</f>
        <v/>
      </c>
      <c r="C258" s="84" t="str">
        <f>IF($B258="","",IF(IFERROR(INDEX('RAID Log'!$1:$1048576,$B258,MATCH("Description",'RAID Log'!$1:$1,0)),"")="","",IFERROR(INDEX('RAID Log'!$1:$1048576,$B258,MATCH("Description",'RAID Log'!$1:$1,0)),"")))</f>
        <v/>
      </c>
      <c r="D258" s="84" t="str">
        <f>IF($B258="","",IF(IFERROR(INDEX('RAID Log'!$1:$1048576,$B258,MATCH("Impact/Effect of the RAID",'RAID Log'!$1:$1,0)),"")="","",IFERROR(INDEX('RAID Log'!$1:$1048576,$B258,MATCH("Impact/Effect of the RAID",'RAID Log'!$1:$1,0)),"")))</f>
        <v/>
      </c>
      <c r="E258" s="85" t="str">
        <f>IF($B258="","",IF(IFERROR(INDEX('RAID Log'!$1:$1048576,$B258,MATCH("Impact Area",'RAID Log'!$1:$1,0)),"")="","",IFERROR(INDEX('RAID Log'!$1:$1048576,$B258,MATCH("Impact Area",'RAID Log'!$1:$1,0)),"")))</f>
        <v/>
      </c>
      <c r="F258" s="85" t="str">
        <f>IF($B258="","",IF(IFERROR(INDEX('RAID Log'!$1:$1048576,$B258,MATCH("Impact Area",'RAID Log'!$1:$1,0)),"")="","",IFERROR(INDEX('RAID Log'!$1:$1048576,$B258,MATCH("Impact Area",'RAID Log'!$1:$1,0)),"")))</f>
        <v/>
      </c>
      <c r="G258" s="85" t="str">
        <f>IF($B258="","",IF(IFERROR(INDEX('RAID Log'!$1:$1048576,$B258,MATCH("Impact Rating",'RAID Log'!$1:$1,0)),"")="","",IFERROR(INDEX('RAID Log'!$1:$1048576,$B258,MATCH("Impact Rating",'RAID Log'!$1:$1,0)),"")))</f>
        <v/>
      </c>
      <c r="H258" s="85" t="str">
        <f>IF($B258="","",IF(IFERROR(INDEX('RAID Log'!$1:$1048576,$B258,MATCH("Initial Probability",'RAID Log'!$1:$1,0)),"")="","",IFERROR(INDEX('RAID Log'!$1:$1048576,$B258,MATCH("Initial Probability",'RAID Log'!$1:$1,0)),"")))</f>
        <v/>
      </c>
      <c r="I258" s="86" t="str">
        <f t="shared" ref="I258:I321" si="12">IF($B258="","",(IF($G258="Severe",25,IF($G258="Major",20,IF($G258="Moderate",15,IF($G258="Minor",10,IF($G258="Insignificant",5,0))))))*IF($H258="Very High",1,IF($H258="High",0.8,IF($H258="Average",0.6,IF($H258="Low",0.4,IF($H258="Very Low",0.2,0))))))</f>
        <v/>
      </c>
      <c r="J258" s="85" t="str">
        <f t="shared" ref="J258:J321" si="13">IF($B258="","",IF($I258&gt;20,"Critical",IF($I258&gt;15,"High",IF($I258&gt;8,"Moderate",IF($I258&gt;3,"Tolerable","Negligible")))))</f>
        <v/>
      </c>
      <c r="K258" s="86" t="str">
        <f t="shared" ref="K258:K321" si="14">IF(OR($B258="",UPPER($L258)="CLOSED"),"",COUNTIFS($L$2:$L$880,"&lt;&gt;Closed",$I$2:$I$880,"&gt;"&amp;$I258)+COUNTIFS($L$2:$L$880,"&lt;&gt;Closed",$I$2:$I$880,$I258,$N$2:$N$880,"&lt;"&amp;$N258)+COUNTIFS($L$2:$L$880,"&lt;&gt;Closed",$I$2:$I$880,$I258,$N$2:$N$880,$N258,$B$2:$B$880,"&lt;"&amp;$B258)+1)</f>
        <v/>
      </c>
      <c r="L258" s="85" t="str">
        <f>IF($B258="","",IF(IFERROR(INDEX('RAID Log'!$1:$1048576,$B258,MATCH("Status",'RAID Log'!$1:$1,0)),"")="","",IFERROR(INDEX('RAID Log'!$1:$1048576,$B258,MATCH("Status",'RAID Log'!$1:$1,0)),"")))</f>
        <v/>
      </c>
      <c r="M258" s="85" t="str">
        <f>IF($B258="","",IF(IFERROR(INDEX('RAID Log'!$1:$1048576,$B258,MATCH("RAID Owner",'RAID Log'!$1:$1,0)),"")="","",IFERROR(INDEX('RAID Log'!$1:$1048576,$B258,MATCH("RAID Owner",'RAID Log'!$1:$1,0)),"")))</f>
        <v/>
      </c>
      <c r="N258" s="87" t="str">
        <f>IF($B258="","",IF(IFERROR(INDEX('RAID Log'!$1:$1048576,$B258,MATCH("Date Raised",'RAID Log'!$1:$1,0)),"")="","",IFERROR(INDEX('RAID Log'!$1:$1048576,$B258,MATCH("Date Raised",'RAID Log'!$1:$1,0)),"")))</f>
        <v/>
      </c>
      <c r="O258" s="87" t="str">
        <f>IF($B258="","",IF(IFERROR(INDEX('RAID Log'!$1:$1048576,$B258,MATCH("Closed Date",'RAID Log'!$1:$1,0)),"")="","",IFERROR(INDEX('RAID Log'!$1:$1048576,$B258,MATCH("Closed Date",'RAID Log'!$1:$1,0)),"")))</f>
        <v/>
      </c>
      <c r="P258" s="85" t="str">
        <f>IF($B258="","",IF(IFERROR(INDEX('RAID Log'!$1:$1048576,$B258,MATCH("Mitigation Strategy",'RAID Log'!$1:$1,0)),"")="","",IFERROR(INDEX('RAID Log'!$1:$1048576,$B258,MATCH("Mitigation Strategy",'RAID Log'!$1:$1,0)),"")))</f>
        <v/>
      </c>
      <c r="Q258" s="88" t="str">
        <f>IF($B258="","",IF(IFERROR(INDEX('RAID Log'!$1:$1048576,$B258,MATCH("RAID Response/Plan",'RAID Log'!$1:$1,0)),"")="","",IFERROR(INDEX('RAID Log'!$1:$1048576,$B258,MATCH("RAID Response/Plan",'RAID Log'!$1:$1,0)),"")))</f>
        <v/>
      </c>
    </row>
    <row r="259" spans="1:17" ht="14.25" customHeight="1">
      <c r="A259" s="82" t="str">
        <f>IF($B259="","",IF(IFERROR(INDEX('RAID Log'!$1:$1048576,$B259,MATCH("RAID ID",'RAID Log'!$1:$1,0)),"")="","",IFERROR(INDEX('RAID Log'!$1:$1048576,$B259,MATCH("RAID ID",'RAID Log'!$1:$1,0)),"")))</f>
        <v/>
      </c>
      <c r="B259" s="83" t="str">
        <f>IFERROR(MATCH(ROW()-1,'RAID Log'!$S:$S,0),"")</f>
        <v/>
      </c>
      <c r="C259" s="84" t="str">
        <f>IF($B259="","",IF(IFERROR(INDEX('RAID Log'!$1:$1048576,$B259,MATCH("Description",'RAID Log'!$1:$1,0)),"")="","",IFERROR(INDEX('RAID Log'!$1:$1048576,$B259,MATCH("Description",'RAID Log'!$1:$1,0)),"")))</f>
        <v/>
      </c>
      <c r="D259" s="84" t="str">
        <f>IF($B259="","",IF(IFERROR(INDEX('RAID Log'!$1:$1048576,$B259,MATCH("Impact/Effect of the RAID",'RAID Log'!$1:$1,0)),"")="","",IFERROR(INDEX('RAID Log'!$1:$1048576,$B259,MATCH("Impact/Effect of the RAID",'RAID Log'!$1:$1,0)),"")))</f>
        <v/>
      </c>
      <c r="E259" s="85" t="str">
        <f>IF($B259="","",IF(IFERROR(INDEX('RAID Log'!$1:$1048576,$B259,MATCH("Impact Area",'RAID Log'!$1:$1,0)),"")="","",IFERROR(INDEX('RAID Log'!$1:$1048576,$B259,MATCH("Impact Area",'RAID Log'!$1:$1,0)),"")))</f>
        <v/>
      </c>
      <c r="F259" s="85" t="str">
        <f>IF($B259="","",IF(IFERROR(INDEX('RAID Log'!$1:$1048576,$B259,MATCH("Impact Area",'RAID Log'!$1:$1,0)),"")="","",IFERROR(INDEX('RAID Log'!$1:$1048576,$B259,MATCH("Impact Area",'RAID Log'!$1:$1,0)),"")))</f>
        <v/>
      </c>
      <c r="G259" s="85" t="str">
        <f>IF($B259="","",IF(IFERROR(INDEX('RAID Log'!$1:$1048576,$B259,MATCH("Impact Rating",'RAID Log'!$1:$1,0)),"")="","",IFERROR(INDEX('RAID Log'!$1:$1048576,$B259,MATCH("Impact Rating",'RAID Log'!$1:$1,0)),"")))</f>
        <v/>
      </c>
      <c r="H259" s="85" t="str">
        <f>IF($B259="","",IF(IFERROR(INDEX('RAID Log'!$1:$1048576,$B259,MATCH("Initial Probability",'RAID Log'!$1:$1,0)),"")="","",IFERROR(INDEX('RAID Log'!$1:$1048576,$B259,MATCH("Initial Probability",'RAID Log'!$1:$1,0)),"")))</f>
        <v/>
      </c>
      <c r="I259" s="86" t="str">
        <f t="shared" si="12"/>
        <v/>
      </c>
      <c r="J259" s="85" t="str">
        <f t="shared" si="13"/>
        <v/>
      </c>
      <c r="K259" s="86" t="str">
        <f t="shared" si="14"/>
        <v/>
      </c>
      <c r="L259" s="85" t="str">
        <f>IF($B259="","",IF(IFERROR(INDEX('RAID Log'!$1:$1048576,$B259,MATCH("Status",'RAID Log'!$1:$1,0)),"")="","",IFERROR(INDEX('RAID Log'!$1:$1048576,$B259,MATCH("Status",'RAID Log'!$1:$1,0)),"")))</f>
        <v/>
      </c>
      <c r="M259" s="85" t="str">
        <f>IF($B259="","",IF(IFERROR(INDEX('RAID Log'!$1:$1048576,$B259,MATCH("RAID Owner",'RAID Log'!$1:$1,0)),"")="","",IFERROR(INDEX('RAID Log'!$1:$1048576,$B259,MATCH("RAID Owner",'RAID Log'!$1:$1,0)),"")))</f>
        <v/>
      </c>
      <c r="N259" s="87" t="str">
        <f>IF($B259="","",IF(IFERROR(INDEX('RAID Log'!$1:$1048576,$B259,MATCH("Date Raised",'RAID Log'!$1:$1,0)),"")="","",IFERROR(INDEX('RAID Log'!$1:$1048576,$B259,MATCH("Date Raised",'RAID Log'!$1:$1,0)),"")))</f>
        <v/>
      </c>
      <c r="O259" s="87" t="str">
        <f>IF($B259="","",IF(IFERROR(INDEX('RAID Log'!$1:$1048576,$B259,MATCH("Closed Date",'RAID Log'!$1:$1,0)),"")="","",IFERROR(INDEX('RAID Log'!$1:$1048576,$B259,MATCH("Closed Date",'RAID Log'!$1:$1,0)),"")))</f>
        <v/>
      </c>
      <c r="P259" s="85" t="str">
        <f>IF($B259="","",IF(IFERROR(INDEX('RAID Log'!$1:$1048576,$B259,MATCH("Mitigation Strategy",'RAID Log'!$1:$1,0)),"")="","",IFERROR(INDEX('RAID Log'!$1:$1048576,$B259,MATCH("Mitigation Strategy",'RAID Log'!$1:$1,0)),"")))</f>
        <v/>
      </c>
      <c r="Q259" s="88" t="str">
        <f>IF($B259="","",IF(IFERROR(INDEX('RAID Log'!$1:$1048576,$B259,MATCH("RAID Response/Plan",'RAID Log'!$1:$1,0)),"")="","",IFERROR(INDEX('RAID Log'!$1:$1048576,$B259,MATCH("RAID Response/Plan",'RAID Log'!$1:$1,0)),"")))</f>
        <v/>
      </c>
    </row>
    <row r="260" spans="1:17" ht="14.25" customHeight="1">
      <c r="A260" s="82" t="str">
        <f>IF($B260="","",IF(IFERROR(INDEX('RAID Log'!$1:$1048576,$B260,MATCH("RAID ID",'RAID Log'!$1:$1,0)),"")="","",IFERROR(INDEX('RAID Log'!$1:$1048576,$B260,MATCH("RAID ID",'RAID Log'!$1:$1,0)),"")))</f>
        <v/>
      </c>
      <c r="B260" s="83" t="str">
        <f>IFERROR(MATCH(ROW()-1,'RAID Log'!$S:$S,0),"")</f>
        <v/>
      </c>
      <c r="C260" s="84" t="str">
        <f>IF($B260="","",IF(IFERROR(INDEX('RAID Log'!$1:$1048576,$B260,MATCH("Description",'RAID Log'!$1:$1,0)),"")="","",IFERROR(INDEX('RAID Log'!$1:$1048576,$B260,MATCH("Description",'RAID Log'!$1:$1,0)),"")))</f>
        <v/>
      </c>
      <c r="D260" s="84" t="str">
        <f>IF($B260="","",IF(IFERROR(INDEX('RAID Log'!$1:$1048576,$B260,MATCH("Impact/Effect of the RAID",'RAID Log'!$1:$1,0)),"")="","",IFERROR(INDEX('RAID Log'!$1:$1048576,$B260,MATCH("Impact/Effect of the RAID",'RAID Log'!$1:$1,0)),"")))</f>
        <v/>
      </c>
      <c r="E260" s="85" t="str">
        <f>IF($B260="","",IF(IFERROR(INDEX('RAID Log'!$1:$1048576,$B260,MATCH("Impact Area",'RAID Log'!$1:$1,0)),"")="","",IFERROR(INDEX('RAID Log'!$1:$1048576,$B260,MATCH("Impact Area",'RAID Log'!$1:$1,0)),"")))</f>
        <v/>
      </c>
      <c r="F260" s="85" t="str">
        <f>IF($B260="","",IF(IFERROR(INDEX('RAID Log'!$1:$1048576,$B260,MATCH("Impact Area",'RAID Log'!$1:$1,0)),"")="","",IFERROR(INDEX('RAID Log'!$1:$1048576,$B260,MATCH("Impact Area",'RAID Log'!$1:$1,0)),"")))</f>
        <v/>
      </c>
      <c r="G260" s="85" t="str">
        <f>IF($B260="","",IF(IFERROR(INDEX('RAID Log'!$1:$1048576,$B260,MATCH("Impact Rating",'RAID Log'!$1:$1,0)),"")="","",IFERROR(INDEX('RAID Log'!$1:$1048576,$B260,MATCH("Impact Rating",'RAID Log'!$1:$1,0)),"")))</f>
        <v/>
      </c>
      <c r="H260" s="85" t="str">
        <f>IF($B260="","",IF(IFERROR(INDEX('RAID Log'!$1:$1048576,$B260,MATCH("Initial Probability",'RAID Log'!$1:$1,0)),"")="","",IFERROR(INDEX('RAID Log'!$1:$1048576,$B260,MATCH("Initial Probability",'RAID Log'!$1:$1,0)),"")))</f>
        <v/>
      </c>
      <c r="I260" s="86" t="str">
        <f t="shared" si="12"/>
        <v/>
      </c>
      <c r="J260" s="85" t="str">
        <f t="shared" si="13"/>
        <v/>
      </c>
      <c r="K260" s="86" t="str">
        <f t="shared" si="14"/>
        <v/>
      </c>
      <c r="L260" s="85" t="str">
        <f>IF($B260="","",IF(IFERROR(INDEX('RAID Log'!$1:$1048576,$B260,MATCH("Status",'RAID Log'!$1:$1,0)),"")="","",IFERROR(INDEX('RAID Log'!$1:$1048576,$B260,MATCH("Status",'RAID Log'!$1:$1,0)),"")))</f>
        <v/>
      </c>
      <c r="M260" s="85" t="str">
        <f>IF($B260="","",IF(IFERROR(INDEX('RAID Log'!$1:$1048576,$B260,MATCH("RAID Owner",'RAID Log'!$1:$1,0)),"")="","",IFERROR(INDEX('RAID Log'!$1:$1048576,$B260,MATCH("RAID Owner",'RAID Log'!$1:$1,0)),"")))</f>
        <v/>
      </c>
      <c r="N260" s="87" t="str">
        <f>IF($B260="","",IF(IFERROR(INDEX('RAID Log'!$1:$1048576,$B260,MATCH("Date Raised",'RAID Log'!$1:$1,0)),"")="","",IFERROR(INDEX('RAID Log'!$1:$1048576,$B260,MATCH("Date Raised",'RAID Log'!$1:$1,0)),"")))</f>
        <v/>
      </c>
      <c r="O260" s="87" t="str">
        <f>IF($B260="","",IF(IFERROR(INDEX('RAID Log'!$1:$1048576,$B260,MATCH("Closed Date",'RAID Log'!$1:$1,0)),"")="","",IFERROR(INDEX('RAID Log'!$1:$1048576,$B260,MATCH("Closed Date",'RAID Log'!$1:$1,0)),"")))</f>
        <v/>
      </c>
      <c r="P260" s="85" t="str">
        <f>IF($B260="","",IF(IFERROR(INDEX('RAID Log'!$1:$1048576,$B260,MATCH("Mitigation Strategy",'RAID Log'!$1:$1,0)),"")="","",IFERROR(INDEX('RAID Log'!$1:$1048576,$B260,MATCH("Mitigation Strategy",'RAID Log'!$1:$1,0)),"")))</f>
        <v/>
      </c>
      <c r="Q260" s="88" t="str">
        <f>IF($B260="","",IF(IFERROR(INDEX('RAID Log'!$1:$1048576,$B260,MATCH("RAID Response/Plan",'RAID Log'!$1:$1,0)),"")="","",IFERROR(INDEX('RAID Log'!$1:$1048576,$B260,MATCH("RAID Response/Plan",'RAID Log'!$1:$1,0)),"")))</f>
        <v/>
      </c>
    </row>
    <row r="261" spans="1:17" ht="14.25" customHeight="1">
      <c r="A261" s="82" t="str">
        <f>IF($B261="","",IF(IFERROR(INDEX('RAID Log'!$1:$1048576,$B261,MATCH("RAID ID",'RAID Log'!$1:$1,0)),"")="","",IFERROR(INDEX('RAID Log'!$1:$1048576,$B261,MATCH("RAID ID",'RAID Log'!$1:$1,0)),"")))</f>
        <v/>
      </c>
      <c r="B261" s="83" t="str">
        <f>IFERROR(MATCH(ROW()-1,'RAID Log'!$S:$S,0),"")</f>
        <v/>
      </c>
      <c r="C261" s="84" t="str">
        <f>IF($B261="","",IF(IFERROR(INDEX('RAID Log'!$1:$1048576,$B261,MATCH("Description",'RAID Log'!$1:$1,0)),"")="","",IFERROR(INDEX('RAID Log'!$1:$1048576,$B261,MATCH("Description",'RAID Log'!$1:$1,0)),"")))</f>
        <v/>
      </c>
      <c r="D261" s="84" t="str">
        <f>IF($B261="","",IF(IFERROR(INDEX('RAID Log'!$1:$1048576,$B261,MATCH("Impact/Effect of the RAID",'RAID Log'!$1:$1,0)),"")="","",IFERROR(INDEX('RAID Log'!$1:$1048576,$B261,MATCH("Impact/Effect of the RAID",'RAID Log'!$1:$1,0)),"")))</f>
        <v/>
      </c>
      <c r="E261" s="85" t="str">
        <f>IF($B261="","",IF(IFERROR(INDEX('RAID Log'!$1:$1048576,$B261,MATCH("Impact Area",'RAID Log'!$1:$1,0)),"")="","",IFERROR(INDEX('RAID Log'!$1:$1048576,$B261,MATCH("Impact Area",'RAID Log'!$1:$1,0)),"")))</f>
        <v/>
      </c>
      <c r="F261" s="85" t="str">
        <f>IF($B261="","",IF(IFERROR(INDEX('RAID Log'!$1:$1048576,$B261,MATCH("Impact Area",'RAID Log'!$1:$1,0)),"")="","",IFERROR(INDEX('RAID Log'!$1:$1048576,$B261,MATCH("Impact Area",'RAID Log'!$1:$1,0)),"")))</f>
        <v/>
      </c>
      <c r="G261" s="85" t="str">
        <f>IF($B261="","",IF(IFERROR(INDEX('RAID Log'!$1:$1048576,$B261,MATCH("Impact Rating",'RAID Log'!$1:$1,0)),"")="","",IFERROR(INDEX('RAID Log'!$1:$1048576,$B261,MATCH("Impact Rating",'RAID Log'!$1:$1,0)),"")))</f>
        <v/>
      </c>
      <c r="H261" s="85" t="str">
        <f>IF($B261="","",IF(IFERROR(INDEX('RAID Log'!$1:$1048576,$B261,MATCH("Initial Probability",'RAID Log'!$1:$1,0)),"")="","",IFERROR(INDEX('RAID Log'!$1:$1048576,$B261,MATCH("Initial Probability",'RAID Log'!$1:$1,0)),"")))</f>
        <v/>
      </c>
      <c r="I261" s="86" t="str">
        <f t="shared" si="12"/>
        <v/>
      </c>
      <c r="J261" s="85" t="str">
        <f t="shared" si="13"/>
        <v/>
      </c>
      <c r="K261" s="86" t="str">
        <f t="shared" si="14"/>
        <v/>
      </c>
      <c r="L261" s="85" t="str">
        <f>IF($B261="","",IF(IFERROR(INDEX('RAID Log'!$1:$1048576,$B261,MATCH("Status",'RAID Log'!$1:$1,0)),"")="","",IFERROR(INDEX('RAID Log'!$1:$1048576,$B261,MATCH("Status",'RAID Log'!$1:$1,0)),"")))</f>
        <v/>
      </c>
      <c r="M261" s="85" t="str">
        <f>IF($B261="","",IF(IFERROR(INDEX('RAID Log'!$1:$1048576,$B261,MATCH("RAID Owner",'RAID Log'!$1:$1,0)),"")="","",IFERROR(INDEX('RAID Log'!$1:$1048576,$B261,MATCH("RAID Owner",'RAID Log'!$1:$1,0)),"")))</f>
        <v/>
      </c>
      <c r="N261" s="87" t="str">
        <f>IF($B261="","",IF(IFERROR(INDEX('RAID Log'!$1:$1048576,$B261,MATCH("Date Raised",'RAID Log'!$1:$1,0)),"")="","",IFERROR(INDEX('RAID Log'!$1:$1048576,$B261,MATCH("Date Raised",'RAID Log'!$1:$1,0)),"")))</f>
        <v/>
      </c>
      <c r="O261" s="87" t="str">
        <f>IF($B261="","",IF(IFERROR(INDEX('RAID Log'!$1:$1048576,$B261,MATCH("Closed Date",'RAID Log'!$1:$1,0)),"")="","",IFERROR(INDEX('RAID Log'!$1:$1048576,$B261,MATCH("Closed Date",'RAID Log'!$1:$1,0)),"")))</f>
        <v/>
      </c>
      <c r="P261" s="85" t="str">
        <f>IF($B261="","",IF(IFERROR(INDEX('RAID Log'!$1:$1048576,$B261,MATCH("Mitigation Strategy",'RAID Log'!$1:$1,0)),"")="","",IFERROR(INDEX('RAID Log'!$1:$1048576,$B261,MATCH("Mitigation Strategy",'RAID Log'!$1:$1,0)),"")))</f>
        <v/>
      </c>
      <c r="Q261" s="88" t="str">
        <f>IF($B261="","",IF(IFERROR(INDEX('RAID Log'!$1:$1048576,$B261,MATCH("RAID Response/Plan",'RAID Log'!$1:$1,0)),"")="","",IFERROR(INDEX('RAID Log'!$1:$1048576,$B261,MATCH("RAID Response/Plan",'RAID Log'!$1:$1,0)),"")))</f>
        <v/>
      </c>
    </row>
    <row r="262" spans="1:17" ht="14.25" customHeight="1">
      <c r="A262" s="82" t="str">
        <f>IF($B262="","",IF(IFERROR(INDEX('RAID Log'!$1:$1048576,$B262,MATCH("RAID ID",'RAID Log'!$1:$1,0)),"")="","",IFERROR(INDEX('RAID Log'!$1:$1048576,$B262,MATCH("RAID ID",'RAID Log'!$1:$1,0)),"")))</f>
        <v/>
      </c>
      <c r="B262" s="83" t="str">
        <f>IFERROR(MATCH(ROW()-1,'RAID Log'!$S:$S,0),"")</f>
        <v/>
      </c>
      <c r="C262" s="84" t="str">
        <f>IF($B262="","",IF(IFERROR(INDEX('RAID Log'!$1:$1048576,$B262,MATCH("Description",'RAID Log'!$1:$1,0)),"")="","",IFERROR(INDEX('RAID Log'!$1:$1048576,$B262,MATCH("Description",'RAID Log'!$1:$1,0)),"")))</f>
        <v/>
      </c>
      <c r="D262" s="84" t="str">
        <f>IF($B262="","",IF(IFERROR(INDEX('RAID Log'!$1:$1048576,$B262,MATCH("Impact/Effect of the RAID",'RAID Log'!$1:$1,0)),"")="","",IFERROR(INDEX('RAID Log'!$1:$1048576,$B262,MATCH("Impact/Effect of the RAID",'RAID Log'!$1:$1,0)),"")))</f>
        <v/>
      </c>
      <c r="E262" s="85" t="str">
        <f>IF($B262="","",IF(IFERROR(INDEX('RAID Log'!$1:$1048576,$B262,MATCH("Impact Area",'RAID Log'!$1:$1,0)),"")="","",IFERROR(INDEX('RAID Log'!$1:$1048576,$B262,MATCH("Impact Area",'RAID Log'!$1:$1,0)),"")))</f>
        <v/>
      </c>
      <c r="F262" s="85" t="str">
        <f>IF($B262="","",IF(IFERROR(INDEX('RAID Log'!$1:$1048576,$B262,MATCH("Impact Area",'RAID Log'!$1:$1,0)),"")="","",IFERROR(INDEX('RAID Log'!$1:$1048576,$B262,MATCH("Impact Area",'RAID Log'!$1:$1,0)),"")))</f>
        <v/>
      </c>
      <c r="G262" s="85" t="str">
        <f>IF($B262="","",IF(IFERROR(INDEX('RAID Log'!$1:$1048576,$B262,MATCH("Impact Rating",'RAID Log'!$1:$1,0)),"")="","",IFERROR(INDEX('RAID Log'!$1:$1048576,$B262,MATCH("Impact Rating",'RAID Log'!$1:$1,0)),"")))</f>
        <v/>
      </c>
      <c r="H262" s="85" t="str">
        <f>IF($B262="","",IF(IFERROR(INDEX('RAID Log'!$1:$1048576,$B262,MATCH("Initial Probability",'RAID Log'!$1:$1,0)),"")="","",IFERROR(INDEX('RAID Log'!$1:$1048576,$B262,MATCH("Initial Probability",'RAID Log'!$1:$1,0)),"")))</f>
        <v/>
      </c>
      <c r="I262" s="86" t="str">
        <f t="shared" si="12"/>
        <v/>
      </c>
      <c r="J262" s="85" t="str">
        <f t="shared" si="13"/>
        <v/>
      </c>
      <c r="K262" s="86" t="str">
        <f t="shared" si="14"/>
        <v/>
      </c>
      <c r="L262" s="85" t="str">
        <f>IF($B262="","",IF(IFERROR(INDEX('RAID Log'!$1:$1048576,$B262,MATCH("Status",'RAID Log'!$1:$1,0)),"")="","",IFERROR(INDEX('RAID Log'!$1:$1048576,$B262,MATCH("Status",'RAID Log'!$1:$1,0)),"")))</f>
        <v/>
      </c>
      <c r="M262" s="85" t="str">
        <f>IF($B262="","",IF(IFERROR(INDEX('RAID Log'!$1:$1048576,$B262,MATCH("RAID Owner",'RAID Log'!$1:$1,0)),"")="","",IFERROR(INDEX('RAID Log'!$1:$1048576,$B262,MATCH("RAID Owner",'RAID Log'!$1:$1,0)),"")))</f>
        <v/>
      </c>
      <c r="N262" s="87" t="str">
        <f>IF($B262="","",IF(IFERROR(INDEX('RAID Log'!$1:$1048576,$B262,MATCH("Date Raised",'RAID Log'!$1:$1,0)),"")="","",IFERROR(INDEX('RAID Log'!$1:$1048576,$B262,MATCH("Date Raised",'RAID Log'!$1:$1,0)),"")))</f>
        <v/>
      </c>
      <c r="O262" s="87" t="str">
        <f>IF($B262="","",IF(IFERROR(INDEX('RAID Log'!$1:$1048576,$B262,MATCH("Closed Date",'RAID Log'!$1:$1,0)),"")="","",IFERROR(INDEX('RAID Log'!$1:$1048576,$B262,MATCH("Closed Date",'RAID Log'!$1:$1,0)),"")))</f>
        <v/>
      </c>
      <c r="P262" s="85" t="str">
        <f>IF($B262="","",IF(IFERROR(INDEX('RAID Log'!$1:$1048576,$B262,MATCH("Mitigation Strategy",'RAID Log'!$1:$1,0)),"")="","",IFERROR(INDEX('RAID Log'!$1:$1048576,$B262,MATCH("Mitigation Strategy",'RAID Log'!$1:$1,0)),"")))</f>
        <v/>
      </c>
      <c r="Q262" s="88" t="str">
        <f>IF($B262="","",IF(IFERROR(INDEX('RAID Log'!$1:$1048576,$B262,MATCH("RAID Response/Plan",'RAID Log'!$1:$1,0)),"")="","",IFERROR(INDEX('RAID Log'!$1:$1048576,$B262,MATCH("RAID Response/Plan",'RAID Log'!$1:$1,0)),"")))</f>
        <v/>
      </c>
    </row>
    <row r="263" spans="1:17" ht="14.25" customHeight="1">
      <c r="A263" s="82" t="str">
        <f>IF($B263="","",IF(IFERROR(INDEX('RAID Log'!$1:$1048576,$B263,MATCH("RAID ID",'RAID Log'!$1:$1,0)),"")="","",IFERROR(INDEX('RAID Log'!$1:$1048576,$B263,MATCH("RAID ID",'RAID Log'!$1:$1,0)),"")))</f>
        <v/>
      </c>
      <c r="B263" s="83" t="str">
        <f>IFERROR(MATCH(ROW()-1,'RAID Log'!$S:$S,0),"")</f>
        <v/>
      </c>
      <c r="C263" s="84" t="str">
        <f>IF($B263="","",IF(IFERROR(INDEX('RAID Log'!$1:$1048576,$B263,MATCH("Description",'RAID Log'!$1:$1,0)),"")="","",IFERROR(INDEX('RAID Log'!$1:$1048576,$B263,MATCH("Description",'RAID Log'!$1:$1,0)),"")))</f>
        <v/>
      </c>
      <c r="D263" s="84" t="str">
        <f>IF($B263="","",IF(IFERROR(INDEX('RAID Log'!$1:$1048576,$B263,MATCH("Impact/Effect of the RAID",'RAID Log'!$1:$1,0)),"")="","",IFERROR(INDEX('RAID Log'!$1:$1048576,$B263,MATCH("Impact/Effect of the RAID",'RAID Log'!$1:$1,0)),"")))</f>
        <v/>
      </c>
      <c r="E263" s="85" t="str">
        <f>IF($B263="","",IF(IFERROR(INDEX('RAID Log'!$1:$1048576,$B263,MATCH("Impact Area",'RAID Log'!$1:$1,0)),"")="","",IFERROR(INDEX('RAID Log'!$1:$1048576,$B263,MATCH("Impact Area",'RAID Log'!$1:$1,0)),"")))</f>
        <v/>
      </c>
      <c r="F263" s="85" t="str">
        <f>IF($B263="","",IF(IFERROR(INDEX('RAID Log'!$1:$1048576,$B263,MATCH("Impact Area",'RAID Log'!$1:$1,0)),"")="","",IFERROR(INDEX('RAID Log'!$1:$1048576,$B263,MATCH("Impact Area",'RAID Log'!$1:$1,0)),"")))</f>
        <v/>
      </c>
      <c r="G263" s="85" t="str">
        <f>IF($B263="","",IF(IFERROR(INDEX('RAID Log'!$1:$1048576,$B263,MATCH("Impact Rating",'RAID Log'!$1:$1,0)),"")="","",IFERROR(INDEX('RAID Log'!$1:$1048576,$B263,MATCH("Impact Rating",'RAID Log'!$1:$1,0)),"")))</f>
        <v/>
      </c>
      <c r="H263" s="85" t="str">
        <f>IF($B263="","",IF(IFERROR(INDEX('RAID Log'!$1:$1048576,$B263,MATCH("Initial Probability",'RAID Log'!$1:$1,0)),"")="","",IFERROR(INDEX('RAID Log'!$1:$1048576,$B263,MATCH("Initial Probability",'RAID Log'!$1:$1,0)),"")))</f>
        <v/>
      </c>
      <c r="I263" s="86" t="str">
        <f t="shared" si="12"/>
        <v/>
      </c>
      <c r="J263" s="85" t="str">
        <f t="shared" si="13"/>
        <v/>
      </c>
      <c r="K263" s="86" t="str">
        <f t="shared" si="14"/>
        <v/>
      </c>
      <c r="L263" s="85" t="str">
        <f>IF($B263="","",IF(IFERROR(INDEX('RAID Log'!$1:$1048576,$B263,MATCH("Status",'RAID Log'!$1:$1,0)),"")="","",IFERROR(INDEX('RAID Log'!$1:$1048576,$B263,MATCH("Status",'RAID Log'!$1:$1,0)),"")))</f>
        <v/>
      </c>
      <c r="M263" s="85" t="str">
        <f>IF($B263="","",IF(IFERROR(INDEX('RAID Log'!$1:$1048576,$B263,MATCH("RAID Owner",'RAID Log'!$1:$1,0)),"")="","",IFERROR(INDEX('RAID Log'!$1:$1048576,$B263,MATCH("RAID Owner",'RAID Log'!$1:$1,0)),"")))</f>
        <v/>
      </c>
      <c r="N263" s="87" t="str">
        <f>IF($B263="","",IF(IFERROR(INDEX('RAID Log'!$1:$1048576,$B263,MATCH("Date Raised",'RAID Log'!$1:$1,0)),"")="","",IFERROR(INDEX('RAID Log'!$1:$1048576,$B263,MATCH("Date Raised",'RAID Log'!$1:$1,0)),"")))</f>
        <v/>
      </c>
      <c r="O263" s="87" t="str">
        <f>IF($B263="","",IF(IFERROR(INDEX('RAID Log'!$1:$1048576,$B263,MATCH("Closed Date",'RAID Log'!$1:$1,0)),"")="","",IFERROR(INDEX('RAID Log'!$1:$1048576,$B263,MATCH("Closed Date",'RAID Log'!$1:$1,0)),"")))</f>
        <v/>
      </c>
      <c r="P263" s="85" t="str">
        <f>IF($B263="","",IF(IFERROR(INDEX('RAID Log'!$1:$1048576,$B263,MATCH("Mitigation Strategy",'RAID Log'!$1:$1,0)),"")="","",IFERROR(INDEX('RAID Log'!$1:$1048576,$B263,MATCH("Mitigation Strategy",'RAID Log'!$1:$1,0)),"")))</f>
        <v/>
      </c>
      <c r="Q263" s="88" t="str">
        <f>IF($B263="","",IF(IFERROR(INDEX('RAID Log'!$1:$1048576,$B263,MATCH("RAID Response/Plan",'RAID Log'!$1:$1,0)),"")="","",IFERROR(INDEX('RAID Log'!$1:$1048576,$B263,MATCH("RAID Response/Plan",'RAID Log'!$1:$1,0)),"")))</f>
        <v/>
      </c>
    </row>
    <row r="264" spans="1:17" ht="14.25" customHeight="1">
      <c r="A264" s="82" t="str">
        <f>IF($B264="","",IF(IFERROR(INDEX('RAID Log'!$1:$1048576,$B264,MATCH("RAID ID",'RAID Log'!$1:$1,0)),"")="","",IFERROR(INDEX('RAID Log'!$1:$1048576,$B264,MATCH("RAID ID",'RAID Log'!$1:$1,0)),"")))</f>
        <v/>
      </c>
      <c r="B264" s="83" t="str">
        <f>IFERROR(MATCH(ROW()-1,'RAID Log'!$S:$S,0),"")</f>
        <v/>
      </c>
      <c r="C264" s="84" t="str">
        <f>IF($B264="","",IF(IFERROR(INDEX('RAID Log'!$1:$1048576,$B264,MATCH("Description",'RAID Log'!$1:$1,0)),"")="","",IFERROR(INDEX('RAID Log'!$1:$1048576,$B264,MATCH("Description",'RAID Log'!$1:$1,0)),"")))</f>
        <v/>
      </c>
      <c r="D264" s="84" t="str">
        <f>IF($B264="","",IF(IFERROR(INDEX('RAID Log'!$1:$1048576,$B264,MATCH("Impact/Effect of the RAID",'RAID Log'!$1:$1,0)),"")="","",IFERROR(INDEX('RAID Log'!$1:$1048576,$B264,MATCH("Impact/Effect of the RAID",'RAID Log'!$1:$1,0)),"")))</f>
        <v/>
      </c>
      <c r="E264" s="85" t="str">
        <f>IF($B264="","",IF(IFERROR(INDEX('RAID Log'!$1:$1048576,$B264,MATCH("Impact Area",'RAID Log'!$1:$1,0)),"")="","",IFERROR(INDEX('RAID Log'!$1:$1048576,$B264,MATCH("Impact Area",'RAID Log'!$1:$1,0)),"")))</f>
        <v/>
      </c>
      <c r="F264" s="85" t="str">
        <f>IF($B264="","",IF(IFERROR(INDEX('RAID Log'!$1:$1048576,$B264,MATCH("Impact Area",'RAID Log'!$1:$1,0)),"")="","",IFERROR(INDEX('RAID Log'!$1:$1048576,$B264,MATCH("Impact Area",'RAID Log'!$1:$1,0)),"")))</f>
        <v/>
      </c>
      <c r="G264" s="85" t="str">
        <f>IF($B264="","",IF(IFERROR(INDEX('RAID Log'!$1:$1048576,$B264,MATCH("Impact Rating",'RAID Log'!$1:$1,0)),"")="","",IFERROR(INDEX('RAID Log'!$1:$1048576,$B264,MATCH("Impact Rating",'RAID Log'!$1:$1,0)),"")))</f>
        <v/>
      </c>
      <c r="H264" s="85" t="str">
        <f>IF($B264="","",IF(IFERROR(INDEX('RAID Log'!$1:$1048576,$B264,MATCH("Initial Probability",'RAID Log'!$1:$1,0)),"")="","",IFERROR(INDEX('RAID Log'!$1:$1048576,$B264,MATCH("Initial Probability",'RAID Log'!$1:$1,0)),"")))</f>
        <v/>
      </c>
      <c r="I264" s="86" t="str">
        <f t="shared" si="12"/>
        <v/>
      </c>
      <c r="J264" s="85" t="str">
        <f t="shared" si="13"/>
        <v/>
      </c>
      <c r="K264" s="86" t="str">
        <f t="shared" si="14"/>
        <v/>
      </c>
      <c r="L264" s="85" t="str">
        <f>IF($B264="","",IF(IFERROR(INDEX('RAID Log'!$1:$1048576,$B264,MATCH("Status",'RAID Log'!$1:$1,0)),"")="","",IFERROR(INDEX('RAID Log'!$1:$1048576,$B264,MATCH("Status",'RAID Log'!$1:$1,0)),"")))</f>
        <v/>
      </c>
      <c r="M264" s="85" t="str">
        <f>IF($B264="","",IF(IFERROR(INDEX('RAID Log'!$1:$1048576,$B264,MATCH("RAID Owner",'RAID Log'!$1:$1,0)),"")="","",IFERROR(INDEX('RAID Log'!$1:$1048576,$B264,MATCH("RAID Owner",'RAID Log'!$1:$1,0)),"")))</f>
        <v/>
      </c>
      <c r="N264" s="87" t="str">
        <f>IF($B264="","",IF(IFERROR(INDEX('RAID Log'!$1:$1048576,$B264,MATCH("Date Raised",'RAID Log'!$1:$1,0)),"")="","",IFERROR(INDEX('RAID Log'!$1:$1048576,$B264,MATCH("Date Raised",'RAID Log'!$1:$1,0)),"")))</f>
        <v/>
      </c>
      <c r="O264" s="87" t="str">
        <f>IF($B264="","",IF(IFERROR(INDEX('RAID Log'!$1:$1048576,$B264,MATCH("Closed Date",'RAID Log'!$1:$1,0)),"")="","",IFERROR(INDEX('RAID Log'!$1:$1048576,$B264,MATCH("Closed Date",'RAID Log'!$1:$1,0)),"")))</f>
        <v/>
      </c>
      <c r="P264" s="85" t="str">
        <f>IF($B264="","",IF(IFERROR(INDEX('RAID Log'!$1:$1048576,$B264,MATCH("Mitigation Strategy",'RAID Log'!$1:$1,0)),"")="","",IFERROR(INDEX('RAID Log'!$1:$1048576,$B264,MATCH("Mitigation Strategy",'RAID Log'!$1:$1,0)),"")))</f>
        <v/>
      </c>
      <c r="Q264" s="88" t="str">
        <f>IF($B264="","",IF(IFERROR(INDEX('RAID Log'!$1:$1048576,$B264,MATCH("RAID Response/Plan",'RAID Log'!$1:$1,0)),"")="","",IFERROR(INDEX('RAID Log'!$1:$1048576,$B264,MATCH("RAID Response/Plan",'RAID Log'!$1:$1,0)),"")))</f>
        <v/>
      </c>
    </row>
    <row r="265" spans="1:17" ht="14.25" customHeight="1">
      <c r="A265" s="82" t="str">
        <f>IF($B265="","",IF(IFERROR(INDEX('RAID Log'!$1:$1048576,$B265,MATCH("RAID ID",'RAID Log'!$1:$1,0)),"")="","",IFERROR(INDEX('RAID Log'!$1:$1048576,$B265,MATCH("RAID ID",'RAID Log'!$1:$1,0)),"")))</f>
        <v/>
      </c>
      <c r="B265" s="83" t="str">
        <f>IFERROR(MATCH(ROW()-1,'RAID Log'!$S:$S,0),"")</f>
        <v/>
      </c>
      <c r="C265" s="84" t="str">
        <f>IF($B265="","",IF(IFERROR(INDEX('RAID Log'!$1:$1048576,$B265,MATCH("Description",'RAID Log'!$1:$1,0)),"")="","",IFERROR(INDEX('RAID Log'!$1:$1048576,$B265,MATCH("Description",'RAID Log'!$1:$1,0)),"")))</f>
        <v/>
      </c>
      <c r="D265" s="84" t="str">
        <f>IF($B265="","",IF(IFERROR(INDEX('RAID Log'!$1:$1048576,$B265,MATCH("Impact/Effect of the RAID",'RAID Log'!$1:$1,0)),"")="","",IFERROR(INDEX('RAID Log'!$1:$1048576,$B265,MATCH("Impact/Effect of the RAID",'RAID Log'!$1:$1,0)),"")))</f>
        <v/>
      </c>
      <c r="E265" s="85" t="str">
        <f>IF($B265="","",IF(IFERROR(INDEX('RAID Log'!$1:$1048576,$B265,MATCH("Impact Area",'RAID Log'!$1:$1,0)),"")="","",IFERROR(INDEX('RAID Log'!$1:$1048576,$B265,MATCH("Impact Area",'RAID Log'!$1:$1,0)),"")))</f>
        <v/>
      </c>
      <c r="F265" s="85" t="str">
        <f>IF($B265="","",IF(IFERROR(INDEX('RAID Log'!$1:$1048576,$B265,MATCH("Impact Area",'RAID Log'!$1:$1,0)),"")="","",IFERROR(INDEX('RAID Log'!$1:$1048576,$B265,MATCH("Impact Area",'RAID Log'!$1:$1,0)),"")))</f>
        <v/>
      </c>
      <c r="G265" s="85" t="str">
        <f>IF($B265="","",IF(IFERROR(INDEX('RAID Log'!$1:$1048576,$B265,MATCH("Impact Rating",'RAID Log'!$1:$1,0)),"")="","",IFERROR(INDEX('RAID Log'!$1:$1048576,$B265,MATCH("Impact Rating",'RAID Log'!$1:$1,0)),"")))</f>
        <v/>
      </c>
      <c r="H265" s="85" t="str">
        <f>IF($B265="","",IF(IFERROR(INDEX('RAID Log'!$1:$1048576,$B265,MATCH("Initial Probability",'RAID Log'!$1:$1,0)),"")="","",IFERROR(INDEX('RAID Log'!$1:$1048576,$B265,MATCH("Initial Probability",'RAID Log'!$1:$1,0)),"")))</f>
        <v/>
      </c>
      <c r="I265" s="86" t="str">
        <f t="shared" si="12"/>
        <v/>
      </c>
      <c r="J265" s="85" t="str">
        <f t="shared" si="13"/>
        <v/>
      </c>
      <c r="K265" s="86" t="str">
        <f t="shared" si="14"/>
        <v/>
      </c>
      <c r="L265" s="85" t="str">
        <f>IF($B265="","",IF(IFERROR(INDEX('RAID Log'!$1:$1048576,$B265,MATCH("Status",'RAID Log'!$1:$1,0)),"")="","",IFERROR(INDEX('RAID Log'!$1:$1048576,$B265,MATCH("Status",'RAID Log'!$1:$1,0)),"")))</f>
        <v/>
      </c>
      <c r="M265" s="85" t="str">
        <f>IF($B265="","",IF(IFERROR(INDEX('RAID Log'!$1:$1048576,$B265,MATCH("RAID Owner",'RAID Log'!$1:$1,0)),"")="","",IFERROR(INDEX('RAID Log'!$1:$1048576,$B265,MATCH("RAID Owner",'RAID Log'!$1:$1,0)),"")))</f>
        <v/>
      </c>
      <c r="N265" s="87" t="str">
        <f>IF($B265="","",IF(IFERROR(INDEX('RAID Log'!$1:$1048576,$B265,MATCH("Date Raised",'RAID Log'!$1:$1,0)),"")="","",IFERROR(INDEX('RAID Log'!$1:$1048576,$B265,MATCH("Date Raised",'RAID Log'!$1:$1,0)),"")))</f>
        <v/>
      </c>
      <c r="O265" s="87" t="str">
        <f>IF($B265="","",IF(IFERROR(INDEX('RAID Log'!$1:$1048576,$B265,MATCH("Closed Date",'RAID Log'!$1:$1,0)),"")="","",IFERROR(INDEX('RAID Log'!$1:$1048576,$B265,MATCH("Closed Date",'RAID Log'!$1:$1,0)),"")))</f>
        <v/>
      </c>
      <c r="P265" s="85" t="str">
        <f>IF($B265="","",IF(IFERROR(INDEX('RAID Log'!$1:$1048576,$B265,MATCH("Mitigation Strategy",'RAID Log'!$1:$1,0)),"")="","",IFERROR(INDEX('RAID Log'!$1:$1048576,$B265,MATCH("Mitigation Strategy",'RAID Log'!$1:$1,0)),"")))</f>
        <v/>
      </c>
      <c r="Q265" s="88" t="str">
        <f>IF($B265="","",IF(IFERROR(INDEX('RAID Log'!$1:$1048576,$B265,MATCH("RAID Response/Plan",'RAID Log'!$1:$1,0)),"")="","",IFERROR(INDEX('RAID Log'!$1:$1048576,$B265,MATCH("RAID Response/Plan",'RAID Log'!$1:$1,0)),"")))</f>
        <v/>
      </c>
    </row>
    <row r="266" spans="1:17" ht="14.25" customHeight="1">
      <c r="A266" s="82" t="str">
        <f>IF($B266="","",IF(IFERROR(INDEX('RAID Log'!$1:$1048576,$B266,MATCH("RAID ID",'RAID Log'!$1:$1,0)),"")="","",IFERROR(INDEX('RAID Log'!$1:$1048576,$B266,MATCH("RAID ID",'RAID Log'!$1:$1,0)),"")))</f>
        <v/>
      </c>
      <c r="B266" s="83" t="str">
        <f>IFERROR(MATCH(ROW()-1,'RAID Log'!$S:$S,0),"")</f>
        <v/>
      </c>
      <c r="C266" s="84" t="str">
        <f>IF($B266="","",IF(IFERROR(INDEX('RAID Log'!$1:$1048576,$B266,MATCH("Description",'RAID Log'!$1:$1,0)),"")="","",IFERROR(INDEX('RAID Log'!$1:$1048576,$B266,MATCH("Description",'RAID Log'!$1:$1,0)),"")))</f>
        <v/>
      </c>
      <c r="D266" s="84" t="str">
        <f>IF($B266="","",IF(IFERROR(INDEX('RAID Log'!$1:$1048576,$B266,MATCH("Impact/Effect of the RAID",'RAID Log'!$1:$1,0)),"")="","",IFERROR(INDEX('RAID Log'!$1:$1048576,$B266,MATCH("Impact/Effect of the RAID",'RAID Log'!$1:$1,0)),"")))</f>
        <v/>
      </c>
      <c r="E266" s="85" t="str">
        <f>IF($B266="","",IF(IFERROR(INDEX('RAID Log'!$1:$1048576,$B266,MATCH("Impact Area",'RAID Log'!$1:$1,0)),"")="","",IFERROR(INDEX('RAID Log'!$1:$1048576,$B266,MATCH("Impact Area",'RAID Log'!$1:$1,0)),"")))</f>
        <v/>
      </c>
      <c r="F266" s="85" t="str">
        <f>IF($B266="","",IF(IFERROR(INDEX('RAID Log'!$1:$1048576,$B266,MATCH("Impact Area",'RAID Log'!$1:$1,0)),"")="","",IFERROR(INDEX('RAID Log'!$1:$1048576,$B266,MATCH("Impact Area",'RAID Log'!$1:$1,0)),"")))</f>
        <v/>
      </c>
      <c r="G266" s="85" t="str">
        <f>IF($B266="","",IF(IFERROR(INDEX('RAID Log'!$1:$1048576,$B266,MATCH("Impact Rating",'RAID Log'!$1:$1,0)),"")="","",IFERROR(INDEX('RAID Log'!$1:$1048576,$B266,MATCH("Impact Rating",'RAID Log'!$1:$1,0)),"")))</f>
        <v/>
      </c>
      <c r="H266" s="85" t="str">
        <f>IF($B266="","",IF(IFERROR(INDEX('RAID Log'!$1:$1048576,$B266,MATCH("Initial Probability",'RAID Log'!$1:$1,0)),"")="","",IFERROR(INDEX('RAID Log'!$1:$1048576,$B266,MATCH("Initial Probability",'RAID Log'!$1:$1,0)),"")))</f>
        <v/>
      </c>
      <c r="I266" s="86" t="str">
        <f t="shared" si="12"/>
        <v/>
      </c>
      <c r="J266" s="85" t="str">
        <f t="shared" si="13"/>
        <v/>
      </c>
      <c r="K266" s="86" t="str">
        <f t="shared" si="14"/>
        <v/>
      </c>
      <c r="L266" s="85" t="str">
        <f>IF($B266="","",IF(IFERROR(INDEX('RAID Log'!$1:$1048576,$B266,MATCH("Status",'RAID Log'!$1:$1,0)),"")="","",IFERROR(INDEX('RAID Log'!$1:$1048576,$B266,MATCH("Status",'RAID Log'!$1:$1,0)),"")))</f>
        <v/>
      </c>
      <c r="M266" s="85" t="str">
        <f>IF($B266="","",IF(IFERROR(INDEX('RAID Log'!$1:$1048576,$B266,MATCH("RAID Owner",'RAID Log'!$1:$1,0)),"")="","",IFERROR(INDEX('RAID Log'!$1:$1048576,$B266,MATCH("RAID Owner",'RAID Log'!$1:$1,0)),"")))</f>
        <v/>
      </c>
      <c r="N266" s="87" t="str">
        <f>IF($B266="","",IF(IFERROR(INDEX('RAID Log'!$1:$1048576,$B266,MATCH("Date Raised",'RAID Log'!$1:$1,0)),"")="","",IFERROR(INDEX('RAID Log'!$1:$1048576,$B266,MATCH("Date Raised",'RAID Log'!$1:$1,0)),"")))</f>
        <v/>
      </c>
      <c r="O266" s="87" t="str">
        <f>IF($B266="","",IF(IFERROR(INDEX('RAID Log'!$1:$1048576,$B266,MATCH("Closed Date",'RAID Log'!$1:$1,0)),"")="","",IFERROR(INDEX('RAID Log'!$1:$1048576,$B266,MATCH("Closed Date",'RAID Log'!$1:$1,0)),"")))</f>
        <v/>
      </c>
      <c r="P266" s="85" t="str">
        <f>IF($B266="","",IF(IFERROR(INDEX('RAID Log'!$1:$1048576,$B266,MATCH("Mitigation Strategy",'RAID Log'!$1:$1,0)),"")="","",IFERROR(INDEX('RAID Log'!$1:$1048576,$B266,MATCH("Mitigation Strategy",'RAID Log'!$1:$1,0)),"")))</f>
        <v/>
      </c>
      <c r="Q266" s="88" t="str">
        <f>IF($B266="","",IF(IFERROR(INDEX('RAID Log'!$1:$1048576,$B266,MATCH("RAID Response/Plan",'RAID Log'!$1:$1,0)),"")="","",IFERROR(INDEX('RAID Log'!$1:$1048576,$B266,MATCH("RAID Response/Plan",'RAID Log'!$1:$1,0)),"")))</f>
        <v/>
      </c>
    </row>
    <row r="267" spans="1:17" ht="14.25" customHeight="1">
      <c r="A267" s="82" t="str">
        <f>IF($B267="","",IF(IFERROR(INDEX('RAID Log'!$1:$1048576,$B267,MATCH("RAID ID",'RAID Log'!$1:$1,0)),"")="","",IFERROR(INDEX('RAID Log'!$1:$1048576,$B267,MATCH("RAID ID",'RAID Log'!$1:$1,0)),"")))</f>
        <v/>
      </c>
      <c r="B267" s="83" t="str">
        <f>IFERROR(MATCH(ROW()-1,'RAID Log'!$S:$S,0),"")</f>
        <v/>
      </c>
      <c r="C267" s="84" t="str">
        <f>IF($B267="","",IF(IFERROR(INDEX('RAID Log'!$1:$1048576,$B267,MATCH("Description",'RAID Log'!$1:$1,0)),"")="","",IFERROR(INDEX('RAID Log'!$1:$1048576,$B267,MATCH("Description",'RAID Log'!$1:$1,0)),"")))</f>
        <v/>
      </c>
      <c r="D267" s="84" t="str">
        <f>IF($B267="","",IF(IFERROR(INDEX('RAID Log'!$1:$1048576,$B267,MATCH("Impact/Effect of the RAID",'RAID Log'!$1:$1,0)),"")="","",IFERROR(INDEX('RAID Log'!$1:$1048576,$B267,MATCH("Impact/Effect of the RAID",'RAID Log'!$1:$1,0)),"")))</f>
        <v/>
      </c>
      <c r="E267" s="85" t="str">
        <f>IF($B267="","",IF(IFERROR(INDEX('RAID Log'!$1:$1048576,$B267,MATCH("Impact Area",'RAID Log'!$1:$1,0)),"")="","",IFERROR(INDEX('RAID Log'!$1:$1048576,$B267,MATCH("Impact Area",'RAID Log'!$1:$1,0)),"")))</f>
        <v/>
      </c>
      <c r="F267" s="85" t="str">
        <f>IF($B267="","",IF(IFERROR(INDEX('RAID Log'!$1:$1048576,$B267,MATCH("Impact Area",'RAID Log'!$1:$1,0)),"")="","",IFERROR(INDEX('RAID Log'!$1:$1048576,$B267,MATCH("Impact Area",'RAID Log'!$1:$1,0)),"")))</f>
        <v/>
      </c>
      <c r="G267" s="85" t="str">
        <f>IF($B267="","",IF(IFERROR(INDEX('RAID Log'!$1:$1048576,$B267,MATCH("Impact Rating",'RAID Log'!$1:$1,0)),"")="","",IFERROR(INDEX('RAID Log'!$1:$1048576,$B267,MATCH("Impact Rating",'RAID Log'!$1:$1,0)),"")))</f>
        <v/>
      </c>
      <c r="H267" s="85" t="str">
        <f>IF($B267="","",IF(IFERROR(INDEX('RAID Log'!$1:$1048576,$B267,MATCH("Initial Probability",'RAID Log'!$1:$1,0)),"")="","",IFERROR(INDEX('RAID Log'!$1:$1048576,$B267,MATCH("Initial Probability",'RAID Log'!$1:$1,0)),"")))</f>
        <v/>
      </c>
      <c r="I267" s="86" t="str">
        <f t="shared" si="12"/>
        <v/>
      </c>
      <c r="J267" s="85" t="str">
        <f t="shared" si="13"/>
        <v/>
      </c>
      <c r="K267" s="86" t="str">
        <f t="shared" si="14"/>
        <v/>
      </c>
      <c r="L267" s="85" t="str">
        <f>IF($B267="","",IF(IFERROR(INDEX('RAID Log'!$1:$1048576,$B267,MATCH("Status",'RAID Log'!$1:$1,0)),"")="","",IFERROR(INDEX('RAID Log'!$1:$1048576,$B267,MATCH("Status",'RAID Log'!$1:$1,0)),"")))</f>
        <v/>
      </c>
      <c r="M267" s="85" t="str">
        <f>IF($B267="","",IF(IFERROR(INDEX('RAID Log'!$1:$1048576,$B267,MATCH("RAID Owner",'RAID Log'!$1:$1,0)),"")="","",IFERROR(INDEX('RAID Log'!$1:$1048576,$B267,MATCH("RAID Owner",'RAID Log'!$1:$1,0)),"")))</f>
        <v/>
      </c>
      <c r="N267" s="87" t="str">
        <f>IF($B267="","",IF(IFERROR(INDEX('RAID Log'!$1:$1048576,$B267,MATCH("Date Raised",'RAID Log'!$1:$1,0)),"")="","",IFERROR(INDEX('RAID Log'!$1:$1048576,$B267,MATCH("Date Raised",'RAID Log'!$1:$1,0)),"")))</f>
        <v/>
      </c>
      <c r="O267" s="87" t="str">
        <f>IF($B267="","",IF(IFERROR(INDEX('RAID Log'!$1:$1048576,$B267,MATCH("Closed Date",'RAID Log'!$1:$1,0)),"")="","",IFERROR(INDEX('RAID Log'!$1:$1048576,$B267,MATCH("Closed Date",'RAID Log'!$1:$1,0)),"")))</f>
        <v/>
      </c>
      <c r="P267" s="85" t="str">
        <f>IF($B267="","",IF(IFERROR(INDEX('RAID Log'!$1:$1048576,$B267,MATCH("Mitigation Strategy",'RAID Log'!$1:$1,0)),"")="","",IFERROR(INDEX('RAID Log'!$1:$1048576,$B267,MATCH("Mitigation Strategy",'RAID Log'!$1:$1,0)),"")))</f>
        <v/>
      </c>
      <c r="Q267" s="88" t="str">
        <f>IF($B267="","",IF(IFERROR(INDEX('RAID Log'!$1:$1048576,$B267,MATCH("RAID Response/Plan",'RAID Log'!$1:$1,0)),"")="","",IFERROR(INDEX('RAID Log'!$1:$1048576,$B267,MATCH("RAID Response/Plan",'RAID Log'!$1:$1,0)),"")))</f>
        <v/>
      </c>
    </row>
    <row r="268" spans="1:17" ht="14.25" customHeight="1">
      <c r="A268" s="82" t="str">
        <f>IF($B268="","",IF(IFERROR(INDEX('RAID Log'!$1:$1048576,$B268,MATCH("RAID ID",'RAID Log'!$1:$1,0)),"")="","",IFERROR(INDEX('RAID Log'!$1:$1048576,$B268,MATCH("RAID ID",'RAID Log'!$1:$1,0)),"")))</f>
        <v/>
      </c>
      <c r="B268" s="83" t="str">
        <f>IFERROR(MATCH(ROW()-1,'RAID Log'!$S:$S,0),"")</f>
        <v/>
      </c>
      <c r="C268" s="84" t="str">
        <f>IF($B268="","",IF(IFERROR(INDEX('RAID Log'!$1:$1048576,$B268,MATCH("Description",'RAID Log'!$1:$1,0)),"")="","",IFERROR(INDEX('RAID Log'!$1:$1048576,$B268,MATCH("Description",'RAID Log'!$1:$1,0)),"")))</f>
        <v/>
      </c>
      <c r="D268" s="84" t="str">
        <f>IF($B268="","",IF(IFERROR(INDEX('RAID Log'!$1:$1048576,$B268,MATCH("Impact/Effect of the RAID",'RAID Log'!$1:$1,0)),"")="","",IFERROR(INDEX('RAID Log'!$1:$1048576,$B268,MATCH("Impact/Effect of the RAID",'RAID Log'!$1:$1,0)),"")))</f>
        <v/>
      </c>
      <c r="E268" s="85" t="str">
        <f>IF($B268="","",IF(IFERROR(INDEX('RAID Log'!$1:$1048576,$B268,MATCH("Impact Area",'RAID Log'!$1:$1,0)),"")="","",IFERROR(INDEX('RAID Log'!$1:$1048576,$B268,MATCH("Impact Area",'RAID Log'!$1:$1,0)),"")))</f>
        <v/>
      </c>
      <c r="F268" s="85" t="str">
        <f>IF($B268="","",IF(IFERROR(INDEX('RAID Log'!$1:$1048576,$B268,MATCH("Impact Area",'RAID Log'!$1:$1,0)),"")="","",IFERROR(INDEX('RAID Log'!$1:$1048576,$B268,MATCH("Impact Area",'RAID Log'!$1:$1,0)),"")))</f>
        <v/>
      </c>
      <c r="G268" s="85" t="str">
        <f>IF($B268="","",IF(IFERROR(INDEX('RAID Log'!$1:$1048576,$B268,MATCH("Impact Rating",'RAID Log'!$1:$1,0)),"")="","",IFERROR(INDEX('RAID Log'!$1:$1048576,$B268,MATCH("Impact Rating",'RAID Log'!$1:$1,0)),"")))</f>
        <v/>
      </c>
      <c r="H268" s="85" t="str">
        <f>IF($B268="","",IF(IFERROR(INDEX('RAID Log'!$1:$1048576,$B268,MATCH("Initial Probability",'RAID Log'!$1:$1,0)),"")="","",IFERROR(INDEX('RAID Log'!$1:$1048576,$B268,MATCH("Initial Probability",'RAID Log'!$1:$1,0)),"")))</f>
        <v/>
      </c>
      <c r="I268" s="86" t="str">
        <f t="shared" si="12"/>
        <v/>
      </c>
      <c r="J268" s="85" t="str">
        <f t="shared" si="13"/>
        <v/>
      </c>
      <c r="K268" s="86" t="str">
        <f t="shared" si="14"/>
        <v/>
      </c>
      <c r="L268" s="85" t="str">
        <f>IF($B268="","",IF(IFERROR(INDEX('RAID Log'!$1:$1048576,$B268,MATCH("Status",'RAID Log'!$1:$1,0)),"")="","",IFERROR(INDEX('RAID Log'!$1:$1048576,$B268,MATCH("Status",'RAID Log'!$1:$1,0)),"")))</f>
        <v/>
      </c>
      <c r="M268" s="85" t="str">
        <f>IF($B268="","",IF(IFERROR(INDEX('RAID Log'!$1:$1048576,$B268,MATCH("RAID Owner",'RAID Log'!$1:$1,0)),"")="","",IFERROR(INDEX('RAID Log'!$1:$1048576,$B268,MATCH("RAID Owner",'RAID Log'!$1:$1,0)),"")))</f>
        <v/>
      </c>
      <c r="N268" s="87" t="str">
        <f>IF($B268="","",IF(IFERROR(INDEX('RAID Log'!$1:$1048576,$B268,MATCH("Date Raised",'RAID Log'!$1:$1,0)),"")="","",IFERROR(INDEX('RAID Log'!$1:$1048576,$B268,MATCH("Date Raised",'RAID Log'!$1:$1,0)),"")))</f>
        <v/>
      </c>
      <c r="O268" s="87" t="str">
        <f>IF($B268="","",IF(IFERROR(INDEX('RAID Log'!$1:$1048576,$B268,MATCH("Closed Date",'RAID Log'!$1:$1,0)),"")="","",IFERROR(INDEX('RAID Log'!$1:$1048576,$B268,MATCH("Closed Date",'RAID Log'!$1:$1,0)),"")))</f>
        <v/>
      </c>
      <c r="P268" s="85" t="str">
        <f>IF($B268="","",IF(IFERROR(INDEX('RAID Log'!$1:$1048576,$B268,MATCH("Mitigation Strategy",'RAID Log'!$1:$1,0)),"")="","",IFERROR(INDEX('RAID Log'!$1:$1048576,$B268,MATCH("Mitigation Strategy",'RAID Log'!$1:$1,0)),"")))</f>
        <v/>
      </c>
      <c r="Q268" s="88" t="str">
        <f>IF($B268="","",IF(IFERROR(INDEX('RAID Log'!$1:$1048576,$B268,MATCH("RAID Response/Plan",'RAID Log'!$1:$1,0)),"")="","",IFERROR(INDEX('RAID Log'!$1:$1048576,$B268,MATCH("RAID Response/Plan",'RAID Log'!$1:$1,0)),"")))</f>
        <v/>
      </c>
    </row>
    <row r="269" spans="1:17" ht="14.25" customHeight="1">
      <c r="A269" s="82" t="str">
        <f>IF($B269="","",IF(IFERROR(INDEX('RAID Log'!$1:$1048576,$B269,MATCH("RAID ID",'RAID Log'!$1:$1,0)),"")="","",IFERROR(INDEX('RAID Log'!$1:$1048576,$B269,MATCH("RAID ID",'RAID Log'!$1:$1,0)),"")))</f>
        <v/>
      </c>
      <c r="B269" s="83" t="str">
        <f>IFERROR(MATCH(ROW()-1,'RAID Log'!$S:$S,0),"")</f>
        <v/>
      </c>
      <c r="C269" s="84" t="str">
        <f>IF($B269="","",IF(IFERROR(INDEX('RAID Log'!$1:$1048576,$B269,MATCH("Description",'RAID Log'!$1:$1,0)),"")="","",IFERROR(INDEX('RAID Log'!$1:$1048576,$B269,MATCH("Description",'RAID Log'!$1:$1,0)),"")))</f>
        <v/>
      </c>
      <c r="D269" s="84" t="str">
        <f>IF($B269="","",IF(IFERROR(INDEX('RAID Log'!$1:$1048576,$B269,MATCH("Impact/Effect of the RAID",'RAID Log'!$1:$1,0)),"")="","",IFERROR(INDEX('RAID Log'!$1:$1048576,$B269,MATCH("Impact/Effect of the RAID",'RAID Log'!$1:$1,0)),"")))</f>
        <v/>
      </c>
      <c r="E269" s="85" t="str">
        <f>IF($B269="","",IF(IFERROR(INDEX('RAID Log'!$1:$1048576,$B269,MATCH("Impact Area",'RAID Log'!$1:$1,0)),"")="","",IFERROR(INDEX('RAID Log'!$1:$1048576,$B269,MATCH("Impact Area",'RAID Log'!$1:$1,0)),"")))</f>
        <v/>
      </c>
      <c r="F269" s="85" t="str">
        <f>IF($B269="","",IF(IFERROR(INDEX('RAID Log'!$1:$1048576,$B269,MATCH("Impact Area",'RAID Log'!$1:$1,0)),"")="","",IFERROR(INDEX('RAID Log'!$1:$1048576,$B269,MATCH("Impact Area",'RAID Log'!$1:$1,0)),"")))</f>
        <v/>
      </c>
      <c r="G269" s="85" t="str">
        <f>IF($B269="","",IF(IFERROR(INDEX('RAID Log'!$1:$1048576,$B269,MATCH("Impact Rating",'RAID Log'!$1:$1,0)),"")="","",IFERROR(INDEX('RAID Log'!$1:$1048576,$B269,MATCH("Impact Rating",'RAID Log'!$1:$1,0)),"")))</f>
        <v/>
      </c>
      <c r="H269" s="85" t="str">
        <f>IF($B269="","",IF(IFERROR(INDEX('RAID Log'!$1:$1048576,$B269,MATCH("Initial Probability",'RAID Log'!$1:$1,0)),"")="","",IFERROR(INDEX('RAID Log'!$1:$1048576,$B269,MATCH("Initial Probability",'RAID Log'!$1:$1,0)),"")))</f>
        <v/>
      </c>
      <c r="I269" s="86" t="str">
        <f t="shared" si="12"/>
        <v/>
      </c>
      <c r="J269" s="85" t="str">
        <f t="shared" si="13"/>
        <v/>
      </c>
      <c r="K269" s="86" t="str">
        <f t="shared" si="14"/>
        <v/>
      </c>
      <c r="L269" s="85" t="str">
        <f>IF($B269="","",IF(IFERROR(INDEX('RAID Log'!$1:$1048576,$B269,MATCH("Status",'RAID Log'!$1:$1,0)),"")="","",IFERROR(INDEX('RAID Log'!$1:$1048576,$B269,MATCH("Status",'RAID Log'!$1:$1,0)),"")))</f>
        <v/>
      </c>
      <c r="M269" s="85" t="str">
        <f>IF($B269="","",IF(IFERROR(INDEX('RAID Log'!$1:$1048576,$B269,MATCH("RAID Owner",'RAID Log'!$1:$1,0)),"")="","",IFERROR(INDEX('RAID Log'!$1:$1048576,$B269,MATCH("RAID Owner",'RAID Log'!$1:$1,0)),"")))</f>
        <v/>
      </c>
      <c r="N269" s="87" t="str">
        <f>IF($B269="","",IF(IFERROR(INDEX('RAID Log'!$1:$1048576,$B269,MATCH("Date Raised",'RAID Log'!$1:$1,0)),"")="","",IFERROR(INDEX('RAID Log'!$1:$1048576,$B269,MATCH("Date Raised",'RAID Log'!$1:$1,0)),"")))</f>
        <v/>
      </c>
      <c r="O269" s="87" t="str">
        <f>IF($B269="","",IF(IFERROR(INDEX('RAID Log'!$1:$1048576,$B269,MATCH("Closed Date",'RAID Log'!$1:$1,0)),"")="","",IFERROR(INDEX('RAID Log'!$1:$1048576,$B269,MATCH("Closed Date",'RAID Log'!$1:$1,0)),"")))</f>
        <v/>
      </c>
      <c r="P269" s="85" t="str">
        <f>IF($B269="","",IF(IFERROR(INDEX('RAID Log'!$1:$1048576,$B269,MATCH("Mitigation Strategy",'RAID Log'!$1:$1,0)),"")="","",IFERROR(INDEX('RAID Log'!$1:$1048576,$B269,MATCH("Mitigation Strategy",'RAID Log'!$1:$1,0)),"")))</f>
        <v/>
      </c>
      <c r="Q269" s="88" t="str">
        <f>IF($B269="","",IF(IFERROR(INDEX('RAID Log'!$1:$1048576,$B269,MATCH("RAID Response/Plan",'RAID Log'!$1:$1,0)),"")="","",IFERROR(INDEX('RAID Log'!$1:$1048576,$B269,MATCH("RAID Response/Plan",'RAID Log'!$1:$1,0)),"")))</f>
        <v/>
      </c>
    </row>
    <row r="270" spans="1:17" ht="14.25" customHeight="1">
      <c r="A270" s="82" t="str">
        <f>IF($B270="","",IF(IFERROR(INDEX('RAID Log'!$1:$1048576,$B270,MATCH("RAID ID",'RAID Log'!$1:$1,0)),"")="","",IFERROR(INDEX('RAID Log'!$1:$1048576,$B270,MATCH("RAID ID",'RAID Log'!$1:$1,0)),"")))</f>
        <v/>
      </c>
      <c r="B270" s="83" t="str">
        <f>IFERROR(MATCH(ROW()-1,'RAID Log'!$S:$S,0),"")</f>
        <v/>
      </c>
      <c r="C270" s="84" t="str">
        <f>IF($B270="","",IF(IFERROR(INDEX('RAID Log'!$1:$1048576,$B270,MATCH("Description",'RAID Log'!$1:$1,0)),"")="","",IFERROR(INDEX('RAID Log'!$1:$1048576,$B270,MATCH("Description",'RAID Log'!$1:$1,0)),"")))</f>
        <v/>
      </c>
      <c r="D270" s="84" t="str">
        <f>IF($B270="","",IF(IFERROR(INDEX('RAID Log'!$1:$1048576,$B270,MATCH("Impact/Effect of the RAID",'RAID Log'!$1:$1,0)),"")="","",IFERROR(INDEX('RAID Log'!$1:$1048576,$B270,MATCH("Impact/Effect of the RAID",'RAID Log'!$1:$1,0)),"")))</f>
        <v/>
      </c>
      <c r="E270" s="85" t="str">
        <f>IF($B270="","",IF(IFERROR(INDEX('RAID Log'!$1:$1048576,$B270,MATCH("Impact Area",'RAID Log'!$1:$1,0)),"")="","",IFERROR(INDEX('RAID Log'!$1:$1048576,$B270,MATCH("Impact Area",'RAID Log'!$1:$1,0)),"")))</f>
        <v/>
      </c>
      <c r="F270" s="85" t="str">
        <f>IF($B270="","",IF(IFERROR(INDEX('RAID Log'!$1:$1048576,$B270,MATCH("Impact Area",'RAID Log'!$1:$1,0)),"")="","",IFERROR(INDEX('RAID Log'!$1:$1048576,$B270,MATCH("Impact Area",'RAID Log'!$1:$1,0)),"")))</f>
        <v/>
      </c>
      <c r="G270" s="85" t="str">
        <f>IF($B270="","",IF(IFERROR(INDEX('RAID Log'!$1:$1048576,$B270,MATCH("Impact Rating",'RAID Log'!$1:$1,0)),"")="","",IFERROR(INDEX('RAID Log'!$1:$1048576,$B270,MATCH("Impact Rating",'RAID Log'!$1:$1,0)),"")))</f>
        <v/>
      </c>
      <c r="H270" s="85" t="str">
        <f>IF($B270="","",IF(IFERROR(INDEX('RAID Log'!$1:$1048576,$B270,MATCH("Initial Probability",'RAID Log'!$1:$1,0)),"")="","",IFERROR(INDEX('RAID Log'!$1:$1048576,$B270,MATCH("Initial Probability",'RAID Log'!$1:$1,0)),"")))</f>
        <v/>
      </c>
      <c r="I270" s="86" t="str">
        <f t="shared" si="12"/>
        <v/>
      </c>
      <c r="J270" s="85" t="str">
        <f t="shared" si="13"/>
        <v/>
      </c>
      <c r="K270" s="86" t="str">
        <f t="shared" si="14"/>
        <v/>
      </c>
      <c r="L270" s="85" t="str">
        <f>IF($B270="","",IF(IFERROR(INDEX('RAID Log'!$1:$1048576,$B270,MATCH("Status",'RAID Log'!$1:$1,0)),"")="","",IFERROR(INDEX('RAID Log'!$1:$1048576,$B270,MATCH("Status",'RAID Log'!$1:$1,0)),"")))</f>
        <v/>
      </c>
      <c r="M270" s="85" t="str">
        <f>IF($B270="","",IF(IFERROR(INDEX('RAID Log'!$1:$1048576,$B270,MATCH("RAID Owner",'RAID Log'!$1:$1,0)),"")="","",IFERROR(INDEX('RAID Log'!$1:$1048576,$B270,MATCH("RAID Owner",'RAID Log'!$1:$1,0)),"")))</f>
        <v/>
      </c>
      <c r="N270" s="87" t="str">
        <f>IF($B270="","",IF(IFERROR(INDEX('RAID Log'!$1:$1048576,$B270,MATCH("Date Raised",'RAID Log'!$1:$1,0)),"")="","",IFERROR(INDEX('RAID Log'!$1:$1048576,$B270,MATCH("Date Raised",'RAID Log'!$1:$1,0)),"")))</f>
        <v/>
      </c>
      <c r="O270" s="87" t="str">
        <f>IF($B270="","",IF(IFERROR(INDEX('RAID Log'!$1:$1048576,$B270,MATCH("Closed Date",'RAID Log'!$1:$1,0)),"")="","",IFERROR(INDEX('RAID Log'!$1:$1048576,$B270,MATCH("Closed Date",'RAID Log'!$1:$1,0)),"")))</f>
        <v/>
      </c>
      <c r="P270" s="85" t="str">
        <f>IF($B270="","",IF(IFERROR(INDEX('RAID Log'!$1:$1048576,$B270,MATCH("Mitigation Strategy",'RAID Log'!$1:$1,0)),"")="","",IFERROR(INDEX('RAID Log'!$1:$1048576,$B270,MATCH("Mitigation Strategy",'RAID Log'!$1:$1,0)),"")))</f>
        <v/>
      </c>
      <c r="Q270" s="88" t="str">
        <f>IF($B270="","",IF(IFERROR(INDEX('RAID Log'!$1:$1048576,$B270,MATCH("RAID Response/Plan",'RAID Log'!$1:$1,0)),"")="","",IFERROR(INDEX('RAID Log'!$1:$1048576,$B270,MATCH("RAID Response/Plan",'RAID Log'!$1:$1,0)),"")))</f>
        <v/>
      </c>
    </row>
    <row r="271" spans="1:17" ht="14.25" customHeight="1">
      <c r="A271" s="82" t="str">
        <f>IF($B271="","",IF(IFERROR(INDEX('RAID Log'!$1:$1048576,$B271,MATCH("RAID ID",'RAID Log'!$1:$1,0)),"")="","",IFERROR(INDEX('RAID Log'!$1:$1048576,$B271,MATCH("RAID ID",'RAID Log'!$1:$1,0)),"")))</f>
        <v/>
      </c>
      <c r="B271" s="83" t="str">
        <f>IFERROR(MATCH(ROW()-1,'RAID Log'!$S:$S,0),"")</f>
        <v/>
      </c>
      <c r="C271" s="84" t="str">
        <f>IF($B271="","",IF(IFERROR(INDEX('RAID Log'!$1:$1048576,$B271,MATCH("Description",'RAID Log'!$1:$1,0)),"")="","",IFERROR(INDEX('RAID Log'!$1:$1048576,$B271,MATCH("Description",'RAID Log'!$1:$1,0)),"")))</f>
        <v/>
      </c>
      <c r="D271" s="84" t="str">
        <f>IF($B271="","",IF(IFERROR(INDEX('RAID Log'!$1:$1048576,$B271,MATCH("Impact/Effect of the RAID",'RAID Log'!$1:$1,0)),"")="","",IFERROR(INDEX('RAID Log'!$1:$1048576,$B271,MATCH("Impact/Effect of the RAID",'RAID Log'!$1:$1,0)),"")))</f>
        <v/>
      </c>
      <c r="E271" s="85" t="str">
        <f>IF($B271="","",IF(IFERROR(INDEX('RAID Log'!$1:$1048576,$B271,MATCH("Impact Area",'RAID Log'!$1:$1,0)),"")="","",IFERROR(INDEX('RAID Log'!$1:$1048576,$B271,MATCH("Impact Area",'RAID Log'!$1:$1,0)),"")))</f>
        <v/>
      </c>
      <c r="F271" s="85" t="str">
        <f>IF($B271="","",IF(IFERROR(INDEX('RAID Log'!$1:$1048576,$B271,MATCH("Impact Area",'RAID Log'!$1:$1,0)),"")="","",IFERROR(INDEX('RAID Log'!$1:$1048576,$B271,MATCH("Impact Area",'RAID Log'!$1:$1,0)),"")))</f>
        <v/>
      </c>
      <c r="G271" s="85" t="str">
        <f>IF($B271="","",IF(IFERROR(INDEX('RAID Log'!$1:$1048576,$B271,MATCH("Impact Rating",'RAID Log'!$1:$1,0)),"")="","",IFERROR(INDEX('RAID Log'!$1:$1048576,$B271,MATCH("Impact Rating",'RAID Log'!$1:$1,0)),"")))</f>
        <v/>
      </c>
      <c r="H271" s="85" t="str">
        <f>IF($B271="","",IF(IFERROR(INDEX('RAID Log'!$1:$1048576,$B271,MATCH("Initial Probability",'RAID Log'!$1:$1,0)),"")="","",IFERROR(INDEX('RAID Log'!$1:$1048576,$B271,MATCH("Initial Probability",'RAID Log'!$1:$1,0)),"")))</f>
        <v/>
      </c>
      <c r="I271" s="86" t="str">
        <f t="shared" si="12"/>
        <v/>
      </c>
      <c r="J271" s="85" t="str">
        <f t="shared" si="13"/>
        <v/>
      </c>
      <c r="K271" s="86" t="str">
        <f t="shared" si="14"/>
        <v/>
      </c>
      <c r="L271" s="85" t="str">
        <f>IF($B271="","",IF(IFERROR(INDEX('RAID Log'!$1:$1048576,$B271,MATCH("Status",'RAID Log'!$1:$1,0)),"")="","",IFERROR(INDEX('RAID Log'!$1:$1048576,$B271,MATCH("Status",'RAID Log'!$1:$1,0)),"")))</f>
        <v/>
      </c>
      <c r="M271" s="85" t="str">
        <f>IF($B271="","",IF(IFERROR(INDEX('RAID Log'!$1:$1048576,$B271,MATCH("RAID Owner",'RAID Log'!$1:$1,0)),"")="","",IFERROR(INDEX('RAID Log'!$1:$1048576,$B271,MATCH("RAID Owner",'RAID Log'!$1:$1,0)),"")))</f>
        <v/>
      </c>
      <c r="N271" s="87" t="str">
        <f>IF($B271="","",IF(IFERROR(INDEX('RAID Log'!$1:$1048576,$B271,MATCH("Date Raised",'RAID Log'!$1:$1,0)),"")="","",IFERROR(INDEX('RAID Log'!$1:$1048576,$B271,MATCH("Date Raised",'RAID Log'!$1:$1,0)),"")))</f>
        <v/>
      </c>
      <c r="O271" s="87" t="str">
        <f>IF($B271="","",IF(IFERROR(INDEX('RAID Log'!$1:$1048576,$B271,MATCH("Closed Date",'RAID Log'!$1:$1,0)),"")="","",IFERROR(INDEX('RAID Log'!$1:$1048576,$B271,MATCH("Closed Date",'RAID Log'!$1:$1,0)),"")))</f>
        <v/>
      </c>
      <c r="P271" s="85" t="str">
        <f>IF($B271="","",IF(IFERROR(INDEX('RAID Log'!$1:$1048576,$B271,MATCH("Mitigation Strategy",'RAID Log'!$1:$1,0)),"")="","",IFERROR(INDEX('RAID Log'!$1:$1048576,$B271,MATCH("Mitigation Strategy",'RAID Log'!$1:$1,0)),"")))</f>
        <v/>
      </c>
      <c r="Q271" s="88" t="str">
        <f>IF($B271="","",IF(IFERROR(INDEX('RAID Log'!$1:$1048576,$B271,MATCH("RAID Response/Plan",'RAID Log'!$1:$1,0)),"")="","",IFERROR(INDEX('RAID Log'!$1:$1048576,$B271,MATCH("RAID Response/Plan",'RAID Log'!$1:$1,0)),"")))</f>
        <v/>
      </c>
    </row>
    <row r="272" spans="1:17" ht="14.25" customHeight="1">
      <c r="A272" s="82" t="str">
        <f>IF($B272="","",IF(IFERROR(INDEX('RAID Log'!$1:$1048576,$B272,MATCH("RAID ID",'RAID Log'!$1:$1,0)),"")="","",IFERROR(INDEX('RAID Log'!$1:$1048576,$B272,MATCH("RAID ID",'RAID Log'!$1:$1,0)),"")))</f>
        <v/>
      </c>
      <c r="B272" s="83" t="str">
        <f>IFERROR(MATCH(ROW()-1,'RAID Log'!$S:$S,0),"")</f>
        <v/>
      </c>
      <c r="C272" s="84" t="str">
        <f>IF($B272="","",IF(IFERROR(INDEX('RAID Log'!$1:$1048576,$B272,MATCH("Description",'RAID Log'!$1:$1,0)),"")="","",IFERROR(INDEX('RAID Log'!$1:$1048576,$B272,MATCH("Description",'RAID Log'!$1:$1,0)),"")))</f>
        <v/>
      </c>
      <c r="D272" s="84" t="str">
        <f>IF($B272="","",IF(IFERROR(INDEX('RAID Log'!$1:$1048576,$B272,MATCH("Impact/Effect of the RAID",'RAID Log'!$1:$1,0)),"")="","",IFERROR(INDEX('RAID Log'!$1:$1048576,$B272,MATCH("Impact/Effect of the RAID",'RAID Log'!$1:$1,0)),"")))</f>
        <v/>
      </c>
      <c r="E272" s="85" t="str">
        <f>IF($B272="","",IF(IFERROR(INDEX('RAID Log'!$1:$1048576,$B272,MATCH("Impact Area",'RAID Log'!$1:$1,0)),"")="","",IFERROR(INDEX('RAID Log'!$1:$1048576,$B272,MATCH("Impact Area",'RAID Log'!$1:$1,0)),"")))</f>
        <v/>
      </c>
      <c r="F272" s="85" t="str">
        <f>IF($B272="","",IF(IFERROR(INDEX('RAID Log'!$1:$1048576,$B272,MATCH("Impact Area",'RAID Log'!$1:$1,0)),"")="","",IFERROR(INDEX('RAID Log'!$1:$1048576,$B272,MATCH("Impact Area",'RAID Log'!$1:$1,0)),"")))</f>
        <v/>
      </c>
      <c r="G272" s="85" t="str">
        <f>IF($B272="","",IF(IFERROR(INDEX('RAID Log'!$1:$1048576,$B272,MATCH("Impact Rating",'RAID Log'!$1:$1,0)),"")="","",IFERROR(INDEX('RAID Log'!$1:$1048576,$B272,MATCH("Impact Rating",'RAID Log'!$1:$1,0)),"")))</f>
        <v/>
      </c>
      <c r="H272" s="85" t="str">
        <f>IF($B272="","",IF(IFERROR(INDEX('RAID Log'!$1:$1048576,$B272,MATCH("Initial Probability",'RAID Log'!$1:$1,0)),"")="","",IFERROR(INDEX('RAID Log'!$1:$1048576,$B272,MATCH("Initial Probability",'RAID Log'!$1:$1,0)),"")))</f>
        <v/>
      </c>
      <c r="I272" s="86" t="str">
        <f t="shared" si="12"/>
        <v/>
      </c>
      <c r="J272" s="85" t="str">
        <f t="shared" si="13"/>
        <v/>
      </c>
      <c r="K272" s="86" t="str">
        <f t="shared" si="14"/>
        <v/>
      </c>
      <c r="L272" s="85" t="str">
        <f>IF($B272="","",IF(IFERROR(INDEX('RAID Log'!$1:$1048576,$B272,MATCH("Status",'RAID Log'!$1:$1,0)),"")="","",IFERROR(INDEX('RAID Log'!$1:$1048576,$B272,MATCH("Status",'RAID Log'!$1:$1,0)),"")))</f>
        <v/>
      </c>
      <c r="M272" s="85" t="str">
        <f>IF($B272="","",IF(IFERROR(INDEX('RAID Log'!$1:$1048576,$B272,MATCH("RAID Owner",'RAID Log'!$1:$1,0)),"")="","",IFERROR(INDEX('RAID Log'!$1:$1048576,$B272,MATCH("RAID Owner",'RAID Log'!$1:$1,0)),"")))</f>
        <v/>
      </c>
      <c r="N272" s="87" t="str">
        <f>IF($B272="","",IF(IFERROR(INDEX('RAID Log'!$1:$1048576,$B272,MATCH("Date Raised",'RAID Log'!$1:$1,0)),"")="","",IFERROR(INDEX('RAID Log'!$1:$1048576,$B272,MATCH("Date Raised",'RAID Log'!$1:$1,0)),"")))</f>
        <v/>
      </c>
      <c r="O272" s="87" t="str">
        <f>IF($B272="","",IF(IFERROR(INDEX('RAID Log'!$1:$1048576,$B272,MATCH("Closed Date",'RAID Log'!$1:$1,0)),"")="","",IFERROR(INDEX('RAID Log'!$1:$1048576,$B272,MATCH("Closed Date",'RAID Log'!$1:$1,0)),"")))</f>
        <v/>
      </c>
      <c r="P272" s="85" t="str">
        <f>IF($B272="","",IF(IFERROR(INDEX('RAID Log'!$1:$1048576,$B272,MATCH("Mitigation Strategy",'RAID Log'!$1:$1,0)),"")="","",IFERROR(INDEX('RAID Log'!$1:$1048576,$B272,MATCH("Mitigation Strategy",'RAID Log'!$1:$1,0)),"")))</f>
        <v/>
      </c>
      <c r="Q272" s="88" t="str">
        <f>IF($B272="","",IF(IFERROR(INDEX('RAID Log'!$1:$1048576,$B272,MATCH("RAID Response/Plan",'RAID Log'!$1:$1,0)),"")="","",IFERROR(INDEX('RAID Log'!$1:$1048576,$B272,MATCH("RAID Response/Plan",'RAID Log'!$1:$1,0)),"")))</f>
        <v/>
      </c>
    </row>
    <row r="273" spans="1:17" ht="14.25" customHeight="1">
      <c r="A273" s="82" t="str">
        <f>IF($B273="","",IF(IFERROR(INDEX('RAID Log'!$1:$1048576,$B273,MATCH("RAID ID",'RAID Log'!$1:$1,0)),"")="","",IFERROR(INDEX('RAID Log'!$1:$1048576,$B273,MATCH("RAID ID",'RAID Log'!$1:$1,0)),"")))</f>
        <v/>
      </c>
      <c r="B273" s="83" t="str">
        <f>IFERROR(MATCH(ROW()-1,'RAID Log'!$S:$S,0),"")</f>
        <v/>
      </c>
      <c r="C273" s="84" t="str">
        <f>IF($B273="","",IF(IFERROR(INDEX('RAID Log'!$1:$1048576,$B273,MATCH("Description",'RAID Log'!$1:$1,0)),"")="","",IFERROR(INDEX('RAID Log'!$1:$1048576,$B273,MATCH("Description",'RAID Log'!$1:$1,0)),"")))</f>
        <v/>
      </c>
      <c r="D273" s="84" t="str">
        <f>IF($B273="","",IF(IFERROR(INDEX('RAID Log'!$1:$1048576,$B273,MATCH("Impact/Effect of the RAID",'RAID Log'!$1:$1,0)),"")="","",IFERROR(INDEX('RAID Log'!$1:$1048576,$B273,MATCH("Impact/Effect of the RAID",'RAID Log'!$1:$1,0)),"")))</f>
        <v/>
      </c>
      <c r="E273" s="85" t="str">
        <f>IF($B273="","",IF(IFERROR(INDEX('RAID Log'!$1:$1048576,$B273,MATCH("Impact Area",'RAID Log'!$1:$1,0)),"")="","",IFERROR(INDEX('RAID Log'!$1:$1048576,$B273,MATCH("Impact Area",'RAID Log'!$1:$1,0)),"")))</f>
        <v/>
      </c>
      <c r="F273" s="85" t="str">
        <f>IF($B273="","",IF(IFERROR(INDEX('RAID Log'!$1:$1048576,$B273,MATCH("Impact Area",'RAID Log'!$1:$1,0)),"")="","",IFERROR(INDEX('RAID Log'!$1:$1048576,$B273,MATCH("Impact Area",'RAID Log'!$1:$1,0)),"")))</f>
        <v/>
      </c>
      <c r="G273" s="85" t="str">
        <f>IF($B273="","",IF(IFERROR(INDEX('RAID Log'!$1:$1048576,$B273,MATCH("Impact Rating",'RAID Log'!$1:$1,0)),"")="","",IFERROR(INDEX('RAID Log'!$1:$1048576,$B273,MATCH("Impact Rating",'RAID Log'!$1:$1,0)),"")))</f>
        <v/>
      </c>
      <c r="H273" s="85" t="str">
        <f>IF($B273="","",IF(IFERROR(INDEX('RAID Log'!$1:$1048576,$B273,MATCH("Initial Probability",'RAID Log'!$1:$1,0)),"")="","",IFERROR(INDEX('RAID Log'!$1:$1048576,$B273,MATCH("Initial Probability",'RAID Log'!$1:$1,0)),"")))</f>
        <v/>
      </c>
      <c r="I273" s="86" t="str">
        <f t="shared" si="12"/>
        <v/>
      </c>
      <c r="J273" s="85" t="str">
        <f t="shared" si="13"/>
        <v/>
      </c>
      <c r="K273" s="86" t="str">
        <f t="shared" si="14"/>
        <v/>
      </c>
      <c r="L273" s="85" t="str">
        <f>IF($B273="","",IF(IFERROR(INDEX('RAID Log'!$1:$1048576,$B273,MATCH("Status",'RAID Log'!$1:$1,0)),"")="","",IFERROR(INDEX('RAID Log'!$1:$1048576,$B273,MATCH("Status",'RAID Log'!$1:$1,0)),"")))</f>
        <v/>
      </c>
      <c r="M273" s="85" t="str">
        <f>IF($B273="","",IF(IFERROR(INDEX('RAID Log'!$1:$1048576,$B273,MATCH("RAID Owner",'RAID Log'!$1:$1,0)),"")="","",IFERROR(INDEX('RAID Log'!$1:$1048576,$B273,MATCH("RAID Owner",'RAID Log'!$1:$1,0)),"")))</f>
        <v/>
      </c>
      <c r="N273" s="87" t="str">
        <f>IF($B273="","",IF(IFERROR(INDEX('RAID Log'!$1:$1048576,$B273,MATCH("Date Raised",'RAID Log'!$1:$1,0)),"")="","",IFERROR(INDEX('RAID Log'!$1:$1048576,$B273,MATCH("Date Raised",'RAID Log'!$1:$1,0)),"")))</f>
        <v/>
      </c>
      <c r="O273" s="87" t="str">
        <f>IF($B273="","",IF(IFERROR(INDEX('RAID Log'!$1:$1048576,$B273,MATCH("Closed Date",'RAID Log'!$1:$1,0)),"")="","",IFERROR(INDEX('RAID Log'!$1:$1048576,$B273,MATCH("Closed Date",'RAID Log'!$1:$1,0)),"")))</f>
        <v/>
      </c>
      <c r="P273" s="85" t="str">
        <f>IF($B273="","",IF(IFERROR(INDEX('RAID Log'!$1:$1048576,$B273,MATCH("Mitigation Strategy",'RAID Log'!$1:$1,0)),"")="","",IFERROR(INDEX('RAID Log'!$1:$1048576,$B273,MATCH("Mitigation Strategy",'RAID Log'!$1:$1,0)),"")))</f>
        <v/>
      </c>
      <c r="Q273" s="88" t="str">
        <f>IF($B273="","",IF(IFERROR(INDEX('RAID Log'!$1:$1048576,$B273,MATCH("RAID Response/Plan",'RAID Log'!$1:$1,0)),"")="","",IFERROR(INDEX('RAID Log'!$1:$1048576,$B273,MATCH("RAID Response/Plan",'RAID Log'!$1:$1,0)),"")))</f>
        <v/>
      </c>
    </row>
    <row r="274" spans="1:17" ht="14.25" customHeight="1">
      <c r="A274" s="82" t="str">
        <f>IF($B274="","",IF(IFERROR(INDEX('RAID Log'!$1:$1048576,$B274,MATCH("RAID ID",'RAID Log'!$1:$1,0)),"")="","",IFERROR(INDEX('RAID Log'!$1:$1048576,$B274,MATCH("RAID ID",'RAID Log'!$1:$1,0)),"")))</f>
        <v/>
      </c>
      <c r="B274" s="83" t="str">
        <f>IFERROR(MATCH(ROW()-1,'RAID Log'!$S:$S,0),"")</f>
        <v/>
      </c>
      <c r="C274" s="84" t="str">
        <f>IF($B274="","",IF(IFERROR(INDEX('RAID Log'!$1:$1048576,$B274,MATCH("Description",'RAID Log'!$1:$1,0)),"")="","",IFERROR(INDEX('RAID Log'!$1:$1048576,$B274,MATCH("Description",'RAID Log'!$1:$1,0)),"")))</f>
        <v/>
      </c>
      <c r="D274" s="84" t="str">
        <f>IF($B274="","",IF(IFERROR(INDEX('RAID Log'!$1:$1048576,$B274,MATCH("Impact/Effect of the RAID",'RAID Log'!$1:$1,0)),"")="","",IFERROR(INDEX('RAID Log'!$1:$1048576,$B274,MATCH("Impact/Effect of the RAID",'RAID Log'!$1:$1,0)),"")))</f>
        <v/>
      </c>
      <c r="E274" s="85" t="str">
        <f>IF($B274="","",IF(IFERROR(INDEX('RAID Log'!$1:$1048576,$B274,MATCH("Impact Area",'RAID Log'!$1:$1,0)),"")="","",IFERROR(INDEX('RAID Log'!$1:$1048576,$B274,MATCH("Impact Area",'RAID Log'!$1:$1,0)),"")))</f>
        <v/>
      </c>
      <c r="F274" s="85" t="str">
        <f>IF($B274="","",IF(IFERROR(INDEX('RAID Log'!$1:$1048576,$B274,MATCH("Impact Area",'RAID Log'!$1:$1,0)),"")="","",IFERROR(INDEX('RAID Log'!$1:$1048576,$B274,MATCH("Impact Area",'RAID Log'!$1:$1,0)),"")))</f>
        <v/>
      </c>
      <c r="G274" s="85" t="str">
        <f>IF($B274="","",IF(IFERROR(INDEX('RAID Log'!$1:$1048576,$B274,MATCH("Impact Rating",'RAID Log'!$1:$1,0)),"")="","",IFERROR(INDEX('RAID Log'!$1:$1048576,$B274,MATCH("Impact Rating",'RAID Log'!$1:$1,0)),"")))</f>
        <v/>
      </c>
      <c r="H274" s="85" t="str">
        <f>IF($B274="","",IF(IFERROR(INDEX('RAID Log'!$1:$1048576,$B274,MATCH("Initial Probability",'RAID Log'!$1:$1,0)),"")="","",IFERROR(INDEX('RAID Log'!$1:$1048576,$B274,MATCH("Initial Probability",'RAID Log'!$1:$1,0)),"")))</f>
        <v/>
      </c>
      <c r="I274" s="86" t="str">
        <f t="shared" si="12"/>
        <v/>
      </c>
      <c r="J274" s="85" t="str">
        <f t="shared" si="13"/>
        <v/>
      </c>
      <c r="K274" s="86" t="str">
        <f t="shared" si="14"/>
        <v/>
      </c>
      <c r="L274" s="85" t="str">
        <f>IF($B274="","",IF(IFERROR(INDEX('RAID Log'!$1:$1048576,$B274,MATCH("Status",'RAID Log'!$1:$1,0)),"")="","",IFERROR(INDEX('RAID Log'!$1:$1048576,$B274,MATCH("Status",'RAID Log'!$1:$1,0)),"")))</f>
        <v/>
      </c>
      <c r="M274" s="85" t="str">
        <f>IF($B274="","",IF(IFERROR(INDEX('RAID Log'!$1:$1048576,$B274,MATCH("RAID Owner",'RAID Log'!$1:$1,0)),"")="","",IFERROR(INDEX('RAID Log'!$1:$1048576,$B274,MATCH("RAID Owner",'RAID Log'!$1:$1,0)),"")))</f>
        <v/>
      </c>
      <c r="N274" s="87" t="str">
        <f>IF($B274="","",IF(IFERROR(INDEX('RAID Log'!$1:$1048576,$B274,MATCH("Date Raised",'RAID Log'!$1:$1,0)),"")="","",IFERROR(INDEX('RAID Log'!$1:$1048576,$B274,MATCH("Date Raised",'RAID Log'!$1:$1,0)),"")))</f>
        <v/>
      </c>
      <c r="O274" s="87" t="str">
        <f>IF($B274="","",IF(IFERROR(INDEX('RAID Log'!$1:$1048576,$B274,MATCH("Closed Date",'RAID Log'!$1:$1,0)),"")="","",IFERROR(INDEX('RAID Log'!$1:$1048576,$B274,MATCH("Closed Date",'RAID Log'!$1:$1,0)),"")))</f>
        <v/>
      </c>
      <c r="P274" s="85" t="str">
        <f>IF($B274="","",IF(IFERROR(INDEX('RAID Log'!$1:$1048576,$B274,MATCH("Mitigation Strategy",'RAID Log'!$1:$1,0)),"")="","",IFERROR(INDEX('RAID Log'!$1:$1048576,$B274,MATCH("Mitigation Strategy",'RAID Log'!$1:$1,0)),"")))</f>
        <v/>
      </c>
      <c r="Q274" s="88" t="str">
        <f>IF($B274="","",IF(IFERROR(INDEX('RAID Log'!$1:$1048576,$B274,MATCH("RAID Response/Plan",'RAID Log'!$1:$1,0)),"")="","",IFERROR(INDEX('RAID Log'!$1:$1048576,$B274,MATCH("RAID Response/Plan",'RAID Log'!$1:$1,0)),"")))</f>
        <v/>
      </c>
    </row>
    <row r="275" spans="1:17" ht="14.25" customHeight="1">
      <c r="A275" s="82" t="str">
        <f>IF($B275="","",IF(IFERROR(INDEX('RAID Log'!$1:$1048576,$B275,MATCH("RAID ID",'RAID Log'!$1:$1,0)),"")="","",IFERROR(INDEX('RAID Log'!$1:$1048576,$B275,MATCH("RAID ID",'RAID Log'!$1:$1,0)),"")))</f>
        <v/>
      </c>
      <c r="B275" s="83" t="str">
        <f>IFERROR(MATCH(ROW()-1,'RAID Log'!$S:$S,0),"")</f>
        <v/>
      </c>
      <c r="C275" s="84" t="str">
        <f>IF($B275="","",IF(IFERROR(INDEX('RAID Log'!$1:$1048576,$B275,MATCH("Description",'RAID Log'!$1:$1,0)),"")="","",IFERROR(INDEX('RAID Log'!$1:$1048576,$B275,MATCH("Description",'RAID Log'!$1:$1,0)),"")))</f>
        <v/>
      </c>
      <c r="D275" s="84" t="str">
        <f>IF($B275="","",IF(IFERROR(INDEX('RAID Log'!$1:$1048576,$B275,MATCH("Impact/Effect of the RAID",'RAID Log'!$1:$1,0)),"")="","",IFERROR(INDEX('RAID Log'!$1:$1048576,$B275,MATCH("Impact/Effect of the RAID",'RAID Log'!$1:$1,0)),"")))</f>
        <v/>
      </c>
      <c r="E275" s="85" t="str">
        <f>IF($B275="","",IF(IFERROR(INDEX('RAID Log'!$1:$1048576,$B275,MATCH("Impact Area",'RAID Log'!$1:$1,0)),"")="","",IFERROR(INDEX('RAID Log'!$1:$1048576,$B275,MATCH("Impact Area",'RAID Log'!$1:$1,0)),"")))</f>
        <v/>
      </c>
      <c r="F275" s="85" t="str">
        <f>IF($B275="","",IF(IFERROR(INDEX('RAID Log'!$1:$1048576,$B275,MATCH("Impact Area",'RAID Log'!$1:$1,0)),"")="","",IFERROR(INDEX('RAID Log'!$1:$1048576,$B275,MATCH("Impact Area",'RAID Log'!$1:$1,0)),"")))</f>
        <v/>
      </c>
      <c r="G275" s="85" t="str">
        <f>IF($B275="","",IF(IFERROR(INDEX('RAID Log'!$1:$1048576,$B275,MATCH("Impact Rating",'RAID Log'!$1:$1,0)),"")="","",IFERROR(INDEX('RAID Log'!$1:$1048576,$B275,MATCH("Impact Rating",'RAID Log'!$1:$1,0)),"")))</f>
        <v/>
      </c>
      <c r="H275" s="85" t="str">
        <f>IF($B275="","",IF(IFERROR(INDEX('RAID Log'!$1:$1048576,$B275,MATCH("Initial Probability",'RAID Log'!$1:$1,0)),"")="","",IFERROR(INDEX('RAID Log'!$1:$1048576,$B275,MATCH("Initial Probability",'RAID Log'!$1:$1,0)),"")))</f>
        <v/>
      </c>
      <c r="I275" s="86" t="str">
        <f t="shared" si="12"/>
        <v/>
      </c>
      <c r="J275" s="85" t="str">
        <f t="shared" si="13"/>
        <v/>
      </c>
      <c r="K275" s="86" t="str">
        <f t="shared" si="14"/>
        <v/>
      </c>
      <c r="L275" s="85" t="str">
        <f>IF($B275="","",IF(IFERROR(INDEX('RAID Log'!$1:$1048576,$B275,MATCH("Status",'RAID Log'!$1:$1,0)),"")="","",IFERROR(INDEX('RAID Log'!$1:$1048576,$B275,MATCH("Status",'RAID Log'!$1:$1,0)),"")))</f>
        <v/>
      </c>
      <c r="M275" s="85" t="str">
        <f>IF($B275="","",IF(IFERROR(INDEX('RAID Log'!$1:$1048576,$B275,MATCH("RAID Owner",'RAID Log'!$1:$1,0)),"")="","",IFERROR(INDEX('RAID Log'!$1:$1048576,$B275,MATCH("RAID Owner",'RAID Log'!$1:$1,0)),"")))</f>
        <v/>
      </c>
      <c r="N275" s="87" t="str">
        <f>IF($B275="","",IF(IFERROR(INDEX('RAID Log'!$1:$1048576,$B275,MATCH("Date Raised",'RAID Log'!$1:$1,0)),"")="","",IFERROR(INDEX('RAID Log'!$1:$1048576,$B275,MATCH("Date Raised",'RAID Log'!$1:$1,0)),"")))</f>
        <v/>
      </c>
      <c r="O275" s="87" t="str">
        <f>IF($B275="","",IF(IFERROR(INDEX('RAID Log'!$1:$1048576,$B275,MATCH("Closed Date",'RAID Log'!$1:$1,0)),"")="","",IFERROR(INDEX('RAID Log'!$1:$1048576,$B275,MATCH("Closed Date",'RAID Log'!$1:$1,0)),"")))</f>
        <v/>
      </c>
      <c r="P275" s="85" t="str">
        <f>IF($B275="","",IF(IFERROR(INDEX('RAID Log'!$1:$1048576,$B275,MATCH("Mitigation Strategy",'RAID Log'!$1:$1,0)),"")="","",IFERROR(INDEX('RAID Log'!$1:$1048576,$B275,MATCH("Mitigation Strategy",'RAID Log'!$1:$1,0)),"")))</f>
        <v/>
      </c>
      <c r="Q275" s="88" t="str">
        <f>IF($B275="","",IF(IFERROR(INDEX('RAID Log'!$1:$1048576,$B275,MATCH("RAID Response/Plan",'RAID Log'!$1:$1,0)),"")="","",IFERROR(INDEX('RAID Log'!$1:$1048576,$B275,MATCH("RAID Response/Plan",'RAID Log'!$1:$1,0)),"")))</f>
        <v/>
      </c>
    </row>
    <row r="276" spans="1:17" ht="14.25" customHeight="1">
      <c r="A276" s="82" t="str">
        <f>IF($B276="","",IF(IFERROR(INDEX('RAID Log'!$1:$1048576,$B276,MATCH("RAID ID",'RAID Log'!$1:$1,0)),"")="","",IFERROR(INDEX('RAID Log'!$1:$1048576,$B276,MATCH("RAID ID",'RAID Log'!$1:$1,0)),"")))</f>
        <v/>
      </c>
      <c r="B276" s="83" t="str">
        <f>IFERROR(MATCH(ROW()-1,'RAID Log'!$S:$S,0),"")</f>
        <v/>
      </c>
      <c r="C276" s="84" t="str">
        <f>IF($B276="","",IF(IFERROR(INDEX('RAID Log'!$1:$1048576,$B276,MATCH("Description",'RAID Log'!$1:$1,0)),"")="","",IFERROR(INDEX('RAID Log'!$1:$1048576,$B276,MATCH("Description",'RAID Log'!$1:$1,0)),"")))</f>
        <v/>
      </c>
      <c r="D276" s="84" t="str">
        <f>IF($B276="","",IF(IFERROR(INDEX('RAID Log'!$1:$1048576,$B276,MATCH("Impact/Effect of the RAID",'RAID Log'!$1:$1,0)),"")="","",IFERROR(INDEX('RAID Log'!$1:$1048576,$B276,MATCH("Impact/Effect of the RAID",'RAID Log'!$1:$1,0)),"")))</f>
        <v/>
      </c>
      <c r="E276" s="85" t="str">
        <f>IF($B276="","",IF(IFERROR(INDEX('RAID Log'!$1:$1048576,$B276,MATCH("Impact Area",'RAID Log'!$1:$1,0)),"")="","",IFERROR(INDEX('RAID Log'!$1:$1048576,$B276,MATCH("Impact Area",'RAID Log'!$1:$1,0)),"")))</f>
        <v/>
      </c>
      <c r="F276" s="85" t="str">
        <f>IF($B276="","",IF(IFERROR(INDEX('RAID Log'!$1:$1048576,$B276,MATCH("Impact Area",'RAID Log'!$1:$1,0)),"")="","",IFERROR(INDEX('RAID Log'!$1:$1048576,$B276,MATCH("Impact Area",'RAID Log'!$1:$1,0)),"")))</f>
        <v/>
      </c>
      <c r="G276" s="85" t="str">
        <f>IF($B276="","",IF(IFERROR(INDEX('RAID Log'!$1:$1048576,$B276,MATCH("Impact Rating",'RAID Log'!$1:$1,0)),"")="","",IFERROR(INDEX('RAID Log'!$1:$1048576,$B276,MATCH("Impact Rating",'RAID Log'!$1:$1,0)),"")))</f>
        <v/>
      </c>
      <c r="H276" s="85" t="str">
        <f>IF($B276="","",IF(IFERROR(INDEX('RAID Log'!$1:$1048576,$B276,MATCH("Initial Probability",'RAID Log'!$1:$1,0)),"")="","",IFERROR(INDEX('RAID Log'!$1:$1048576,$B276,MATCH("Initial Probability",'RAID Log'!$1:$1,0)),"")))</f>
        <v/>
      </c>
      <c r="I276" s="86" t="str">
        <f t="shared" si="12"/>
        <v/>
      </c>
      <c r="J276" s="85" t="str">
        <f t="shared" si="13"/>
        <v/>
      </c>
      <c r="K276" s="86" t="str">
        <f t="shared" si="14"/>
        <v/>
      </c>
      <c r="L276" s="85" t="str">
        <f>IF($B276="","",IF(IFERROR(INDEX('RAID Log'!$1:$1048576,$B276,MATCH("Status",'RAID Log'!$1:$1,0)),"")="","",IFERROR(INDEX('RAID Log'!$1:$1048576,$B276,MATCH("Status",'RAID Log'!$1:$1,0)),"")))</f>
        <v/>
      </c>
      <c r="M276" s="85" t="str">
        <f>IF($B276="","",IF(IFERROR(INDEX('RAID Log'!$1:$1048576,$B276,MATCH("RAID Owner",'RAID Log'!$1:$1,0)),"")="","",IFERROR(INDEX('RAID Log'!$1:$1048576,$B276,MATCH("RAID Owner",'RAID Log'!$1:$1,0)),"")))</f>
        <v/>
      </c>
      <c r="N276" s="87" t="str">
        <f>IF($B276="","",IF(IFERROR(INDEX('RAID Log'!$1:$1048576,$B276,MATCH("Date Raised",'RAID Log'!$1:$1,0)),"")="","",IFERROR(INDEX('RAID Log'!$1:$1048576,$B276,MATCH("Date Raised",'RAID Log'!$1:$1,0)),"")))</f>
        <v/>
      </c>
      <c r="O276" s="87" t="str">
        <f>IF($B276="","",IF(IFERROR(INDEX('RAID Log'!$1:$1048576,$B276,MATCH("Closed Date",'RAID Log'!$1:$1,0)),"")="","",IFERROR(INDEX('RAID Log'!$1:$1048576,$B276,MATCH("Closed Date",'RAID Log'!$1:$1,0)),"")))</f>
        <v/>
      </c>
      <c r="P276" s="85" t="str">
        <f>IF($B276="","",IF(IFERROR(INDEX('RAID Log'!$1:$1048576,$B276,MATCH("Mitigation Strategy",'RAID Log'!$1:$1,0)),"")="","",IFERROR(INDEX('RAID Log'!$1:$1048576,$B276,MATCH("Mitigation Strategy",'RAID Log'!$1:$1,0)),"")))</f>
        <v/>
      </c>
      <c r="Q276" s="88" t="str">
        <f>IF($B276="","",IF(IFERROR(INDEX('RAID Log'!$1:$1048576,$B276,MATCH("RAID Response/Plan",'RAID Log'!$1:$1,0)),"")="","",IFERROR(INDEX('RAID Log'!$1:$1048576,$B276,MATCH("RAID Response/Plan",'RAID Log'!$1:$1,0)),"")))</f>
        <v/>
      </c>
    </row>
    <row r="277" spans="1:17" ht="14.25" customHeight="1">
      <c r="A277" s="82" t="str">
        <f>IF($B277="","",IF(IFERROR(INDEX('RAID Log'!$1:$1048576,$B277,MATCH("RAID ID",'RAID Log'!$1:$1,0)),"")="","",IFERROR(INDEX('RAID Log'!$1:$1048576,$B277,MATCH("RAID ID",'RAID Log'!$1:$1,0)),"")))</f>
        <v/>
      </c>
      <c r="B277" s="83" t="str">
        <f>IFERROR(MATCH(ROW()-1,'RAID Log'!$S:$S,0),"")</f>
        <v/>
      </c>
      <c r="C277" s="84" t="str">
        <f>IF($B277="","",IF(IFERROR(INDEX('RAID Log'!$1:$1048576,$B277,MATCH("Description",'RAID Log'!$1:$1,0)),"")="","",IFERROR(INDEX('RAID Log'!$1:$1048576,$B277,MATCH("Description",'RAID Log'!$1:$1,0)),"")))</f>
        <v/>
      </c>
      <c r="D277" s="84" t="str">
        <f>IF($B277="","",IF(IFERROR(INDEX('RAID Log'!$1:$1048576,$B277,MATCH("Impact/Effect of the RAID",'RAID Log'!$1:$1,0)),"")="","",IFERROR(INDEX('RAID Log'!$1:$1048576,$B277,MATCH("Impact/Effect of the RAID",'RAID Log'!$1:$1,0)),"")))</f>
        <v/>
      </c>
      <c r="E277" s="85" t="str">
        <f>IF($B277="","",IF(IFERROR(INDEX('RAID Log'!$1:$1048576,$B277,MATCH("Impact Area",'RAID Log'!$1:$1,0)),"")="","",IFERROR(INDEX('RAID Log'!$1:$1048576,$B277,MATCH("Impact Area",'RAID Log'!$1:$1,0)),"")))</f>
        <v/>
      </c>
      <c r="F277" s="85" t="str">
        <f>IF($B277="","",IF(IFERROR(INDEX('RAID Log'!$1:$1048576,$B277,MATCH("Impact Area",'RAID Log'!$1:$1,0)),"")="","",IFERROR(INDEX('RAID Log'!$1:$1048576,$B277,MATCH("Impact Area",'RAID Log'!$1:$1,0)),"")))</f>
        <v/>
      </c>
      <c r="G277" s="85" t="str">
        <f>IF($B277="","",IF(IFERROR(INDEX('RAID Log'!$1:$1048576,$B277,MATCH("Impact Rating",'RAID Log'!$1:$1,0)),"")="","",IFERROR(INDEX('RAID Log'!$1:$1048576,$B277,MATCH("Impact Rating",'RAID Log'!$1:$1,0)),"")))</f>
        <v/>
      </c>
      <c r="H277" s="85" t="str">
        <f>IF($B277="","",IF(IFERROR(INDEX('RAID Log'!$1:$1048576,$B277,MATCH("Initial Probability",'RAID Log'!$1:$1,0)),"")="","",IFERROR(INDEX('RAID Log'!$1:$1048576,$B277,MATCH("Initial Probability",'RAID Log'!$1:$1,0)),"")))</f>
        <v/>
      </c>
      <c r="I277" s="86" t="str">
        <f t="shared" si="12"/>
        <v/>
      </c>
      <c r="J277" s="85" t="str">
        <f t="shared" si="13"/>
        <v/>
      </c>
      <c r="K277" s="86" t="str">
        <f t="shared" si="14"/>
        <v/>
      </c>
      <c r="L277" s="85" t="str">
        <f>IF($B277="","",IF(IFERROR(INDEX('RAID Log'!$1:$1048576,$B277,MATCH("Status",'RAID Log'!$1:$1,0)),"")="","",IFERROR(INDEX('RAID Log'!$1:$1048576,$B277,MATCH("Status",'RAID Log'!$1:$1,0)),"")))</f>
        <v/>
      </c>
      <c r="M277" s="85" t="str">
        <f>IF($B277="","",IF(IFERROR(INDEX('RAID Log'!$1:$1048576,$B277,MATCH("RAID Owner",'RAID Log'!$1:$1,0)),"")="","",IFERROR(INDEX('RAID Log'!$1:$1048576,$B277,MATCH("RAID Owner",'RAID Log'!$1:$1,0)),"")))</f>
        <v/>
      </c>
      <c r="N277" s="87" t="str">
        <f>IF($B277="","",IF(IFERROR(INDEX('RAID Log'!$1:$1048576,$B277,MATCH("Date Raised",'RAID Log'!$1:$1,0)),"")="","",IFERROR(INDEX('RAID Log'!$1:$1048576,$B277,MATCH("Date Raised",'RAID Log'!$1:$1,0)),"")))</f>
        <v/>
      </c>
      <c r="O277" s="87" t="str">
        <f>IF($B277="","",IF(IFERROR(INDEX('RAID Log'!$1:$1048576,$B277,MATCH("Closed Date",'RAID Log'!$1:$1,0)),"")="","",IFERROR(INDEX('RAID Log'!$1:$1048576,$B277,MATCH("Closed Date",'RAID Log'!$1:$1,0)),"")))</f>
        <v/>
      </c>
      <c r="P277" s="85" t="str">
        <f>IF($B277="","",IF(IFERROR(INDEX('RAID Log'!$1:$1048576,$B277,MATCH("Mitigation Strategy",'RAID Log'!$1:$1,0)),"")="","",IFERROR(INDEX('RAID Log'!$1:$1048576,$B277,MATCH("Mitigation Strategy",'RAID Log'!$1:$1,0)),"")))</f>
        <v/>
      </c>
      <c r="Q277" s="88" t="str">
        <f>IF($B277="","",IF(IFERROR(INDEX('RAID Log'!$1:$1048576,$B277,MATCH("RAID Response/Plan",'RAID Log'!$1:$1,0)),"")="","",IFERROR(INDEX('RAID Log'!$1:$1048576,$B277,MATCH("RAID Response/Plan",'RAID Log'!$1:$1,0)),"")))</f>
        <v/>
      </c>
    </row>
    <row r="278" spans="1:17" ht="14.25" customHeight="1">
      <c r="A278" s="82" t="str">
        <f>IF($B278="","",IF(IFERROR(INDEX('RAID Log'!$1:$1048576,$B278,MATCH("RAID ID",'RAID Log'!$1:$1,0)),"")="","",IFERROR(INDEX('RAID Log'!$1:$1048576,$B278,MATCH("RAID ID",'RAID Log'!$1:$1,0)),"")))</f>
        <v/>
      </c>
      <c r="B278" s="83" t="str">
        <f>IFERROR(MATCH(ROW()-1,'RAID Log'!$S:$S,0),"")</f>
        <v/>
      </c>
      <c r="C278" s="84" t="str">
        <f>IF($B278="","",IF(IFERROR(INDEX('RAID Log'!$1:$1048576,$B278,MATCH("Description",'RAID Log'!$1:$1,0)),"")="","",IFERROR(INDEX('RAID Log'!$1:$1048576,$B278,MATCH("Description",'RAID Log'!$1:$1,0)),"")))</f>
        <v/>
      </c>
      <c r="D278" s="84" t="str">
        <f>IF($B278="","",IF(IFERROR(INDEX('RAID Log'!$1:$1048576,$B278,MATCH("Impact/Effect of the RAID",'RAID Log'!$1:$1,0)),"")="","",IFERROR(INDEX('RAID Log'!$1:$1048576,$B278,MATCH("Impact/Effect of the RAID",'RAID Log'!$1:$1,0)),"")))</f>
        <v/>
      </c>
      <c r="E278" s="85" t="str">
        <f>IF($B278="","",IF(IFERROR(INDEX('RAID Log'!$1:$1048576,$B278,MATCH("Impact Area",'RAID Log'!$1:$1,0)),"")="","",IFERROR(INDEX('RAID Log'!$1:$1048576,$B278,MATCH("Impact Area",'RAID Log'!$1:$1,0)),"")))</f>
        <v/>
      </c>
      <c r="F278" s="85" t="str">
        <f>IF($B278="","",IF(IFERROR(INDEX('RAID Log'!$1:$1048576,$B278,MATCH("Impact Area",'RAID Log'!$1:$1,0)),"")="","",IFERROR(INDEX('RAID Log'!$1:$1048576,$B278,MATCH("Impact Area",'RAID Log'!$1:$1,0)),"")))</f>
        <v/>
      </c>
      <c r="G278" s="85" t="str">
        <f>IF($B278="","",IF(IFERROR(INDEX('RAID Log'!$1:$1048576,$B278,MATCH("Impact Rating",'RAID Log'!$1:$1,0)),"")="","",IFERROR(INDEX('RAID Log'!$1:$1048576,$B278,MATCH("Impact Rating",'RAID Log'!$1:$1,0)),"")))</f>
        <v/>
      </c>
      <c r="H278" s="85" t="str">
        <f>IF($B278="","",IF(IFERROR(INDEX('RAID Log'!$1:$1048576,$B278,MATCH("Initial Probability",'RAID Log'!$1:$1,0)),"")="","",IFERROR(INDEX('RAID Log'!$1:$1048576,$B278,MATCH("Initial Probability",'RAID Log'!$1:$1,0)),"")))</f>
        <v/>
      </c>
      <c r="I278" s="86" t="str">
        <f t="shared" si="12"/>
        <v/>
      </c>
      <c r="J278" s="85" t="str">
        <f t="shared" si="13"/>
        <v/>
      </c>
      <c r="K278" s="86" t="str">
        <f t="shared" si="14"/>
        <v/>
      </c>
      <c r="L278" s="85" t="str">
        <f>IF($B278="","",IF(IFERROR(INDEX('RAID Log'!$1:$1048576,$B278,MATCH("Status",'RAID Log'!$1:$1,0)),"")="","",IFERROR(INDEX('RAID Log'!$1:$1048576,$B278,MATCH("Status",'RAID Log'!$1:$1,0)),"")))</f>
        <v/>
      </c>
      <c r="M278" s="85" t="str">
        <f>IF($B278="","",IF(IFERROR(INDEX('RAID Log'!$1:$1048576,$B278,MATCH("RAID Owner",'RAID Log'!$1:$1,0)),"")="","",IFERROR(INDEX('RAID Log'!$1:$1048576,$B278,MATCH("RAID Owner",'RAID Log'!$1:$1,0)),"")))</f>
        <v/>
      </c>
      <c r="N278" s="87" t="str">
        <f>IF($B278="","",IF(IFERROR(INDEX('RAID Log'!$1:$1048576,$B278,MATCH("Date Raised",'RAID Log'!$1:$1,0)),"")="","",IFERROR(INDEX('RAID Log'!$1:$1048576,$B278,MATCH("Date Raised",'RAID Log'!$1:$1,0)),"")))</f>
        <v/>
      </c>
      <c r="O278" s="87" t="str">
        <f>IF($B278="","",IF(IFERROR(INDEX('RAID Log'!$1:$1048576,$B278,MATCH("Closed Date",'RAID Log'!$1:$1,0)),"")="","",IFERROR(INDEX('RAID Log'!$1:$1048576,$B278,MATCH("Closed Date",'RAID Log'!$1:$1,0)),"")))</f>
        <v/>
      </c>
      <c r="P278" s="85" t="str">
        <f>IF($B278="","",IF(IFERROR(INDEX('RAID Log'!$1:$1048576,$B278,MATCH("Mitigation Strategy",'RAID Log'!$1:$1,0)),"")="","",IFERROR(INDEX('RAID Log'!$1:$1048576,$B278,MATCH("Mitigation Strategy",'RAID Log'!$1:$1,0)),"")))</f>
        <v/>
      </c>
      <c r="Q278" s="88" t="str">
        <f>IF($B278="","",IF(IFERROR(INDEX('RAID Log'!$1:$1048576,$B278,MATCH("RAID Response/Plan",'RAID Log'!$1:$1,0)),"")="","",IFERROR(INDEX('RAID Log'!$1:$1048576,$B278,MATCH("RAID Response/Plan",'RAID Log'!$1:$1,0)),"")))</f>
        <v/>
      </c>
    </row>
    <row r="279" spans="1:17" ht="14.25" customHeight="1">
      <c r="A279" s="82" t="str">
        <f>IF($B279="","",IF(IFERROR(INDEX('RAID Log'!$1:$1048576,$B279,MATCH("RAID ID",'RAID Log'!$1:$1,0)),"")="","",IFERROR(INDEX('RAID Log'!$1:$1048576,$B279,MATCH("RAID ID",'RAID Log'!$1:$1,0)),"")))</f>
        <v/>
      </c>
      <c r="B279" s="83" t="str">
        <f>IFERROR(MATCH(ROW()-1,'RAID Log'!$S:$S,0),"")</f>
        <v/>
      </c>
      <c r="C279" s="84" t="str">
        <f>IF($B279="","",IF(IFERROR(INDEX('RAID Log'!$1:$1048576,$B279,MATCH("Description",'RAID Log'!$1:$1,0)),"")="","",IFERROR(INDEX('RAID Log'!$1:$1048576,$B279,MATCH("Description",'RAID Log'!$1:$1,0)),"")))</f>
        <v/>
      </c>
      <c r="D279" s="84" t="str">
        <f>IF($B279="","",IF(IFERROR(INDEX('RAID Log'!$1:$1048576,$B279,MATCH("Impact/Effect of the RAID",'RAID Log'!$1:$1,0)),"")="","",IFERROR(INDEX('RAID Log'!$1:$1048576,$B279,MATCH("Impact/Effect of the RAID",'RAID Log'!$1:$1,0)),"")))</f>
        <v/>
      </c>
      <c r="E279" s="85" t="str">
        <f>IF($B279="","",IF(IFERROR(INDEX('RAID Log'!$1:$1048576,$B279,MATCH("Impact Area",'RAID Log'!$1:$1,0)),"")="","",IFERROR(INDEX('RAID Log'!$1:$1048576,$B279,MATCH("Impact Area",'RAID Log'!$1:$1,0)),"")))</f>
        <v/>
      </c>
      <c r="F279" s="85" t="str">
        <f>IF($B279="","",IF(IFERROR(INDEX('RAID Log'!$1:$1048576,$B279,MATCH("Impact Area",'RAID Log'!$1:$1,0)),"")="","",IFERROR(INDEX('RAID Log'!$1:$1048576,$B279,MATCH("Impact Area",'RAID Log'!$1:$1,0)),"")))</f>
        <v/>
      </c>
      <c r="G279" s="85" t="str">
        <f>IF($B279="","",IF(IFERROR(INDEX('RAID Log'!$1:$1048576,$B279,MATCH("Impact Rating",'RAID Log'!$1:$1,0)),"")="","",IFERROR(INDEX('RAID Log'!$1:$1048576,$B279,MATCH("Impact Rating",'RAID Log'!$1:$1,0)),"")))</f>
        <v/>
      </c>
      <c r="H279" s="85" t="str">
        <f>IF($B279="","",IF(IFERROR(INDEX('RAID Log'!$1:$1048576,$B279,MATCH("Initial Probability",'RAID Log'!$1:$1,0)),"")="","",IFERROR(INDEX('RAID Log'!$1:$1048576,$B279,MATCH("Initial Probability",'RAID Log'!$1:$1,0)),"")))</f>
        <v/>
      </c>
      <c r="I279" s="86" t="str">
        <f t="shared" si="12"/>
        <v/>
      </c>
      <c r="J279" s="85" t="str">
        <f t="shared" si="13"/>
        <v/>
      </c>
      <c r="K279" s="86" t="str">
        <f t="shared" si="14"/>
        <v/>
      </c>
      <c r="L279" s="85" t="str">
        <f>IF($B279="","",IF(IFERROR(INDEX('RAID Log'!$1:$1048576,$B279,MATCH("Status",'RAID Log'!$1:$1,0)),"")="","",IFERROR(INDEX('RAID Log'!$1:$1048576,$B279,MATCH("Status",'RAID Log'!$1:$1,0)),"")))</f>
        <v/>
      </c>
      <c r="M279" s="85" t="str">
        <f>IF($B279="","",IF(IFERROR(INDEX('RAID Log'!$1:$1048576,$B279,MATCH("RAID Owner",'RAID Log'!$1:$1,0)),"")="","",IFERROR(INDEX('RAID Log'!$1:$1048576,$B279,MATCH("RAID Owner",'RAID Log'!$1:$1,0)),"")))</f>
        <v/>
      </c>
      <c r="N279" s="87" t="str">
        <f>IF($B279="","",IF(IFERROR(INDEX('RAID Log'!$1:$1048576,$B279,MATCH("Date Raised",'RAID Log'!$1:$1,0)),"")="","",IFERROR(INDEX('RAID Log'!$1:$1048576,$B279,MATCH("Date Raised",'RAID Log'!$1:$1,0)),"")))</f>
        <v/>
      </c>
      <c r="O279" s="87" t="str">
        <f>IF($B279="","",IF(IFERROR(INDEX('RAID Log'!$1:$1048576,$B279,MATCH("Closed Date",'RAID Log'!$1:$1,0)),"")="","",IFERROR(INDEX('RAID Log'!$1:$1048576,$B279,MATCH("Closed Date",'RAID Log'!$1:$1,0)),"")))</f>
        <v/>
      </c>
      <c r="P279" s="85" t="str">
        <f>IF($B279="","",IF(IFERROR(INDEX('RAID Log'!$1:$1048576,$B279,MATCH("Mitigation Strategy",'RAID Log'!$1:$1,0)),"")="","",IFERROR(INDEX('RAID Log'!$1:$1048576,$B279,MATCH("Mitigation Strategy",'RAID Log'!$1:$1,0)),"")))</f>
        <v/>
      </c>
      <c r="Q279" s="88" t="str">
        <f>IF($B279="","",IF(IFERROR(INDEX('RAID Log'!$1:$1048576,$B279,MATCH("RAID Response/Plan",'RAID Log'!$1:$1,0)),"")="","",IFERROR(INDEX('RAID Log'!$1:$1048576,$B279,MATCH("RAID Response/Plan",'RAID Log'!$1:$1,0)),"")))</f>
        <v/>
      </c>
    </row>
    <row r="280" spans="1:17" ht="14.25" customHeight="1">
      <c r="A280" s="82" t="str">
        <f>IF($B280="","",IF(IFERROR(INDEX('RAID Log'!$1:$1048576,$B280,MATCH("RAID ID",'RAID Log'!$1:$1,0)),"")="","",IFERROR(INDEX('RAID Log'!$1:$1048576,$B280,MATCH("RAID ID",'RAID Log'!$1:$1,0)),"")))</f>
        <v/>
      </c>
      <c r="B280" s="83" t="str">
        <f>IFERROR(MATCH(ROW()-1,'RAID Log'!$S:$S,0),"")</f>
        <v/>
      </c>
      <c r="C280" s="84" t="str">
        <f>IF($B280="","",IF(IFERROR(INDEX('RAID Log'!$1:$1048576,$B280,MATCH("Description",'RAID Log'!$1:$1,0)),"")="","",IFERROR(INDEX('RAID Log'!$1:$1048576,$B280,MATCH("Description",'RAID Log'!$1:$1,0)),"")))</f>
        <v/>
      </c>
      <c r="D280" s="84" t="str">
        <f>IF($B280="","",IF(IFERROR(INDEX('RAID Log'!$1:$1048576,$B280,MATCH("Impact/Effect of the RAID",'RAID Log'!$1:$1,0)),"")="","",IFERROR(INDEX('RAID Log'!$1:$1048576,$B280,MATCH("Impact/Effect of the RAID",'RAID Log'!$1:$1,0)),"")))</f>
        <v/>
      </c>
      <c r="E280" s="85" t="str">
        <f>IF($B280="","",IF(IFERROR(INDEX('RAID Log'!$1:$1048576,$B280,MATCH("Impact Area",'RAID Log'!$1:$1,0)),"")="","",IFERROR(INDEX('RAID Log'!$1:$1048576,$B280,MATCH("Impact Area",'RAID Log'!$1:$1,0)),"")))</f>
        <v/>
      </c>
      <c r="F280" s="85" t="str">
        <f>IF($B280="","",IF(IFERROR(INDEX('RAID Log'!$1:$1048576,$B280,MATCH("Impact Area",'RAID Log'!$1:$1,0)),"")="","",IFERROR(INDEX('RAID Log'!$1:$1048576,$B280,MATCH("Impact Area",'RAID Log'!$1:$1,0)),"")))</f>
        <v/>
      </c>
      <c r="G280" s="85" t="str">
        <f>IF($B280="","",IF(IFERROR(INDEX('RAID Log'!$1:$1048576,$B280,MATCH("Impact Rating",'RAID Log'!$1:$1,0)),"")="","",IFERROR(INDEX('RAID Log'!$1:$1048576,$B280,MATCH("Impact Rating",'RAID Log'!$1:$1,0)),"")))</f>
        <v/>
      </c>
      <c r="H280" s="85" t="str">
        <f>IF($B280="","",IF(IFERROR(INDEX('RAID Log'!$1:$1048576,$B280,MATCH("Initial Probability",'RAID Log'!$1:$1,0)),"")="","",IFERROR(INDEX('RAID Log'!$1:$1048576,$B280,MATCH("Initial Probability",'RAID Log'!$1:$1,0)),"")))</f>
        <v/>
      </c>
      <c r="I280" s="86" t="str">
        <f t="shared" si="12"/>
        <v/>
      </c>
      <c r="J280" s="85" t="str">
        <f t="shared" si="13"/>
        <v/>
      </c>
      <c r="K280" s="86" t="str">
        <f t="shared" si="14"/>
        <v/>
      </c>
      <c r="L280" s="85" t="str">
        <f>IF($B280="","",IF(IFERROR(INDEX('RAID Log'!$1:$1048576,$B280,MATCH("Status",'RAID Log'!$1:$1,0)),"")="","",IFERROR(INDEX('RAID Log'!$1:$1048576,$B280,MATCH("Status",'RAID Log'!$1:$1,0)),"")))</f>
        <v/>
      </c>
      <c r="M280" s="85" t="str">
        <f>IF($B280="","",IF(IFERROR(INDEX('RAID Log'!$1:$1048576,$B280,MATCH("RAID Owner",'RAID Log'!$1:$1,0)),"")="","",IFERROR(INDEX('RAID Log'!$1:$1048576,$B280,MATCH("RAID Owner",'RAID Log'!$1:$1,0)),"")))</f>
        <v/>
      </c>
      <c r="N280" s="87" t="str">
        <f>IF($B280="","",IF(IFERROR(INDEX('RAID Log'!$1:$1048576,$B280,MATCH("Date Raised",'RAID Log'!$1:$1,0)),"")="","",IFERROR(INDEX('RAID Log'!$1:$1048576,$B280,MATCH("Date Raised",'RAID Log'!$1:$1,0)),"")))</f>
        <v/>
      </c>
      <c r="O280" s="87" t="str">
        <f>IF($B280="","",IF(IFERROR(INDEX('RAID Log'!$1:$1048576,$B280,MATCH("Closed Date",'RAID Log'!$1:$1,0)),"")="","",IFERROR(INDEX('RAID Log'!$1:$1048576,$B280,MATCH("Closed Date",'RAID Log'!$1:$1,0)),"")))</f>
        <v/>
      </c>
      <c r="P280" s="85" t="str">
        <f>IF($B280="","",IF(IFERROR(INDEX('RAID Log'!$1:$1048576,$B280,MATCH("Mitigation Strategy",'RAID Log'!$1:$1,0)),"")="","",IFERROR(INDEX('RAID Log'!$1:$1048576,$B280,MATCH("Mitigation Strategy",'RAID Log'!$1:$1,0)),"")))</f>
        <v/>
      </c>
      <c r="Q280" s="88" t="str">
        <f>IF($B280="","",IF(IFERROR(INDEX('RAID Log'!$1:$1048576,$B280,MATCH("RAID Response/Plan",'RAID Log'!$1:$1,0)),"")="","",IFERROR(INDEX('RAID Log'!$1:$1048576,$B280,MATCH("RAID Response/Plan",'RAID Log'!$1:$1,0)),"")))</f>
        <v/>
      </c>
    </row>
    <row r="281" spans="1:17" ht="14.25" customHeight="1">
      <c r="A281" s="82" t="str">
        <f>IF($B281="","",IF(IFERROR(INDEX('RAID Log'!$1:$1048576,$B281,MATCH("RAID ID",'RAID Log'!$1:$1,0)),"")="","",IFERROR(INDEX('RAID Log'!$1:$1048576,$B281,MATCH("RAID ID",'RAID Log'!$1:$1,0)),"")))</f>
        <v/>
      </c>
      <c r="B281" s="83" t="str">
        <f>IFERROR(MATCH(ROW()-1,'RAID Log'!$S:$S,0),"")</f>
        <v/>
      </c>
      <c r="C281" s="84" t="str">
        <f>IF($B281="","",IF(IFERROR(INDEX('RAID Log'!$1:$1048576,$B281,MATCH("Description",'RAID Log'!$1:$1,0)),"")="","",IFERROR(INDEX('RAID Log'!$1:$1048576,$B281,MATCH("Description",'RAID Log'!$1:$1,0)),"")))</f>
        <v/>
      </c>
      <c r="D281" s="84" t="str">
        <f>IF($B281="","",IF(IFERROR(INDEX('RAID Log'!$1:$1048576,$B281,MATCH("Impact/Effect of the RAID",'RAID Log'!$1:$1,0)),"")="","",IFERROR(INDEX('RAID Log'!$1:$1048576,$B281,MATCH("Impact/Effect of the RAID",'RAID Log'!$1:$1,0)),"")))</f>
        <v/>
      </c>
      <c r="E281" s="85" t="str">
        <f>IF($B281="","",IF(IFERROR(INDEX('RAID Log'!$1:$1048576,$B281,MATCH("Impact Area",'RAID Log'!$1:$1,0)),"")="","",IFERROR(INDEX('RAID Log'!$1:$1048576,$B281,MATCH("Impact Area",'RAID Log'!$1:$1,0)),"")))</f>
        <v/>
      </c>
      <c r="F281" s="85" t="str">
        <f>IF($B281="","",IF(IFERROR(INDEX('RAID Log'!$1:$1048576,$B281,MATCH("Impact Area",'RAID Log'!$1:$1,0)),"")="","",IFERROR(INDEX('RAID Log'!$1:$1048576,$B281,MATCH("Impact Area",'RAID Log'!$1:$1,0)),"")))</f>
        <v/>
      </c>
      <c r="G281" s="85" t="str">
        <f>IF($B281="","",IF(IFERROR(INDEX('RAID Log'!$1:$1048576,$B281,MATCH("Impact Rating",'RAID Log'!$1:$1,0)),"")="","",IFERROR(INDEX('RAID Log'!$1:$1048576,$B281,MATCH("Impact Rating",'RAID Log'!$1:$1,0)),"")))</f>
        <v/>
      </c>
      <c r="H281" s="85" t="str">
        <f>IF($B281="","",IF(IFERROR(INDEX('RAID Log'!$1:$1048576,$B281,MATCH("Initial Probability",'RAID Log'!$1:$1,0)),"")="","",IFERROR(INDEX('RAID Log'!$1:$1048576,$B281,MATCH("Initial Probability",'RAID Log'!$1:$1,0)),"")))</f>
        <v/>
      </c>
      <c r="I281" s="86" t="str">
        <f t="shared" si="12"/>
        <v/>
      </c>
      <c r="J281" s="85" t="str">
        <f t="shared" si="13"/>
        <v/>
      </c>
      <c r="K281" s="86" t="str">
        <f t="shared" si="14"/>
        <v/>
      </c>
      <c r="L281" s="85" t="str">
        <f>IF($B281="","",IF(IFERROR(INDEX('RAID Log'!$1:$1048576,$B281,MATCH("Status",'RAID Log'!$1:$1,0)),"")="","",IFERROR(INDEX('RAID Log'!$1:$1048576,$B281,MATCH("Status",'RAID Log'!$1:$1,0)),"")))</f>
        <v/>
      </c>
      <c r="M281" s="85" t="str">
        <f>IF($B281="","",IF(IFERROR(INDEX('RAID Log'!$1:$1048576,$B281,MATCH("RAID Owner",'RAID Log'!$1:$1,0)),"")="","",IFERROR(INDEX('RAID Log'!$1:$1048576,$B281,MATCH("RAID Owner",'RAID Log'!$1:$1,0)),"")))</f>
        <v/>
      </c>
      <c r="N281" s="87" t="str">
        <f>IF($B281="","",IF(IFERROR(INDEX('RAID Log'!$1:$1048576,$B281,MATCH("Date Raised",'RAID Log'!$1:$1,0)),"")="","",IFERROR(INDEX('RAID Log'!$1:$1048576,$B281,MATCH("Date Raised",'RAID Log'!$1:$1,0)),"")))</f>
        <v/>
      </c>
      <c r="O281" s="87" t="str">
        <f>IF($B281="","",IF(IFERROR(INDEX('RAID Log'!$1:$1048576,$B281,MATCH("Closed Date",'RAID Log'!$1:$1,0)),"")="","",IFERROR(INDEX('RAID Log'!$1:$1048576,$B281,MATCH("Closed Date",'RAID Log'!$1:$1,0)),"")))</f>
        <v/>
      </c>
      <c r="P281" s="85" t="str">
        <f>IF($B281="","",IF(IFERROR(INDEX('RAID Log'!$1:$1048576,$B281,MATCH("Mitigation Strategy",'RAID Log'!$1:$1,0)),"")="","",IFERROR(INDEX('RAID Log'!$1:$1048576,$B281,MATCH("Mitigation Strategy",'RAID Log'!$1:$1,0)),"")))</f>
        <v/>
      </c>
      <c r="Q281" s="88" t="str">
        <f>IF($B281="","",IF(IFERROR(INDEX('RAID Log'!$1:$1048576,$B281,MATCH("RAID Response/Plan",'RAID Log'!$1:$1,0)),"")="","",IFERROR(INDEX('RAID Log'!$1:$1048576,$B281,MATCH("RAID Response/Plan",'RAID Log'!$1:$1,0)),"")))</f>
        <v/>
      </c>
    </row>
    <row r="282" spans="1:17" ht="14.25" customHeight="1">
      <c r="A282" s="82" t="str">
        <f>IF($B282="","",IF(IFERROR(INDEX('RAID Log'!$1:$1048576,$B282,MATCH("RAID ID",'RAID Log'!$1:$1,0)),"")="","",IFERROR(INDEX('RAID Log'!$1:$1048576,$B282,MATCH("RAID ID",'RAID Log'!$1:$1,0)),"")))</f>
        <v/>
      </c>
      <c r="B282" s="83" t="str">
        <f>IFERROR(MATCH(ROW()-1,'RAID Log'!$S:$S,0),"")</f>
        <v/>
      </c>
      <c r="C282" s="84" t="str">
        <f>IF($B282="","",IF(IFERROR(INDEX('RAID Log'!$1:$1048576,$B282,MATCH("Description",'RAID Log'!$1:$1,0)),"")="","",IFERROR(INDEX('RAID Log'!$1:$1048576,$B282,MATCH("Description",'RAID Log'!$1:$1,0)),"")))</f>
        <v/>
      </c>
      <c r="D282" s="84" t="str">
        <f>IF($B282="","",IF(IFERROR(INDEX('RAID Log'!$1:$1048576,$B282,MATCH("Impact/Effect of the RAID",'RAID Log'!$1:$1,0)),"")="","",IFERROR(INDEX('RAID Log'!$1:$1048576,$B282,MATCH("Impact/Effect of the RAID",'RAID Log'!$1:$1,0)),"")))</f>
        <v/>
      </c>
      <c r="E282" s="85" t="str">
        <f>IF($B282="","",IF(IFERROR(INDEX('RAID Log'!$1:$1048576,$B282,MATCH("Impact Area",'RAID Log'!$1:$1,0)),"")="","",IFERROR(INDEX('RAID Log'!$1:$1048576,$B282,MATCH("Impact Area",'RAID Log'!$1:$1,0)),"")))</f>
        <v/>
      </c>
      <c r="F282" s="85" t="str">
        <f>IF($B282="","",IF(IFERROR(INDEX('RAID Log'!$1:$1048576,$B282,MATCH("Impact Area",'RAID Log'!$1:$1,0)),"")="","",IFERROR(INDEX('RAID Log'!$1:$1048576,$B282,MATCH("Impact Area",'RAID Log'!$1:$1,0)),"")))</f>
        <v/>
      </c>
      <c r="G282" s="85" t="str">
        <f>IF($B282="","",IF(IFERROR(INDEX('RAID Log'!$1:$1048576,$B282,MATCH("Impact Rating",'RAID Log'!$1:$1,0)),"")="","",IFERROR(INDEX('RAID Log'!$1:$1048576,$B282,MATCH("Impact Rating",'RAID Log'!$1:$1,0)),"")))</f>
        <v/>
      </c>
      <c r="H282" s="85" t="str">
        <f>IF($B282="","",IF(IFERROR(INDEX('RAID Log'!$1:$1048576,$B282,MATCH("Initial Probability",'RAID Log'!$1:$1,0)),"")="","",IFERROR(INDEX('RAID Log'!$1:$1048576,$B282,MATCH("Initial Probability",'RAID Log'!$1:$1,0)),"")))</f>
        <v/>
      </c>
      <c r="I282" s="86" t="str">
        <f t="shared" si="12"/>
        <v/>
      </c>
      <c r="J282" s="85" t="str">
        <f t="shared" si="13"/>
        <v/>
      </c>
      <c r="K282" s="86" t="str">
        <f t="shared" si="14"/>
        <v/>
      </c>
      <c r="L282" s="85" t="str">
        <f>IF($B282="","",IF(IFERROR(INDEX('RAID Log'!$1:$1048576,$B282,MATCH("Status",'RAID Log'!$1:$1,0)),"")="","",IFERROR(INDEX('RAID Log'!$1:$1048576,$B282,MATCH("Status",'RAID Log'!$1:$1,0)),"")))</f>
        <v/>
      </c>
      <c r="M282" s="85" t="str">
        <f>IF($B282="","",IF(IFERROR(INDEX('RAID Log'!$1:$1048576,$B282,MATCH("RAID Owner",'RAID Log'!$1:$1,0)),"")="","",IFERROR(INDEX('RAID Log'!$1:$1048576,$B282,MATCH("RAID Owner",'RAID Log'!$1:$1,0)),"")))</f>
        <v/>
      </c>
      <c r="N282" s="87" t="str">
        <f>IF($B282="","",IF(IFERROR(INDEX('RAID Log'!$1:$1048576,$B282,MATCH("Date Raised",'RAID Log'!$1:$1,0)),"")="","",IFERROR(INDEX('RAID Log'!$1:$1048576,$B282,MATCH("Date Raised",'RAID Log'!$1:$1,0)),"")))</f>
        <v/>
      </c>
      <c r="O282" s="87" t="str">
        <f>IF($B282="","",IF(IFERROR(INDEX('RAID Log'!$1:$1048576,$B282,MATCH("Closed Date",'RAID Log'!$1:$1,0)),"")="","",IFERROR(INDEX('RAID Log'!$1:$1048576,$B282,MATCH("Closed Date",'RAID Log'!$1:$1,0)),"")))</f>
        <v/>
      </c>
      <c r="P282" s="85" t="str">
        <f>IF($B282="","",IF(IFERROR(INDEX('RAID Log'!$1:$1048576,$B282,MATCH("Mitigation Strategy",'RAID Log'!$1:$1,0)),"")="","",IFERROR(INDEX('RAID Log'!$1:$1048576,$B282,MATCH("Mitigation Strategy",'RAID Log'!$1:$1,0)),"")))</f>
        <v/>
      </c>
      <c r="Q282" s="88" t="str">
        <f>IF($B282="","",IF(IFERROR(INDEX('RAID Log'!$1:$1048576,$B282,MATCH("RAID Response/Plan",'RAID Log'!$1:$1,0)),"")="","",IFERROR(INDEX('RAID Log'!$1:$1048576,$B282,MATCH("RAID Response/Plan",'RAID Log'!$1:$1,0)),"")))</f>
        <v/>
      </c>
    </row>
    <row r="283" spans="1:17" ht="14.25" customHeight="1">
      <c r="A283" s="82" t="str">
        <f>IF($B283="","",IF(IFERROR(INDEX('RAID Log'!$1:$1048576,$B283,MATCH("RAID ID",'RAID Log'!$1:$1,0)),"")="","",IFERROR(INDEX('RAID Log'!$1:$1048576,$B283,MATCH("RAID ID",'RAID Log'!$1:$1,0)),"")))</f>
        <v/>
      </c>
      <c r="B283" s="83" t="str">
        <f>IFERROR(MATCH(ROW()-1,'RAID Log'!$S:$S,0),"")</f>
        <v/>
      </c>
      <c r="C283" s="84" t="str">
        <f>IF($B283="","",IF(IFERROR(INDEX('RAID Log'!$1:$1048576,$B283,MATCH("Description",'RAID Log'!$1:$1,0)),"")="","",IFERROR(INDEX('RAID Log'!$1:$1048576,$B283,MATCH("Description",'RAID Log'!$1:$1,0)),"")))</f>
        <v/>
      </c>
      <c r="D283" s="84" t="str">
        <f>IF($B283="","",IF(IFERROR(INDEX('RAID Log'!$1:$1048576,$B283,MATCH("Impact/Effect of the RAID",'RAID Log'!$1:$1,0)),"")="","",IFERROR(INDEX('RAID Log'!$1:$1048576,$B283,MATCH("Impact/Effect of the RAID",'RAID Log'!$1:$1,0)),"")))</f>
        <v/>
      </c>
      <c r="E283" s="85" t="str">
        <f>IF($B283="","",IF(IFERROR(INDEX('RAID Log'!$1:$1048576,$B283,MATCH("Impact Area",'RAID Log'!$1:$1,0)),"")="","",IFERROR(INDEX('RAID Log'!$1:$1048576,$B283,MATCH("Impact Area",'RAID Log'!$1:$1,0)),"")))</f>
        <v/>
      </c>
      <c r="F283" s="85" t="str">
        <f>IF($B283="","",IF(IFERROR(INDEX('RAID Log'!$1:$1048576,$B283,MATCH("Impact Area",'RAID Log'!$1:$1,0)),"")="","",IFERROR(INDEX('RAID Log'!$1:$1048576,$B283,MATCH("Impact Area",'RAID Log'!$1:$1,0)),"")))</f>
        <v/>
      </c>
      <c r="G283" s="85" t="str">
        <f>IF($B283="","",IF(IFERROR(INDEX('RAID Log'!$1:$1048576,$B283,MATCH("Impact Rating",'RAID Log'!$1:$1,0)),"")="","",IFERROR(INDEX('RAID Log'!$1:$1048576,$B283,MATCH("Impact Rating",'RAID Log'!$1:$1,0)),"")))</f>
        <v/>
      </c>
      <c r="H283" s="85" t="str">
        <f>IF($B283="","",IF(IFERROR(INDEX('RAID Log'!$1:$1048576,$B283,MATCH("Initial Probability",'RAID Log'!$1:$1,0)),"")="","",IFERROR(INDEX('RAID Log'!$1:$1048576,$B283,MATCH("Initial Probability",'RAID Log'!$1:$1,0)),"")))</f>
        <v/>
      </c>
      <c r="I283" s="86" t="str">
        <f t="shared" si="12"/>
        <v/>
      </c>
      <c r="J283" s="85" t="str">
        <f t="shared" si="13"/>
        <v/>
      </c>
      <c r="K283" s="86" t="str">
        <f t="shared" si="14"/>
        <v/>
      </c>
      <c r="L283" s="85" t="str">
        <f>IF($B283="","",IF(IFERROR(INDEX('RAID Log'!$1:$1048576,$B283,MATCH("Status",'RAID Log'!$1:$1,0)),"")="","",IFERROR(INDEX('RAID Log'!$1:$1048576,$B283,MATCH("Status",'RAID Log'!$1:$1,0)),"")))</f>
        <v/>
      </c>
      <c r="M283" s="85" t="str">
        <f>IF($B283="","",IF(IFERROR(INDEX('RAID Log'!$1:$1048576,$B283,MATCH("RAID Owner",'RAID Log'!$1:$1,0)),"")="","",IFERROR(INDEX('RAID Log'!$1:$1048576,$B283,MATCH("RAID Owner",'RAID Log'!$1:$1,0)),"")))</f>
        <v/>
      </c>
      <c r="N283" s="87" t="str">
        <f>IF($B283="","",IF(IFERROR(INDEX('RAID Log'!$1:$1048576,$B283,MATCH("Date Raised",'RAID Log'!$1:$1,0)),"")="","",IFERROR(INDEX('RAID Log'!$1:$1048576,$B283,MATCH("Date Raised",'RAID Log'!$1:$1,0)),"")))</f>
        <v/>
      </c>
      <c r="O283" s="87" t="str">
        <f>IF($B283="","",IF(IFERROR(INDEX('RAID Log'!$1:$1048576,$B283,MATCH("Closed Date",'RAID Log'!$1:$1,0)),"")="","",IFERROR(INDEX('RAID Log'!$1:$1048576,$B283,MATCH("Closed Date",'RAID Log'!$1:$1,0)),"")))</f>
        <v/>
      </c>
      <c r="P283" s="85" t="str">
        <f>IF($B283="","",IF(IFERROR(INDEX('RAID Log'!$1:$1048576,$B283,MATCH("Mitigation Strategy",'RAID Log'!$1:$1,0)),"")="","",IFERROR(INDEX('RAID Log'!$1:$1048576,$B283,MATCH("Mitigation Strategy",'RAID Log'!$1:$1,0)),"")))</f>
        <v/>
      </c>
      <c r="Q283" s="88" t="str">
        <f>IF($B283="","",IF(IFERROR(INDEX('RAID Log'!$1:$1048576,$B283,MATCH("RAID Response/Plan",'RAID Log'!$1:$1,0)),"")="","",IFERROR(INDEX('RAID Log'!$1:$1048576,$B283,MATCH("RAID Response/Plan",'RAID Log'!$1:$1,0)),"")))</f>
        <v/>
      </c>
    </row>
    <row r="284" spans="1:17" ht="14.25" customHeight="1">
      <c r="A284" s="82" t="str">
        <f>IF($B284="","",IF(IFERROR(INDEX('RAID Log'!$1:$1048576,$B284,MATCH("RAID ID",'RAID Log'!$1:$1,0)),"")="","",IFERROR(INDEX('RAID Log'!$1:$1048576,$B284,MATCH("RAID ID",'RAID Log'!$1:$1,0)),"")))</f>
        <v/>
      </c>
      <c r="B284" s="83" t="str">
        <f>IFERROR(MATCH(ROW()-1,'RAID Log'!$S:$S,0),"")</f>
        <v/>
      </c>
      <c r="C284" s="84" t="str">
        <f>IF($B284="","",IF(IFERROR(INDEX('RAID Log'!$1:$1048576,$B284,MATCH("Description",'RAID Log'!$1:$1,0)),"")="","",IFERROR(INDEX('RAID Log'!$1:$1048576,$B284,MATCH("Description",'RAID Log'!$1:$1,0)),"")))</f>
        <v/>
      </c>
      <c r="D284" s="84" t="str">
        <f>IF($B284="","",IF(IFERROR(INDEX('RAID Log'!$1:$1048576,$B284,MATCH("Impact/Effect of the RAID",'RAID Log'!$1:$1,0)),"")="","",IFERROR(INDEX('RAID Log'!$1:$1048576,$B284,MATCH("Impact/Effect of the RAID",'RAID Log'!$1:$1,0)),"")))</f>
        <v/>
      </c>
      <c r="E284" s="85" t="str">
        <f>IF($B284="","",IF(IFERROR(INDEX('RAID Log'!$1:$1048576,$B284,MATCH("Impact Area",'RAID Log'!$1:$1,0)),"")="","",IFERROR(INDEX('RAID Log'!$1:$1048576,$B284,MATCH("Impact Area",'RAID Log'!$1:$1,0)),"")))</f>
        <v/>
      </c>
      <c r="F284" s="85" t="str">
        <f>IF($B284="","",IF(IFERROR(INDEX('RAID Log'!$1:$1048576,$B284,MATCH("Impact Area",'RAID Log'!$1:$1,0)),"")="","",IFERROR(INDEX('RAID Log'!$1:$1048576,$B284,MATCH("Impact Area",'RAID Log'!$1:$1,0)),"")))</f>
        <v/>
      </c>
      <c r="G284" s="85" t="str">
        <f>IF($B284="","",IF(IFERROR(INDEX('RAID Log'!$1:$1048576,$B284,MATCH("Impact Rating",'RAID Log'!$1:$1,0)),"")="","",IFERROR(INDEX('RAID Log'!$1:$1048576,$B284,MATCH("Impact Rating",'RAID Log'!$1:$1,0)),"")))</f>
        <v/>
      </c>
      <c r="H284" s="85" t="str">
        <f>IF($B284="","",IF(IFERROR(INDEX('RAID Log'!$1:$1048576,$B284,MATCH("Initial Probability",'RAID Log'!$1:$1,0)),"")="","",IFERROR(INDEX('RAID Log'!$1:$1048576,$B284,MATCH("Initial Probability",'RAID Log'!$1:$1,0)),"")))</f>
        <v/>
      </c>
      <c r="I284" s="86" t="str">
        <f t="shared" si="12"/>
        <v/>
      </c>
      <c r="J284" s="85" t="str">
        <f t="shared" si="13"/>
        <v/>
      </c>
      <c r="K284" s="86" t="str">
        <f t="shared" si="14"/>
        <v/>
      </c>
      <c r="L284" s="85" t="str">
        <f>IF($B284="","",IF(IFERROR(INDEX('RAID Log'!$1:$1048576,$B284,MATCH("Status",'RAID Log'!$1:$1,0)),"")="","",IFERROR(INDEX('RAID Log'!$1:$1048576,$B284,MATCH("Status",'RAID Log'!$1:$1,0)),"")))</f>
        <v/>
      </c>
      <c r="M284" s="85" t="str">
        <f>IF($B284="","",IF(IFERROR(INDEX('RAID Log'!$1:$1048576,$B284,MATCH("RAID Owner",'RAID Log'!$1:$1,0)),"")="","",IFERROR(INDEX('RAID Log'!$1:$1048576,$B284,MATCH("RAID Owner",'RAID Log'!$1:$1,0)),"")))</f>
        <v/>
      </c>
      <c r="N284" s="87" t="str">
        <f>IF($B284="","",IF(IFERROR(INDEX('RAID Log'!$1:$1048576,$B284,MATCH("Date Raised",'RAID Log'!$1:$1,0)),"")="","",IFERROR(INDEX('RAID Log'!$1:$1048576,$B284,MATCH("Date Raised",'RAID Log'!$1:$1,0)),"")))</f>
        <v/>
      </c>
      <c r="O284" s="87" t="str">
        <f>IF($B284="","",IF(IFERROR(INDEX('RAID Log'!$1:$1048576,$B284,MATCH("Closed Date",'RAID Log'!$1:$1,0)),"")="","",IFERROR(INDEX('RAID Log'!$1:$1048576,$B284,MATCH("Closed Date",'RAID Log'!$1:$1,0)),"")))</f>
        <v/>
      </c>
      <c r="P284" s="85" t="str">
        <f>IF($B284="","",IF(IFERROR(INDEX('RAID Log'!$1:$1048576,$B284,MATCH("Mitigation Strategy",'RAID Log'!$1:$1,0)),"")="","",IFERROR(INDEX('RAID Log'!$1:$1048576,$B284,MATCH("Mitigation Strategy",'RAID Log'!$1:$1,0)),"")))</f>
        <v/>
      </c>
      <c r="Q284" s="88" t="str">
        <f>IF($B284="","",IF(IFERROR(INDEX('RAID Log'!$1:$1048576,$B284,MATCH("RAID Response/Plan",'RAID Log'!$1:$1,0)),"")="","",IFERROR(INDEX('RAID Log'!$1:$1048576,$B284,MATCH("RAID Response/Plan",'RAID Log'!$1:$1,0)),"")))</f>
        <v/>
      </c>
    </row>
    <row r="285" spans="1:17" ht="14.25" customHeight="1">
      <c r="A285" s="82" t="str">
        <f>IF($B285="","",IF(IFERROR(INDEX('RAID Log'!$1:$1048576,$B285,MATCH("RAID ID",'RAID Log'!$1:$1,0)),"")="","",IFERROR(INDEX('RAID Log'!$1:$1048576,$B285,MATCH("RAID ID",'RAID Log'!$1:$1,0)),"")))</f>
        <v/>
      </c>
      <c r="B285" s="83" t="str">
        <f>IFERROR(MATCH(ROW()-1,'RAID Log'!$S:$S,0),"")</f>
        <v/>
      </c>
      <c r="C285" s="84" t="str">
        <f>IF($B285="","",IF(IFERROR(INDEX('RAID Log'!$1:$1048576,$B285,MATCH("Description",'RAID Log'!$1:$1,0)),"")="","",IFERROR(INDEX('RAID Log'!$1:$1048576,$B285,MATCH("Description",'RAID Log'!$1:$1,0)),"")))</f>
        <v/>
      </c>
      <c r="D285" s="84" t="str">
        <f>IF($B285="","",IF(IFERROR(INDEX('RAID Log'!$1:$1048576,$B285,MATCH("Impact/Effect of the RAID",'RAID Log'!$1:$1,0)),"")="","",IFERROR(INDEX('RAID Log'!$1:$1048576,$B285,MATCH("Impact/Effect of the RAID",'RAID Log'!$1:$1,0)),"")))</f>
        <v/>
      </c>
      <c r="E285" s="85" t="str">
        <f>IF($B285="","",IF(IFERROR(INDEX('RAID Log'!$1:$1048576,$B285,MATCH("Impact Area",'RAID Log'!$1:$1,0)),"")="","",IFERROR(INDEX('RAID Log'!$1:$1048576,$B285,MATCH("Impact Area",'RAID Log'!$1:$1,0)),"")))</f>
        <v/>
      </c>
      <c r="F285" s="85" t="str">
        <f>IF($B285="","",IF(IFERROR(INDEX('RAID Log'!$1:$1048576,$B285,MATCH("Impact Area",'RAID Log'!$1:$1,0)),"")="","",IFERROR(INDEX('RAID Log'!$1:$1048576,$B285,MATCH("Impact Area",'RAID Log'!$1:$1,0)),"")))</f>
        <v/>
      </c>
      <c r="G285" s="85" t="str">
        <f>IF($B285="","",IF(IFERROR(INDEX('RAID Log'!$1:$1048576,$B285,MATCH("Impact Rating",'RAID Log'!$1:$1,0)),"")="","",IFERROR(INDEX('RAID Log'!$1:$1048576,$B285,MATCH("Impact Rating",'RAID Log'!$1:$1,0)),"")))</f>
        <v/>
      </c>
      <c r="H285" s="85" t="str">
        <f>IF($B285="","",IF(IFERROR(INDEX('RAID Log'!$1:$1048576,$B285,MATCH("Initial Probability",'RAID Log'!$1:$1,0)),"")="","",IFERROR(INDEX('RAID Log'!$1:$1048576,$B285,MATCH("Initial Probability",'RAID Log'!$1:$1,0)),"")))</f>
        <v/>
      </c>
      <c r="I285" s="86" t="str">
        <f t="shared" si="12"/>
        <v/>
      </c>
      <c r="J285" s="85" t="str">
        <f t="shared" si="13"/>
        <v/>
      </c>
      <c r="K285" s="86" t="str">
        <f t="shared" si="14"/>
        <v/>
      </c>
      <c r="L285" s="85" t="str">
        <f>IF($B285="","",IF(IFERROR(INDEX('RAID Log'!$1:$1048576,$B285,MATCH("Status",'RAID Log'!$1:$1,0)),"")="","",IFERROR(INDEX('RAID Log'!$1:$1048576,$B285,MATCH("Status",'RAID Log'!$1:$1,0)),"")))</f>
        <v/>
      </c>
      <c r="M285" s="85" t="str">
        <f>IF($B285="","",IF(IFERROR(INDEX('RAID Log'!$1:$1048576,$B285,MATCH("RAID Owner",'RAID Log'!$1:$1,0)),"")="","",IFERROR(INDEX('RAID Log'!$1:$1048576,$B285,MATCH("RAID Owner",'RAID Log'!$1:$1,0)),"")))</f>
        <v/>
      </c>
      <c r="N285" s="87" t="str">
        <f>IF($B285="","",IF(IFERROR(INDEX('RAID Log'!$1:$1048576,$B285,MATCH("Date Raised",'RAID Log'!$1:$1,0)),"")="","",IFERROR(INDEX('RAID Log'!$1:$1048576,$B285,MATCH("Date Raised",'RAID Log'!$1:$1,0)),"")))</f>
        <v/>
      </c>
      <c r="O285" s="87" t="str">
        <f>IF($B285="","",IF(IFERROR(INDEX('RAID Log'!$1:$1048576,$B285,MATCH("Closed Date",'RAID Log'!$1:$1,0)),"")="","",IFERROR(INDEX('RAID Log'!$1:$1048576,$B285,MATCH("Closed Date",'RAID Log'!$1:$1,0)),"")))</f>
        <v/>
      </c>
      <c r="P285" s="85" t="str">
        <f>IF($B285="","",IF(IFERROR(INDEX('RAID Log'!$1:$1048576,$B285,MATCH("Mitigation Strategy",'RAID Log'!$1:$1,0)),"")="","",IFERROR(INDEX('RAID Log'!$1:$1048576,$B285,MATCH("Mitigation Strategy",'RAID Log'!$1:$1,0)),"")))</f>
        <v/>
      </c>
      <c r="Q285" s="88" t="str">
        <f>IF($B285="","",IF(IFERROR(INDEX('RAID Log'!$1:$1048576,$B285,MATCH("RAID Response/Plan",'RAID Log'!$1:$1,0)),"")="","",IFERROR(INDEX('RAID Log'!$1:$1048576,$B285,MATCH("RAID Response/Plan",'RAID Log'!$1:$1,0)),"")))</f>
        <v/>
      </c>
    </row>
    <row r="286" spans="1:17" ht="14.25" customHeight="1">
      <c r="A286" s="82" t="str">
        <f>IF($B286="","",IF(IFERROR(INDEX('RAID Log'!$1:$1048576,$B286,MATCH("RAID ID",'RAID Log'!$1:$1,0)),"")="","",IFERROR(INDEX('RAID Log'!$1:$1048576,$B286,MATCH("RAID ID",'RAID Log'!$1:$1,0)),"")))</f>
        <v/>
      </c>
      <c r="B286" s="83" t="str">
        <f>IFERROR(MATCH(ROW()-1,'RAID Log'!$S:$S,0),"")</f>
        <v/>
      </c>
      <c r="C286" s="84" t="str">
        <f>IF($B286="","",IF(IFERROR(INDEX('RAID Log'!$1:$1048576,$B286,MATCH("Description",'RAID Log'!$1:$1,0)),"")="","",IFERROR(INDEX('RAID Log'!$1:$1048576,$B286,MATCH("Description",'RAID Log'!$1:$1,0)),"")))</f>
        <v/>
      </c>
      <c r="D286" s="84" t="str">
        <f>IF($B286="","",IF(IFERROR(INDEX('RAID Log'!$1:$1048576,$B286,MATCH("Impact/Effect of the RAID",'RAID Log'!$1:$1,0)),"")="","",IFERROR(INDEX('RAID Log'!$1:$1048576,$B286,MATCH("Impact/Effect of the RAID",'RAID Log'!$1:$1,0)),"")))</f>
        <v/>
      </c>
      <c r="E286" s="85" t="str">
        <f>IF($B286="","",IF(IFERROR(INDEX('RAID Log'!$1:$1048576,$B286,MATCH("Impact Area",'RAID Log'!$1:$1,0)),"")="","",IFERROR(INDEX('RAID Log'!$1:$1048576,$B286,MATCH("Impact Area",'RAID Log'!$1:$1,0)),"")))</f>
        <v/>
      </c>
      <c r="F286" s="85" t="str">
        <f>IF($B286="","",IF(IFERROR(INDEX('RAID Log'!$1:$1048576,$B286,MATCH("Impact Area",'RAID Log'!$1:$1,0)),"")="","",IFERROR(INDEX('RAID Log'!$1:$1048576,$B286,MATCH("Impact Area",'RAID Log'!$1:$1,0)),"")))</f>
        <v/>
      </c>
      <c r="G286" s="85" t="str">
        <f>IF($B286="","",IF(IFERROR(INDEX('RAID Log'!$1:$1048576,$B286,MATCH("Impact Rating",'RAID Log'!$1:$1,0)),"")="","",IFERROR(INDEX('RAID Log'!$1:$1048576,$B286,MATCH("Impact Rating",'RAID Log'!$1:$1,0)),"")))</f>
        <v/>
      </c>
      <c r="H286" s="85" t="str">
        <f>IF($B286="","",IF(IFERROR(INDEX('RAID Log'!$1:$1048576,$B286,MATCH("Initial Probability",'RAID Log'!$1:$1,0)),"")="","",IFERROR(INDEX('RAID Log'!$1:$1048576,$B286,MATCH("Initial Probability",'RAID Log'!$1:$1,0)),"")))</f>
        <v/>
      </c>
      <c r="I286" s="86" t="str">
        <f t="shared" si="12"/>
        <v/>
      </c>
      <c r="J286" s="85" t="str">
        <f t="shared" si="13"/>
        <v/>
      </c>
      <c r="K286" s="86" t="str">
        <f t="shared" si="14"/>
        <v/>
      </c>
      <c r="L286" s="85" t="str">
        <f>IF($B286="","",IF(IFERROR(INDEX('RAID Log'!$1:$1048576,$B286,MATCH("Status",'RAID Log'!$1:$1,0)),"")="","",IFERROR(INDEX('RAID Log'!$1:$1048576,$B286,MATCH("Status",'RAID Log'!$1:$1,0)),"")))</f>
        <v/>
      </c>
      <c r="M286" s="85" t="str">
        <f>IF($B286="","",IF(IFERROR(INDEX('RAID Log'!$1:$1048576,$B286,MATCH("RAID Owner",'RAID Log'!$1:$1,0)),"")="","",IFERROR(INDEX('RAID Log'!$1:$1048576,$B286,MATCH("RAID Owner",'RAID Log'!$1:$1,0)),"")))</f>
        <v/>
      </c>
      <c r="N286" s="87" t="str">
        <f>IF($B286="","",IF(IFERROR(INDEX('RAID Log'!$1:$1048576,$B286,MATCH("Date Raised",'RAID Log'!$1:$1,0)),"")="","",IFERROR(INDEX('RAID Log'!$1:$1048576,$B286,MATCH("Date Raised",'RAID Log'!$1:$1,0)),"")))</f>
        <v/>
      </c>
      <c r="O286" s="87" t="str">
        <f>IF($B286="","",IF(IFERROR(INDEX('RAID Log'!$1:$1048576,$B286,MATCH("Closed Date",'RAID Log'!$1:$1,0)),"")="","",IFERROR(INDEX('RAID Log'!$1:$1048576,$B286,MATCH("Closed Date",'RAID Log'!$1:$1,0)),"")))</f>
        <v/>
      </c>
      <c r="P286" s="85" t="str">
        <f>IF($B286="","",IF(IFERROR(INDEX('RAID Log'!$1:$1048576,$B286,MATCH("Mitigation Strategy",'RAID Log'!$1:$1,0)),"")="","",IFERROR(INDEX('RAID Log'!$1:$1048576,$B286,MATCH("Mitigation Strategy",'RAID Log'!$1:$1,0)),"")))</f>
        <v/>
      </c>
      <c r="Q286" s="88" t="str">
        <f>IF($B286="","",IF(IFERROR(INDEX('RAID Log'!$1:$1048576,$B286,MATCH("RAID Response/Plan",'RAID Log'!$1:$1,0)),"")="","",IFERROR(INDEX('RAID Log'!$1:$1048576,$B286,MATCH("RAID Response/Plan",'RAID Log'!$1:$1,0)),"")))</f>
        <v/>
      </c>
    </row>
    <row r="287" spans="1:17" ht="14.25" customHeight="1">
      <c r="A287" s="82" t="str">
        <f>IF($B287="","",IF(IFERROR(INDEX('RAID Log'!$1:$1048576,$B287,MATCH("RAID ID",'RAID Log'!$1:$1,0)),"")="","",IFERROR(INDEX('RAID Log'!$1:$1048576,$B287,MATCH("RAID ID",'RAID Log'!$1:$1,0)),"")))</f>
        <v/>
      </c>
      <c r="B287" s="83" t="str">
        <f>IFERROR(MATCH(ROW()-1,'RAID Log'!$S:$S,0),"")</f>
        <v/>
      </c>
      <c r="C287" s="84" t="str">
        <f>IF($B287="","",IF(IFERROR(INDEX('RAID Log'!$1:$1048576,$B287,MATCH("Description",'RAID Log'!$1:$1,0)),"")="","",IFERROR(INDEX('RAID Log'!$1:$1048576,$B287,MATCH("Description",'RAID Log'!$1:$1,0)),"")))</f>
        <v/>
      </c>
      <c r="D287" s="84" t="str">
        <f>IF($B287="","",IF(IFERROR(INDEX('RAID Log'!$1:$1048576,$B287,MATCH("Impact/Effect of the RAID",'RAID Log'!$1:$1,0)),"")="","",IFERROR(INDEX('RAID Log'!$1:$1048576,$B287,MATCH("Impact/Effect of the RAID",'RAID Log'!$1:$1,0)),"")))</f>
        <v/>
      </c>
      <c r="E287" s="85" t="str">
        <f>IF($B287="","",IF(IFERROR(INDEX('RAID Log'!$1:$1048576,$B287,MATCH("Impact Area",'RAID Log'!$1:$1,0)),"")="","",IFERROR(INDEX('RAID Log'!$1:$1048576,$B287,MATCH("Impact Area",'RAID Log'!$1:$1,0)),"")))</f>
        <v/>
      </c>
      <c r="F287" s="85" t="str">
        <f>IF($B287="","",IF(IFERROR(INDEX('RAID Log'!$1:$1048576,$B287,MATCH("Impact Area",'RAID Log'!$1:$1,0)),"")="","",IFERROR(INDEX('RAID Log'!$1:$1048576,$B287,MATCH("Impact Area",'RAID Log'!$1:$1,0)),"")))</f>
        <v/>
      </c>
      <c r="G287" s="85" t="str">
        <f>IF($B287="","",IF(IFERROR(INDEX('RAID Log'!$1:$1048576,$B287,MATCH("Impact Rating",'RAID Log'!$1:$1,0)),"")="","",IFERROR(INDEX('RAID Log'!$1:$1048576,$B287,MATCH("Impact Rating",'RAID Log'!$1:$1,0)),"")))</f>
        <v/>
      </c>
      <c r="H287" s="85" t="str">
        <f>IF($B287="","",IF(IFERROR(INDEX('RAID Log'!$1:$1048576,$B287,MATCH("Initial Probability",'RAID Log'!$1:$1,0)),"")="","",IFERROR(INDEX('RAID Log'!$1:$1048576,$B287,MATCH("Initial Probability",'RAID Log'!$1:$1,0)),"")))</f>
        <v/>
      </c>
      <c r="I287" s="86" t="str">
        <f t="shared" si="12"/>
        <v/>
      </c>
      <c r="J287" s="85" t="str">
        <f t="shared" si="13"/>
        <v/>
      </c>
      <c r="K287" s="86" t="str">
        <f t="shared" si="14"/>
        <v/>
      </c>
      <c r="L287" s="85" t="str">
        <f>IF($B287="","",IF(IFERROR(INDEX('RAID Log'!$1:$1048576,$B287,MATCH("Status",'RAID Log'!$1:$1,0)),"")="","",IFERROR(INDEX('RAID Log'!$1:$1048576,$B287,MATCH("Status",'RAID Log'!$1:$1,0)),"")))</f>
        <v/>
      </c>
      <c r="M287" s="85" t="str">
        <f>IF($B287="","",IF(IFERROR(INDEX('RAID Log'!$1:$1048576,$B287,MATCH("RAID Owner",'RAID Log'!$1:$1,0)),"")="","",IFERROR(INDEX('RAID Log'!$1:$1048576,$B287,MATCH("RAID Owner",'RAID Log'!$1:$1,0)),"")))</f>
        <v/>
      </c>
      <c r="N287" s="87" t="str">
        <f>IF($B287="","",IF(IFERROR(INDEX('RAID Log'!$1:$1048576,$B287,MATCH("Date Raised",'RAID Log'!$1:$1,0)),"")="","",IFERROR(INDEX('RAID Log'!$1:$1048576,$B287,MATCH("Date Raised",'RAID Log'!$1:$1,0)),"")))</f>
        <v/>
      </c>
      <c r="O287" s="87" t="str">
        <f>IF($B287="","",IF(IFERROR(INDEX('RAID Log'!$1:$1048576,$B287,MATCH("Closed Date",'RAID Log'!$1:$1,0)),"")="","",IFERROR(INDEX('RAID Log'!$1:$1048576,$B287,MATCH("Closed Date",'RAID Log'!$1:$1,0)),"")))</f>
        <v/>
      </c>
      <c r="P287" s="85" t="str">
        <f>IF($B287="","",IF(IFERROR(INDEX('RAID Log'!$1:$1048576,$B287,MATCH("Mitigation Strategy",'RAID Log'!$1:$1,0)),"")="","",IFERROR(INDEX('RAID Log'!$1:$1048576,$B287,MATCH("Mitigation Strategy",'RAID Log'!$1:$1,0)),"")))</f>
        <v/>
      </c>
      <c r="Q287" s="88" t="str">
        <f>IF($B287="","",IF(IFERROR(INDEX('RAID Log'!$1:$1048576,$B287,MATCH("RAID Response/Plan",'RAID Log'!$1:$1,0)),"")="","",IFERROR(INDEX('RAID Log'!$1:$1048576,$B287,MATCH("RAID Response/Plan",'RAID Log'!$1:$1,0)),"")))</f>
        <v/>
      </c>
    </row>
    <row r="288" spans="1:17" ht="14.25" customHeight="1">
      <c r="A288" s="82" t="str">
        <f>IF($B288="","",IF(IFERROR(INDEX('RAID Log'!$1:$1048576,$B288,MATCH("RAID ID",'RAID Log'!$1:$1,0)),"")="","",IFERROR(INDEX('RAID Log'!$1:$1048576,$B288,MATCH("RAID ID",'RAID Log'!$1:$1,0)),"")))</f>
        <v/>
      </c>
      <c r="B288" s="83" t="str">
        <f>IFERROR(MATCH(ROW()-1,'RAID Log'!$S:$S,0),"")</f>
        <v/>
      </c>
      <c r="C288" s="84" t="str">
        <f>IF($B288="","",IF(IFERROR(INDEX('RAID Log'!$1:$1048576,$B288,MATCH("Description",'RAID Log'!$1:$1,0)),"")="","",IFERROR(INDEX('RAID Log'!$1:$1048576,$B288,MATCH("Description",'RAID Log'!$1:$1,0)),"")))</f>
        <v/>
      </c>
      <c r="D288" s="84" t="str">
        <f>IF($B288="","",IF(IFERROR(INDEX('RAID Log'!$1:$1048576,$B288,MATCH("Impact/Effect of the RAID",'RAID Log'!$1:$1,0)),"")="","",IFERROR(INDEX('RAID Log'!$1:$1048576,$B288,MATCH("Impact/Effect of the RAID",'RAID Log'!$1:$1,0)),"")))</f>
        <v/>
      </c>
      <c r="E288" s="85" t="str">
        <f>IF($B288="","",IF(IFERROR(INDEX('RAID Log'!$1:$1048576,$B288,MATCH("Impact Area",'RAID Log'!$1:$1,0)),"")="","",IFERROR(INDEX('RAID Log'!$1:$1048576,$B288,MATCH("Impact Area",'RAID Log'!$1:$1,0)),"")))</f>
        <v/>
      </c>
      <c r="F288" s="85" t="str">
        <f>IF($B288="","",IF(IFERROR(INDEX('RAID Log'!$1:$1048576,$B288,MATCH("Impact Area",'RAID Log'!$1:$1,0)),"")="","",IFERROR(INDEX('RAID Log'!$1:$1048576,$B288,MATCH("Impact Area",'RAID Log'!$1:$1,0)),"")))</f>
        <v/>
      </c>
      <c r="G288" s="85" t="str">
        <f>IF($B288="","",IF(IFERROR(INDEX('RAID Log'!$1:$1048576,$B288,MATCH("Impact Rating",'RAID Log'!$1:$1,0)),"")="","",IFERROR(INDEX('RAID Log'!$1:$1048576,$B288,MATCH("Impact Rating",'RAID Log'!$1:$1,0)),"")))</f>
        <v/>
      </c>
      <c r="H288" s="85" t="str">
        <f>IF($B288="","",IF(IFERROR(INDEX('RAID Log'!$1:$1048576,$B288,MATCH("Initial Probability",'RAID Log'!$1:$1,0)),"")="","",IFERROR(INDEX('RAID Log'!$1:$1048576,$B288,MATCH("Initial Probability",'RAID Log'!$1:$1,0)),"")))</f>
        <v/>
      </c>
      <c r="I288" s="86" t="str">
        <f t="shared" si="12"/>
        <v/>
      </c>
      <c r="J288" s="85" t="str">
        <f t="shared" si="13"/>
        <v/>
      </c>
      <c r="K288" s="86" t="str">
        <f t="shared" si="14"/>
        <v/>
      </c>
      <c r="L288" s="85" t="str">
        <f>IF($B288="","",IF(IFERROR(INDEX('RAID Log'!$1:$1048576,$B288,MATCH("Status",'RAID Log'!$1:$1,0)),"")="","",IFERROR(INDEX('RAID Log'!$1:$1048576,$B288,MATCH("Status",'RAID Log'!$1:$1,0)),"")))</f>
        <v/>
      </c>
      <c r="M288" s="85" t="str">
        <f>IF($B288="","",IF(IFERROR(INDEX('RAID Log'!$1:$1048576,$B288,MATCH("RAID Owner",'RAID Log'!$1:$1,0)),"")="","",IFERROR(INDEX('RAID Log'!$1:$1048576,$B288,MATCH("RAID Owner",'RAID Log'!$1:$1,0)),"")))</f>
        <v/>
      </c>
      <c r="N288" s="87" t="str">
        <f>IF($B288="","",IF(IFERROR(INDEX('RAID Log'!$1:$1048576,$B288,MATCH("Date Raised",'RAID Log'!$1:$1,0)),"")="","",IFERROR(INDEX('RAID Log'!$1:$1048576,$B288,MATCH("Date Raised",'RAID Log'!$1:$1,0)),"")))</f>
        <v/>
      </c>
      <c r="O288" s="87" t="str">
        <f>IF($B288="","",IF(IFERROR(INDEX('RAID Log'!$1:$1048576,$B288,MATCH("Closed Date",'RAID Log'!$1:$1,0)),"")="","",IFERROR(INDEX('RAID Log'!$1:$1048576,$B288,MATCH("Closed Date",'RAID Log'!$1:$1,0)),"")))</f>
        <v/>
      </c>
      <c r="P288" s="85" t="str">
        <f>IF($B288="","",IF(IFERROR(INDEX('RAID Log'!$1:$1048576,$B288,MATCH("Mitigation Strategy",'RAID Log'!$1:$1,0)),"")="","",IFERROR(INDEX('RAID Log'!$1:$1048576,$B288,MATCH("Mitigation Strategy",'RAID Log'!$1:$1,0)),"")))</f>
        <v/>
      </c>
      <c r="Q288" s="88" t="str">
        <f>IF($B288="","",IF(IFERROR(INDEX('RAID Log'!$1:$1048576,$B288,MATCH("RAID Response/Plan",'RAID Log'!$1:$1,0)),"")="","",IFERROR(INDEX('RAID Log'!$1:$1048576,$B288,MATCH("RAID Response/Plan",'RAID Log'!$1:$1,0)),"")))</f>
        <v/>
      </c>
    </row>
    <row r="289" spans="1:17" ht="14.25" customHeight="1">
      <c r="A289" s="82" t="str">
        <f>IF($B289="","",IF(IFERROR(INDEX('RAID Log'!$1:$1048576,$B289,MATCH("RAID ID",'RAID Log'!$1:$1,0)),"")="","",IFERROR(INDEX('RAID Log'!$1:$1048576,$B289,MATCH("RAID ID",'RAID Log'!$1:$1,0)),"")))</f>
        <v/>
      </c>
      <c r="B289" s="83" t="str">
        <f>IFERROR(MATCH(ROW()-1,'RAID Log'!$S:$S,0),"")</f>
        <v/>
      </c>
      <c r="C289" s="84" t="str">
        <f>IF($B289="","",IF(IFERROR(INDEX('RAID Log'!$1:$1048576,$B289,MATCH("Description",'RAID Log'!$1:$1,0)),"")="","",IFERROR(INDEX('RAID Log'!$1:$1048576,$B289,MATCH("Description",'RAID Log'!$1:$1,0)),"")))</f>
        <v/>
      </c>
      <c r="D289" s="84" t="str">
        <f>IF($B289="","",IF(IFERROR(INDEX('RAID Log'!$1:$1048576,$B289,MATCH("Impact/Effect of the RAID",'RAID Log'!$1:$1,0)),"")="","",IFERROR(INDEX('RAID Log'!$1:$1048576,$B289,MATCH("Impact/Effect of the RAID",'RAID Log'!$1:$1,0)),"")))</f>
        <v/>
      </c>
      <c r="E289" s="85" t="str">
        <f>IF($B289="","",IF(IFERROR(INDEX('RAID Log'!$1:$1048576,$B289,MATCH("Impact Area",'RAID Log'!$1:$1,0)),"")="","",IFERROR(INDEX('RAID Log'!$1:$1048576,$B289,MATCH("Impact Area",'RAID Log'!$1:$1,0)),"")))</f>
        <v/>
      </c>
      <c r="F289" s="85" t="str">
        <f>IF($B289="","",IF(IFERROR(INDEX('RAID Log'!$1:$1048576,$B289,MATCH("Impact Area",'RAID Log'!$1:$1,0)),"")="","",IFERROR(INDEX('RAID Log'!$1:$1048576,$B289,MATCH("Impact Area",'RAID Log'!$1:$1,0)),"")))</f>
        <v/>
      </c>
      <c r="G289" s="85" t="str">
        <f>IF($B289="","",IF(IFERROR(INDEX('RAID Log'!$1:$1048576,$B289,MATCH("Impact Rating",'RAID Log'!$1:$1,0)),"")="","",IFERROR(INDEX('RAID Log'!$1:$1048576,$B289,MATCH("Impact Rating",'RAID Log'!$1:$1,0)),"")))</f>
        <v/>
      </c>
      <c r="H289" s="85" t="str">
        <f>IF($B289="","",IF(IFERROR(INDEX('RAID Log'!$1:$1048576,$B289,MATCH("Initial Probability",'RAID Log'!$1:$1,0)),"")="","",IFERROR(INDEX('RAID Log'!$1:$1048576,$B289,MATCH("Initial Probability",'RAID Log'!$1:$1,0)),"")))</f>
        <v/>
      </c>
      <c r="I289" s="86" t="str">
        <f t="shared" si="12"/>
        <v/>
      </c>
      <c r="J289" s="85" t="str">
        <f t="shared" si="13"/>
        <v/>
      </c>
      <c r="K289" s="86" t="str">
        <f t="shared" si="14"/>
        <v/>
      </c>
      <c r="L289" s="85" t="str">
        <f>IF($B289="","",IF(IFERROR(INDEX('RAID Log'!$1:$1048576,$B289,MATCH("Status",'RAID Log'!$1:$1,0)),"")="","",IFERROR(INDEX('RAID Log'!$1:$1048576,$B289,MATCH("Status",'RAID Log'!$1:$1,0)),"")))</f>
        <v/>
      </c>
      <c r="M289" s="85" t="str">
        <f>IF($B289="","",IF(IFERROR(INDEX('RAID Log'!$1:$1048576,$B289,MATCH("RAID Owner",'RAID Log'!$1:$1,0)),"")="","",IFERROR(INDEX('RAID Log'!$1:$1048576,$B289,MATCH("RAID Owner",'RAID Log'!$1:$1,0)),"")))</f>
        <v/>
      </c>
      <c r="N289" s="87" t="str">
        <f>IF($B289="","",IF(IFERROR(INDEX('RAID Log'!$1:$1048576,$B289,MATCH("Date Raised",'RAID Log'!$1:$1,0)),"")="","",IFERROR(INDEX('RAID Log'!$1:$1048576,$B289,MATCH("Date Raised",'RAID Log'!$1:$1,0)),"")))</f>
        <v/>
      </c>
      <c r="O289" s="87" t="str">
        <f>IF($B289="","",IF(IFERROR(INDEX('RAID Log'!$1:$1048576,$B289,MATCH("Closed Date",'RAID Log'!$1:$1,0)),"")="","",IFERROR(INDEX('RAID Log'!$1:$1048576,$B289,MATCH("Closed Date",'RAID Log'!$1:$1,0)),"")))</f>
        <v/>
      </c>
      <c r="P289" s="85" t="str">
        <f>IF($B289="","",IF(IFERROR(INDEX('RAID Log'!$1:$1048576,$B289,MATCH("Mitigation Strategy",'RAID Log'!$1:$1,0)),"")="","",IFERROR(INDEX('RAID Log'!$1:$1048576,$B289,MATCH("Mitigation Strategy",'RAID Log'!$1:$1,0)),"")))</f>
        <v/>
      </c>
      <c r="Q289" s="88" t="str">
        <f>IF($B289="","",IF(IFERROR(INDEX('RAID Log'!$1:$1048576,$B289,MATCH("RAID Response/Plan",'RAID Log'!$1:$1,0)),"")="","",IFERROR(INDEX('RAID Log'!$1:$1048576,$B289,MATCH("RAID Response/Plan",'RAID Log'!$1:$1,0)),"")))</f>
        <v/>
      </c>
    </row>
    <row r="290" spans="1:17" ht="14.25" customHeight="1">
      <c r="A290" s="82" t="str">
        <f>IF($B290="","",IF(IFERROR(INDEX('RAID Log'!$1:$1048576,$B290,MATCH("RAID ID",'RAID Log'!$1:$1,0)),"")="","",IFERROR(INDEX('RAID Log'!$1:$1048576,$B290,MATCH("RAID ID",'RAID Log'!$1:$1,0)),"")))</f>
        <v/>
      </c>
      <c r="B290" s="83" t="str">
        <f>IFERROR(MATCH(ROW()-1,'RAID Log'!$S:$S,0),"")</f>
        <v/>
      </c>
      <c r="C290" s="84" t="str">
        <f>IF($B290="","",IF(IFERROR(INDEX('RAID Log'!$1:$1048576,$B290,MATCH("Description",'RAID Log'!$1:$1,0)),"")="","",IFERROR(INDEX('RAID Log'!$1:$1048576,$B290,MATCH("Description",'RAID Log'!$1:$1,0)),"")))</f>
        <v/>
      </c>
      <c r="D290" s="84" t="str">
        <f>IF($B290="","",IF(IFERROR(INDEX('RAID Log'!$1:$1048576,$B290,MATCH("Impact/Effect of the RAID",'RAID Log'!$1:$1,0)),"")="","",IFERROR(INDEX('RAID Log'!$1:$1048576,$B290,MATCH("Impact/Effect of the RAID",'RAID Log'!$1:$1,0)),"")))</f>
        <v/>
      </c>
      <c r="E290" s="85" t="str">
        <f>IF($B290="","",IF(IFERROR(INDEX('RAID Log'!$1:$1048576,$B290,MATCH("Impact Area",'RAID Log'!$1:$1,0)),"")="","",IFERROR(INDEX('RAID Log'!$1:$1048576,$B290,MATCH("Impact Area",'RAID Log'!$1:$1,0)),"")))</f>
        <v/>
      </c>
      <c r="F290" s="85" t="str">
        <f>IF($B290="","",IF(IFERROR(INDEX('RAID Log'!$1:$1048576,$B290,MATCH("Impact Area",'RAID Log'!$1:$1,0)),"")="","",IFERROR(INDEX('RAID Log'!$1:$1048576,$B290,MATCH("Impact Area",'RAID Log'!$1:$1,0)),"")))</f>
        <v/>
      </c>
      <c r="G290" s="85" t="str">
        <f>IF($B290="","",IF(IFERROR(INDEX('RAID Log'!$1:$1048576,$B290,MATCH("Impact Rating",'RAID Log'!$1:$1,0)),"")="","",IFERROR(INDEX('RAID Log'!$1:$1048576,$B290,MATCH("Impact Rating",'RAID Log'!$1:$1,0)),"")))</f>
        <v/>
      </c>
      <c r="H290" s="85" t="str">
        <f>IF($B290="","",IF(IFERROR(INDEX('RAID Log'!$1:$1048576,$B290,MATCH("Initial Probability",'RAID Log'!$1:$1,0)),"")="","",IFERROR(INDEX('RAID Log'!$1:$1048576,$B290,MATCH("Initial Probability",'RAID Log'!$1:$1,0)),"")))</f>
        <v/>
      </c>
      <c r="I290" s="86" t="str">
        <f t="shared" si="12"/>
        <v/>
      </c>
      <c r="J290" s="85" t="str">
        <f t="shared" si="13"/>
        <v/>
      </c>
      <c r="K290" s="86" t="str">
        <f t="shared" si="14"/>
        <v/>
      </c>
      <c r="L290" s="85" t="str">
        <f>IF($B290="","",IF(IFERROR(INDEX('RAID Log'!$1:$1048576,$B290,MATCH("Status",'RAID Log'!$1:$1,0)),"")="","",IFERROR(INDEX('RAID Log'!$1:$1048576,$B290,MATCH("Status",'RAID Log'!$1:$1,0)),"")))</f>
        <v/>
      </c>
      <c r="M290" s="85" t="str">
        <f>IF($B290="","",IF(IFERROR(INDEX('RAID Log'!$1:$1048576,$B290,MATCH("RAID Owner",'RAID Log'!$1:$1,0)),"")="","",IFERROR(INDEX('RAID Log'!$1:$1048576,$B290,MATCH("RAID Owner",'RAID Log'!$1:$1,0)),"")))</f>
        <v/>
      </c>
      <c r="N290" s="87" t="str">
        <f>IF($B290="","",IF(IFERROR(INDEX('RAID Log'!$1:$1048576,$B290,MATCH("Date Raised",'RAID Log'!$1:$1,0)),"")="","",IFERROR(INDEX('RAID Log'!$1:$1048576,$B290,MATCH("Date Raised",'RAID Log'!$1:$1,0)),"")))</f>
        <v/>
      </c>
      <c r="O290" s="87" t="str">
        <f>IF($B290="","",IF(IFERROR(INDEX('RAID Log'!$1:$1048576,$B290,MATCH("Closed Date",'RAID Log'!$1:$1,0)),"")="","",IFERROR(INDEX('RAID Log'!$1:$1048576,$B290,MATCH("Closed Date",'RAID Log'!$1:$1,0)),"")))</f>
        <v/>
      </c>
      <c r="P290" s="85" t="str">
        <f>IF($B290="","",IF(IFERROR(INDEX('RAID Log'!$1:$1048576,$B290,MATCH("Mitigation Strategy",'RAID Log'!$1:$1,0)),"")="","",IFERROR(INDEX('RAID Log'!$1:$1048576,$B290,MATCH("Mitigation Strategy",'RAID Log'!$1:$1,0)),"")))</f>
        <v/>
      </c>
      <c r="Q290" s="88" t="str">
        <f>IF($B290="","",IF(IFERROR(INDEX('RAID Log'!$1:$1048576,$B290,MATCH("RAID Response/Plan",'RAID Log'!$1:$1,0)),"")="","",IFERROR(INDEX('RAID Log'!$1:$1048576,$B290,MATCH("RAID Response/Plan",'RAID Log'!$1:$1,0)),"")))</f>
        <v/>
      </c>
    </row>
    <row r="291" spans="1:17" ht="14.25" customHeight="1">
      <c r="A291" s="82" t="str">
        <f>IF($B291="","",IF(IFERROR(INDEX('RAID Log'!$1:$1048576,$B291,MATCH("RAID ID",'RAID Log'!$1:$1,0)),"")="","",IFERROR(INDEX('RAID Log'!$1:$1048576,$B291,MATCH("RAID ID",'RAID Log'!$1:$1,0)),"")))</f>
        <v/>
      </c>
      <c r="B291" s="83" t="str">
        <f>IFERROR(MATCH(ROW()-1,'RAID Log'!$S:$S,0),"")</f>
        <v/>
      </c>
      <c r="C291" s="84" t="str">
        <f>IF($B291="","",IF(IFERROR(INDEX('RAID Log'!$1:$1048576,$B291,MATCH("Description",'RAID Log'!$1:$1,0)),"")="","",IFERROR(INDEX('RAID Log'!$1:$1048576,$B291,MATCH("Description",'RAID Log'!$1:$1,0)),"")))</f>
        <v/>
      </c>
      <c r="D291" s="84" t="str">
        <f>IF($B291="","",IF(IFERROR(INDEX('RAID Log'!$1:$1048576,$B291,MATCH("Impact/Effect of the RAID",'RAID Log'!$1:$1,0)),"")="","",IFERROR(INDEX('RAID Log'!$1:$1048576,$B291,MATCH("Impact/Effect of the RAID",'RAID Log'!$1:$1,0)),"")))</f>
        <v/>
      </c>
      <c r="E291" s="85" t="str">
        <f>IF($B291="","",IF(IFERROR(INDEX('RAID Log'!$1:$1048576,$B291,MATCH("Impact Area",'RAID Log'!$1:$1,0)),"")="","",IFERROR(INDEX('RAID Log'!$1:$1048576,$B291,MATCH("Impact Area",'RAID Log'!$1:$1,0)),"")))</f>
        <v/>
      </c>
      <c r="F291" s="85" t="str">
        <f>IF($B291="","",IF(IFERROR(INDEX('RAID Log'!$1:$1048576,$B291,MATCH("Impact Area",'RAID Log'!$1:$1,0)),"")="","",IFERROR(INDEX('RAID Log'!$1:$1048576,$B291,MATCH("Impact Area",'RAID Log'!$1:$1,0)),"")))</f>
        <v/>
      </c>
      <c r="G291" s="85" t="str">
        <f>IF($B291="","",IF(IFERROR(INDEX('RAID Log'!$1:$1048576,$B291,MATCH("Impact Rating",'RAID Log'!$1:$1,0)),"")="","",IFERROR(INDEX('RAID Log'!$1:$1048576,$B291,MATCH("Impact Rating",'RAID Log'!$1:$1,0)),"")))</f>
        <v/>
      </c>
      <c r="H291" s="85" t="str">
        <f>IF($B291="","",IF(IFERROR(INDEX('RAID Log'!$1:$1048576,$B291,MATCH("Initial Probability",'RAID Log'!$1:$1,0)),"")="","",IFERROR(INDEX('RAID Log'!$1:$1048576,$B291,MATCH("Initial Probability",'RAID Log'!$1:$1,0)),"")))</f>
        <v/>
      </c>
      <c r="I291" s="86" t="str">
        <f t="shared" si="12"/>
        <v/>
      </c>
      <c r="J291" s="85" t="str">
        <f t="shared" si="13"/>
        <v/>
      </c>
      <c r="K291" s="86" t="str">
        <f t="shared" si="14"/>
        <v/>
      </c>
      <c r="L291" s="85" t="str">
        <f>IF($B291="","",IF(IFERROR(INDEX('RAID Log'!$1:$1048576,$B291,MATCH("Status",'RAID Log'!$1:$1,0)),"")="","",IFERROR(INDEX('RAID Log'!$1:$1048576,$B291,MATCH("Status",'RAID Log'!$1:$1,0)),"")))</f>
        <v/>
      </c>
      <c r="M291" s="85" t="str">
        <f>IF($B291="","",IF(IFERROR(INDEX('RAID Log'!$1:$1048576,$B291,MATCH("RAID Owner",'RAID Log'!$1:$1,0)),"")="","",IFERROR(INDEX('RAID Log'!$1:$1048576,$B291,MATCH("RAID Owner",'RAID Log'!$1:$1,0)),"")))</f>
        <v/>
      </c>
      <c r="N291" s="87" t="str">
        <f>IF($B291="","",IF(IFERROR(INDEX('RAID Log'!$1:$1048576,$B291,MATCH("Date Raised",'RAID Log'!$1:$1,0)),"")="","",IFERROR(INDEX('RAID Log'!$1:$1048576,$B291,MATCH("Date Raised",'RAID Log'!$1:$1,0)),"")))</f>
        <v/>
      </c>
      <c r="O291" s="87" t="str">
        <f>IF($B291="","",IF(IFERROR(INDEX('RAID Log'!$1:$1048576,$B291,MATCH("Closed Date",'RAID Log'!$1:$1,0)),"")="","",IFERROR(INDEX('RAID Log'!$1:$1048576,$B291,MATCH("Closed Date",'RAID Log'!$1:$1,0)),"")))</f>
        <v/>
      </c>
      <c r="P291" s="85" t="str">
        <f>IF($B291="","",IF(IFERROR(INDEX('RAID Log'!$1:$1048576,$B291,MATCH("Mitigation Strategy",'RAID Log'!$1:$1,0)),"")="","",IFERROR(INDEX('RAID Log'!$1:$1048576,$B291,MATCH("Mitigation Strategy",'RAID Log'!$1:$1,0)),"")))</f>
        <v/>
      </c>
      <c r="Q291" s="88" t="str">
        <f>IF($B291="","",IF(IFERROR(INDEX('RAID Log'!$1:$1048576,$B291,MATCH("RAID Response/Plan",'RAID Log'!$1:$1,0)),"")="","",IFERROR(INDEX('RAID Log'!$1:$1048576,$B291,MATCH("RAID Response/Plan",'RAID Log'!$1:$1,0)),"")))</f>
        <v/>
      </c>
    </row>
    <row r="292" spans="1:17" ht="14.25" customHeight="1">
      <c r="A292" s="82" t="str">
        <f>IF($B292="","",IF(IFERROR(INDEX('RAID Log'!$1:$1048576,$B292,MATCH("RAID ID",'RAID Log'!$1:$1,0)),"")="","",IFERROR(INDEX('RAID Log'!$1:$1048576,$B292,MATCH("RAID ID",'RAID Log'!$1:$1,0)),"")))</f>
        <v/>
      </c>
      <c r="B292" s="83" t="str">
        <f>IFERROR(MATCH(ROW()-1,'RAID Log'!$S:$S,0),"")</f>
        <v/>
      </c>
      <c r="C292" s="84" t="str">
        <f>IF($B292="","",IF(IFERROR(INDEX('RAID Log'!$1:$1048576,$B292,MATCH("Description",'RAID Log'!$1:$1,0)),"")="","",IFERROR(INDEX('RAID Log'!$1:$1048576,$B292,MATCH("Description",'RAID Log'!$1:$1,0)),"")))</f>
        <v/>
      </c>
      <c r="D292" s="84" t="str">
        <f>IF($B292="","",IF(IFERROR(INDEX('RAID Log'!$1:$1048576,$B292,MATCH("Impact/Effect of the RAID",'RAID Log'!$1:$1,0)),"")="","",IFERROR(INDEX('RAID Log'!$1:$1048576,$B292,MATCH("Impact/Effect of the RAID",'RAID Log'!$1:$1,0)),"")))</f>
        <v/>
      </c>
      <c r="E292" s="85" t="str">
        <f>IF($B292="","",IF(IFERROR(INDEX('RAID Log'!$1:$1048576,$B292,MATCH("Impact Area",'RAID Log'!$1:$1,0)),"")="","",IFERROR(INDEX('RAID Log'!$1:$1048576,$B292,MATCH("Impact Area",'RAID Log'!$1:$1,0)),"")))</f>
        <v/>
      </c>
      <c r="F292" s="85" t="str">
        <f>IF($B292="","",IF(IFERROR(INDEX('RAID Log'!$1:$1048576,$B292,MATCH("Impact Area",'RAID Log'!$1:$1,0)),"")="","",IFERROR(INDEX('RAID Log'!$1:$1048576,$B292,MATCH("Impact Area",'RAID Log'!$1:$1,0)),"")))</f>
        <v/>
      </c>
      <c r="G292" s="85" t="str">
        <f>IF($B292="","",IF(IFERROR(INDEX('RAID Log'!$1:$1048576,$B292,MATCH("Impact Rating",'RAID Log'!$1:$1,0)),"")="","",IFERROR(INDEX('RAID Log'!$1:$1048576,$B292,MATCH("Impact Rating",'RAID Log'!$1:$1,0)),"")))</f>
        <v/>
      </c>
      <c r="H292" s="85" t="str">
        <f>IF($B292="","",IF(IFERROR(INDEX('RAID Log'!$1:$1048576,$B292,MATCH("Initial Probability",'RAID Log'!$1:$1,0)),"")="","",IFERROR(INDEX('RAID Log'!$1:$1048576,$B292,MATCH("Initial Probability",'RAID Log'!$1:$1,0)),"")))</f>
        <v/>
      </c>
      <c r="I292" s="86" t="str">
        <f t="shared" si="12"/>
        <v/>
      </c>
      <c r="J292" s="85" t="str">
        <f t="shared" si="13"/>
        <v/>
      </c>
      <c r="K292" s="86" t="str">
        <f t="shared" si="14"/>
        <v/>
      </c>
      <c r="L292" s="85" t="str">
        <f>IF($B292="","",IF(IFERROR(INDEX('RAID Log'!$1:$1048576,$B292,MATCH("Status",'RAID Log'!$1:$1,0)),"")="","",IFERROR(INDEX('RAID Log'!$1:$1048576,$B292,MATCH("Status",'RAID Log'!$1:$1,0)),"")))</f>
        <v/>
      </c>
      <c r="M292" s="85" t="str">
        <f>IF($B292="","",IF(IFERROR(INDEX('RAID Log'!$1:$1048576,$B292,MATCH("RAID Owner",'RAID Log'!$1:$1,0)),"")="","",IFERROR(INDEX('RAID Log'!$1:$1048576,$B292,MATCH("RAID Owner",'RAID Log'!$1:$1,0)),"")))</f>
        <v/>
      </c>
      <c r="N292" s="87" t="str">
        <f>IF($B292="","",IF(IFERROR(INDEX('RAID Log'!$1:$1048576,$B292,MATCH("Date Raised",'RAID Log'!$1:$1,0)),"")="","",IFERROR(INDEX('RAID Log'!$1:$1048576,$B292,MATCH("Date Raised",'RAID Log'!$1:$1,0)),"")))</f>
        <v/>
      </c>
      <c r="O292" s="87" t="str">
        <f>IF($B292="","",IF(IFERROR(INDEX('RAID Log'!$1:$1048576,$B292,MATCH("Closed Date",'RAID Log'!$1:$1,0)),"")="","",IFERROR(INDEX('RAID Log'!$1:$1048576,$B292,MATCH("Closed Date",'RAID Log'!$1:$1,0)),"")))</f>
        <v/>
      </c>
      <c r="P292" s="85" t="str">
        <f>IF($B292="","",IF(IFERROR(INDEX('RAID Log'!$1:$1048576,$B292,MATCH("Mitigation Strategy",'RAID Log'!$1:$1,0)),"")="","",IFERROR(INDEX('RAID Log'!$1:$1048576,$B292,MATCH("Mitigation Strategy",'RAID Log'!$1:$1,0)),"")))</f>
        <v/>
      </c>
      <c r="Q292" s="88" t="str">
        <f>IF($B292="","",IF(IFERROR(INDEX('RAID Log'!$1:$1048576,$B292,MATCH("RAID Response/Plan",'RAID Log'!$1:$1,0)),"")="","",IFERROR(INDEX('RAID Log'!$1:$1048576,$B292,MATCH("RAID Response/Plan",'RAID Log'!$1:$1,0)),"")))</f>
        <v/>
      </c>
    </row>
    <row r="293" spans="1:17" ht="14.25" customHeight="1">
      <c r="A293" s="82" t="str">
        <f>IF($B293="","",IF(IFERROR(INDEX('RAID Log'!$1:$1048576,$B293,MATCH("RAID ID",'RAID Log'!$1:$1,0)),"")="","",IFERROR(INDEX('RAID Log'!$1:$1048576,$B293,MATCH("RAID ID",'RAID Log'!$1:$1,0)),"")))</f>
        <v/>
      </c>
      <c r="B293" s="83" t="str">
        <f>IFERROR(MATCH(ROW()-1,'RAID Log'!$S:$S,0),"")</f>
        <v/>
      </c>
      <c r="C293" s="84" t="str">
        <f>IF($B293="","",IF(IFERROR(INDEX('RAID Log'!$1:$1048576,$B293,MATCH("Description",'RAID Log'!$1:$1,0)),"")="","",IFERROR(INDEX('RAID Log'!$1:$1048576,$B293,MATCH("Description",'RAID Log'!$1:$1,0)),"")))</f>
        <v/>
      </c>
      <c r="D293" s="84" t="str">
        <f>IF($B293="","",IF(IFERROR(INDEX('RAID Log'!$1:$1048576,$B293,MATCH("Impact/Effect of the RAID",'RAID Log'!$1:$1,0)),"")="","",IFERROR(INDEX('RAID Log'!$1:$1048576,$B293,MATCH("Impact/Effect of the RAID",'RAID Log'!$1:$1,0)),"")))</f>
        <v/>
      </c>
      <c r="E293" s="85" t="str">
        <f>IF($B293="","",IF(IFERROR(INDEX('RAID Log'!$1:$1048576,$B293,MATCH("Impact Area",'RAID Log'!$1:$1,0)),"")="","",IFERROR(INDEX('RAID Log'!$1:$1048576,$B293,MATCH("Impact Area",'RAID Log'!$1:$1,0)),"")))</f>
        <v/>
      </c>
      <c r="F293" s="85" t="str">
        <f>IF($B293="","",IF(IFERROR(INDEX('RAID Log'!$1:$1048576,$B293,MATCH("Impact Area",'RAID Log'!$1:$1,0)),"")="","",IFERROR(INDEX('RAID Log'!$1:$1048576,$B293,MATCH("Impact Area",'RAID Log'!$1:$1,0)),"")))</f>
        <v/>
      </c>
      <c r="G293" s="85" t="str">
        <f>IF($B293="","",IF(IFERROR(INDEX('RAID Log'!$1:$1048576,$B293,MATCH("Impact Rating",'RAID Log'!$1:$1,0)),"")="","",IFERROR(INDEX('RAID Log'!$1:$1048576,$B293,MATCH("Impact Rating",'RAID Log'!$1:$1,0)),"")))</f>
        <v/>
      </c>
      <c r="H293" s="85" t="str">
        <f>IF($B293="","",IF(IFERROR(INDEX('RAID Log'!$1:$1048576,$B293,MATCH("Initial Probability",'RAID Log'!$1:$1,0)),"")="","",IFERROR(INDEX('RAID Log'!$1:$1048576,$B293,MATCH("Initial Probability",'RAID Log'!$1:$1,0)),"")))</f>
        <v/>
      </c>
      <c r="I293" s="86" t="str">
        <f t="shared" si="12"/>
        <v/>
      </c>
      <c r="J293" s="85" t="str">
        <f t="shared" si="13"/>
        <v/>
      </c>
      <c r="K293" s="86" t="str">
        <f t="shared" si="14"/>
        <v/>
      </c>
      <c r="L293" s="85" t="str">
        <f>IF($B293="","",IF(IFERROR(INDEX('RAID Log'!$1:$1048576,$B293,MATCH("Status",'RAID Log'!$1:$1,0)),"")="","",IFERROR(INDEX('RAID Log'!$1:$1048576,$B293,MATCH("Status",'RAID Log'!$1:$1,0)),"")))</f>
        <v/>
      </c>
      <c r="M293" s="85" t="str">
        <f>IF($B293="","",IF(IFERROR(INDEX('RAID Log'!$1:$1048576,$B293,MATCH("RAID Owner",'RAID Log'!$1:$1,0)),"")="","",IFERROR(INDEX('RAID Log'!$1:$1048576,$B293,MATCH("RAID Owner",'RAID Log'!$1:$1,0)),"")))</f>
        <v/>
      </c>
      <c r="N293" s="87" t="str">
        <f>IF($B293="","",IF(IFERROR(INDEX('RAID Log'!$1:$1048576,$B293,MATCH("Date Raised",'RAID Log'!$1:$1,0)),"")="","",IFERROR(INDEX('RAID Log'!$1:$1048576,$B293,MATCH("Date Raised",'RAID Log'!$1:$1,0)),"")))</f>
        <v/>
      </c>
      <c r="O293" s="87" t="str">
        <f>IF($B293="","",IF(IFERROR(INDEX('RAID Log'!$1:$1048576,$B293,MATCH("Closed Date",'RAID Log'!$1:$1,0)),"")="","",IFERROR(INDEX('RAID Log'!$1:$1048576,$B293,MATCH("Closed Date",'RAID Log'!$1:$1,0)),"")))</f>
        <v/>
      </c>
      <c r="P293" s="85" t="str">
        <f>IF($B293="","",IF(IFERROR(INDEX('RAID Log'!$1:$1048576,$B293,MATCH("Mitigation Strategy",'RAID Log'!$1:$1,0)),"")="","",IFERROR(INDEX('RAID Log'!$1:$1048576,$B293,MATCH("Mitigation Strategy",'RAID Log'!$1:$1,0)),"")))</f>
        <v/>
      </c>
      <c r="Q293" s="88" t="str">
        <f>IF($B293="","",IF(IFERROR(INDEX('RAID Log'!$1:$1048576,$B293,MATCH("RAID Response/Plan",'RAID Log'!$1:$1,0)),"")="","",IFERROR(INDEX('RAID Log'!$1:$1048576,$B293,MATCH("RAID Response/Plan",'RAID Log'!$1:$1,0)),"")))</f>
        <v/>
      </c>
    </row>
    <row r="294" spans="1:17" ht="14.25" customHeight="1">
      <c r="A294" s="82" t="str">
        <f>IF($B294="","",IF(IFERROR(INDEX('RAID Log'!$1:$1048576,$B294,MATCH("RAID ID",'RAID Log'!$1:$1,0)),"")="","",IFERROR(INDEX('RAID Log'!$1:$1048576,$B294,MATCH("RAID ID",'RAID Log'!$1:$1,0)),"")))</f>
        <v/>
      </c>
      <c r="B294" s="83" t="str">
        <f>IFERROR(MATCH(ROW()-1,'RAID Log'!$S:$S,0),"")</f>
        <v/>
      </c>
      <c r="C294" s="84" t="str">
        <f>IF($B294="","",IF(IFERROR(INDEX('RAID Log'!$1:$1048576,$B294,MATCH("Description",'RAID Log'!$1:$1,0)),"")="","",IFERROR(INDEX('RAID Log'!$1:$1048576,$B294,MATCH("Description",'RAID Log'!$1:$1,0)),"")))</f>
        <v/>
      </c>
      <c r="D294" s="84" t="str">
        <f>IF($B294="","",IF(IFERROR(INDEX('RAID Log'!$1:$1048576,$B294,MATCH("Impact/Effect of the RAID",'RAID Log'!$1:$1,0)),"")="","",IFERROR(INDEX('RAID Log'!$1:$1048576,$B294,MATCH("Impact/Effect of the RAID",'RAID Log'!$1:$1,0)),"")))</f>
        <v/>
      </c>
      <c r="E294" s="85" t="str">
        <f>IF($B294="","",IF(IFERROR(INDEX('RAID Log'!$1:$1048576,$B294,MATCH("Impact Area",'RAID Log'!$1:$1,0)),"")="","",IFERROR(INDEX('RAID Log'!$1:$1048576,$B294,MATCH("Impact Area",'RAID Log'!$1:$1,0)),"")))</f>
        <v/>
      </c>
      <c r="F294" s="85" t="str">
        <f>IF($B294="","",IF(IFERROR(INDEX('RAID Log'!$1:$1048576,$B294,MATCH("Impact Area",'RAID Log'!$1:$1,0)),"")="","",IFERROR(INDEX('RAID Log'!$1:$1048576,$B294,MATCH("Impact Area",'RAID Log'!$1:$1,0)),"")))</f>
        <v/>
      </c>
      <c r="G294" s="85" t="str">
        <f>IF($B294="","",IF(IFERROR(INDEX('RAID Log'!$1:$1048576,$B294,MATCH("Impact Rating",'RAID Log'!$1:$1,0)),"")="","",IFERROR(INDEX('RAID Log'!$1:$1048576,$B294,MATCH("Impact Rating",'RAID Log'!$1:$1,0)),"")))</f>
        <v/>
      </c>
      <c r="H294" s="85" t="str">
        <f>IF($B294="","",IF(IFERROR(INDEX('RAID Log'!$1:$1048576,$B294,MATCH("Initial Probability",'RAID Log'!$1:$1,0)),"")="","",IFERROR(INDEX('RAID Log'!$1:$1048576,$B294,MATCH("Initial Probability",'RAID Log'!$1:$1,0)),"")))</f>
        <v/>
      </c>
      <c r="I294" s="86" t="str">
        <f t="shared" si="12"/>
        <v/>
      </c>
      <c r="J294" s="85" t="str">
        <f t="shared" si="13"/>
        <v/>
      </c>
      <c r="K294" s="86" t="str">
        <f t="shared" si="14"/>
        <v/>
      </c>
      <c r="L294" s="85" t="str">
        <f>IF($B294="","",IF(IFERROR(INDEX('RAID Log'!$1:$1048576,$B294,MATCH("Status",'RAID Log'!$1:$1,0)),"")="","",IFERROR(INDEX('RAID Log'!$1:$1048576,$B294,MATCH("Status",'RAID Log'!$1:$1,0)),"")))</f>
        <v/>
      </c>
      <c r="M294" s="85" t="str">
        <f>IF($B294="","",IF(IFERROR(INDEX('RAID Log'!$1:$1048576,$B294,MATCH("RAID Owner",'RAID Log'!$1:$1,0)),"")="","",IFERROR(INDEX('RAID Log'!$1:$1048576,$B294,MATCH("RAID Owner",'RAID Log'!$1:$1,0)),"")))</f>
        <v/>
      </c>
      <c r="N294" s="87" t="str">
        <f>IF($B294="","",IF(IFERROR(INDEX('RAID Log'!$1:$1048576,$B294,MATCH("Date Raised",'RAID Log'!$1:$1,0)),"")="","",IFERROR(INDEX('RAID Log'!$1:$1048576,$B294,MATCH("Date Raised",'RAID Log'!$1:$1,0)),"")))</f>
        <v/>
      </c>
      <c r="O294" s="87" t="str">
        <f>IF($B294="","",IF(IFERROR(INDEX('RAID Log'!$1:$1048576,$B294,MATCH("Closed Date",'RAID Log'!$1:$1,0)),"")="","",IFERROR(INDEX('RAID Log'!$1:$1048576,$B294,MATCH("Closed Date",'RAID Log'!$1:$1,0)),"")))</f>
        <v/>
      </c>
      <c r="P294" s="85" t="str">
        <f>IF($B294="","",IF(IFERROR(INDEX('RAID Log'!$1:$1048576,$B294,MATCH("Mitigation Strategy",'RAID Log'!$1:$1,0)),"")="","",IFERROR(INDEX('RAID Log'!$1:$1048576,$B294,MATCH("Mitigation Strategy",'RAID Log'!$1:$1,0)),"")))</f>
        <v/>
      </c>
      <c r="Q294" s="88" t="str">
        <f>IF($B294="","",IF(IFERROR(INDEX('RAID Log'!$1:$1048576,$B294,MATCH("RAID Response/Plan",'RAID Log'!$1:$1,0)),"")="","",IFERROR(INDEX('RAID Log'!$1:$1048576,$B294,MATCH("RAID Response/Plan",'RAID Log'!$1:$1,0)),"")))</f>
        <v/>
      </c>
    </row>
    <row r="295" spans="1:17" ht="14.25" customHeight="1">
      <c r="A295" s="82" t="str">
        <f>IF($B295="","",IF(IFERROR(INDEX('RAID Log'!$1:$1048576,$B295,MATCH("RAID ID",'RAID Log'!$1:$1,0)),"")="","",IFERROR(INDEX('RAID Log'!$1:$1048576,$B295,MATCH("RAID ID",'RAID Log'!$1:$1,0)),"")))</f>
        <v/>
      </c>
      <c r="B295" s="83" t="str">
        <f>IFERROR(MATCH(ROW()-1,'RAID Log'!$S:$S,0),"")</f>
        <v/>
      </c>
      <c r="C295" s="84" t="str">
        <f>IF($B295="","",IF(IFERROR(INDEX('RAID Log'!$1:$1048576,$B295,MATCH("Description",'RAID Log'!$1:$1,0)),"")="","",IFERROR(INDEX('RAID Log'!$1:$1048576,$B295,MATCH("Description",'RAID Log'!$1:$1,0)),"")))</f>
        <v/>
      </c>
      <c r="D295" s="84" t="str">
        <f>IF($B295="","",IF(IFERROR(INDEX('RAID Log'!$1:$1048576,$B295,MATCH("Impact/Effect of the RAID",'RAID Log'!$1:$1,0)),"")="","",IFERROR(INDEX('RAID Log'!$1:$1048576,$B295,MATCH("Impact/Effect of the RAID",'RAID Log'!$1:$1,0)),"")))</f>
        <v/>
      </c>
      <c r="E295" s="85" t="str">
        <f>IF($B295="","",IF(IFERROR(INDEX('RAID Log'!$1:$1048576,$B295,MATCH("Impact Area",'RAID Log'!$1:$1,0)),"")="","",IFERROR(INDEX('RAID Log'!$1:$1048576,$B295,MATCH("Impact Area",'RAID Log'!$1:$1,0)),"")))</f>
        <v/>
      </c>
      <c r="F295" s="85" t="str">
        <f>IF($B295="","",IF(IFERROR(INDEX('RAID Log'!$1:$1048576,$B295,MATCH("Impact Area",'RAID Log'!$1:$1,0)),"")="","",IFERROR(INDEX('RAID Log'!$1:$1048576,$B295,MATCH("Impact Area",'RAID Log'!$1:$1,0)),"")))</f>
        <v/>
      </c>
      <c r="G295" s="85" t="str">
        <f>IF($B295="","",IF(IFERROR(INDEX('RAID Log'!$1:$1048576,$B295,MATCH("Impact Rating",'RAID Log'!$1:$1,0)),"")="","",IFERROR(INDEX('RAID Log'!$1:$1048576,$B295,MATCH("Impact Rating",'RAID Log'!$1:$1,0)),"")))</f>
        <v/>
      </c>
      <c r="H295" s="85" t="str">
        <f>IF($B295="","",IF(IFERROR(INDEX('RAID Log'!$1:$1048576,$B295,MATCH("Initial Probability",'RAID Log'!$1:$1,0)),"")="","",IFERROR(INDEX('RAID Log'!$1:$1048576,$B295,MATCH("Initial Probability",'RAID Log'!$1:$1,0)),"")))</f>
        <v/>
      </c>
      <c r="I295" s="86" t="str">
        <f t="shared" si="12"/>
        <v/>
      </c>
      <c r="J295" s="85" t="str">
        <f t="shared" si="13"/>
        <v/>
      </c>
      <c r="K295" s="86" t="str">
        <f t="shared" si="14"/>
        <v/>
      </c>
      <c r="L295" s="85" t="str">
        <f>IF($B295="","",IF(IFERROR(INDEX('RAID Log'!$1:$1048576,$B295,MATCH("Status",'RAID Log'!$1:$1,0)),"")="","",IFERROR(INDEX('RAID Log'!$1:$1048576,$B295,MATCH("Status",'RAID Log'!$1:$1,0)),"")))</f>
        <v/>
      </c>
      <c r="M295" s="85" t="str">
        <f>IF($B295="","",IF(IFERROR(INDEX('RAID Log'!$1:$1048576,$B295,MATCH("RAID Owner",'RAID Log'!$1:$1,0)),"")="","",IFERROR(INDEX('RAID Log'!$1:$1048576,$B295,MATCH("RAID Owner",'RAID Log'!$1:$1,0)),"")))</f>
        <v/>
      </c>
      <c r="N295" s="87" t="str">
        <f>IF($B295="","",IF(IFERROR(INDEX('RAID Log'!$1:$1048576,$B295,MATCH("Date Raised",'RAID Log'!$1:$1,0)),"")="","",IFERROR(INDEX('RAID Log'!$1:$1048576,$B295,MATCH("Date Raised",'RAID Log'!$1:$1,0)),"")))</f>
        <v/>
      </c>
      <c r="O295" s="87" t="str">
        <f>IF($B295="","",IF(IFERROR(INDEX('RAID Log'!$1:$1048576,$B295,MATCH("Closed Date",'RAID Log'!$1:$1,0)),"")="","",IFERROR(INDEX('RAID Log'!$1:$1048576,$B295,MATCH("Closed Date",'RAID Log'!$1:$1,0)),"")))</f>
        <v/>
      </c>
      <c r="P295" s="85" t="str">
        <f>IF($B295="","",IF(IFERROR(INDEX('RAID Log'!$1:$1048576,$B295,MATCH("Mitigation Strategy",'RAID Log'!$1:$1,0)),"")="","",IFERROR(INDEX('RAID Log'!$1:$1048576,$B295,MATCH("Mitigation Strategy",'RAID Log'!$1:$1,0)),"")))</f>
        <v/>
      </c>
      <c r="Q295" s="88" t="str">
        <f>IF($B295="","",IF(IFERROR(INDEX('RAID Log'!$1:$1048576,$B295,MATCH("RAID Response/Plan",'RAID Log'!$1:$1,0)),"")="","",IFERROR(INDEX('RAID Log'!$1:$1048576,$B295,MATCH("RAID Response/Plan",'RAID Log'!$1:$1,0)),"")))</f>
        <v/>
      </c>
    </row>
    <row r="296" spans="1:17" ht="14.25" customHeight="1">
      <c r="A296" s="82" t="str">
        <f>IF($B296="","",IF(IFERROR(INDEX('RAID Log'!$1:$1048576,$B296,MATCH("RAID ID",'RAID Log'!$1:$1,0)),"")="","",IFERROR(INDEX('RAID Log'!$1:$1048576,$B296,MATCH("RAID ID",'RAID Log'!$1:$1,0)),"")))</f>
        <v/>
      </c>
      <c r="B296" s="83" t="str">
        <f>IFERROR(MATCH(ROW()-1,'RAID Log'!$S:$S,0),"")</f>
        <v/>
      </c>
      <c r="C296" s="84" t="str">
        <f>IF($B296="","",IF(IFERROR(INDEX('RAID Log'!$1:$1048576,$B296,MATCH("Description",'RAID Log'!$1:$1,0)),"")="","",IFERROR(INDEX('RAID Log'!$1:$1048576,$B296,MATCH("Description",'RAID Log'!$1:$1,0)),"")))</f>
        <v/>
      </c>
      <c r="D296" s="84" t="str">
        <f>IF($B296="","",IF(IFERROR(INDEX('RAID Log'!$1:$1048576,$B296,MATCH("Impact/Effect of the RAID",'RAID Log'!$1:$1,0)),"")="","",IFERROR(INDEX('RAID Log'!$1:$1048576,$B296,MATCH("Impact/Effect of the RAID",'RAID Log'!$1:$1,0)),"")))</f>
        <v/>
      </c>
      <c r="E296" s="85" t="str">
        <f>IF($B296="","",IF(IFERROR(INDEX('RAID Log'!$1:$1048576,$B296,MATCH("Impact Area",'RAID Log'!$1:$1,0)),"")="","",IFERROR(INDEX('RAID Log'!$1:$1048576,$B296,MATCH("Impact Area",'RAID Log'!$1:$1,0)),"")))</f>
        <v/>
      </c>
      <c r="F296" s="85" t="str">
        <f>IF($B296="","",IF(IFERROR(INDEX('RAID Log'!$1:$1048576,$B296,MATCH("Impact Area",'RAID Log'!$1:$1,0)),"")="","",IFERROR(INDEX('RAID Log'!$1:$1048576,$B296,MATCH("Impact Area",'RAID Log'!$1:$1,0)),"")))</f>
        <v/>
      </c>
      <c r="G296" s="85" t="str">
        <f>IF($B296="","",IF(IFERROR(INDEX('RAID Log'!$1:$1048576,$B296,MATCH("Impact Rating",'RAID Log'!$1:$1,0)),"")="","",IFERROR(INDEX('RAID Log'!$1:$1048576,$B296,MATCH("Impact Rating",'RAID Log'!$1:$1,0)),"")))</f>
        <v/>
      </c>
      <c r="H296" s="85" t="str">
        <f>IF($B296="","",IF(IFERROR(INDEX('RAID Log'!$1:$1048576,$B296,MATCH("Initial Probability",'RAID Log'!$1:$1,0)),"")="","",IFERROR(INDEX('RAID Log'!$1:$1048576,$B296,MATCH("Initial Probability",'RAID Log'!$1:$1,0)),"")))</f>
        <v/>
      </c>
      <c r="I296" s="86" t="str">
        <f t="shared" si="12"/>
        <v/>
      </c>
      <c r="J296" s="85" t="str">
        <f t="shared" si="13"/>
        <v/>
      </c>
      <c r="K296" s="86" t="str">
        <f t="shared" si="14"/>
        <v/>
      </c>
      <c r="L296" s="85" t="str">
        <f>IF($B296="","",IF(IFERROR(INDEX('RAID Log'!$1:$1048576,$B296,MATCH("Status",'RAID Log'!$1:$1,0)),"")="","",IFERROR(INDEX('RAID Log'!$1:$1048576,$B296,MATCH("Status",'RAID Log'!$1:$1,0)),"")))</f>
        <v/>
      </c>
      <c r="M296" s="85" t="str">
        <f>IF($B296="","",IF(IFERROR(INDEX('RAID Log'!$1:$1048576,$B296,MATCH("RAID Owner",'RAID Log'!$1:$1,0)),"")="","",IFERROR(INDEX('RAID Log'!$1:$1048576,$B296,MATCH("RAID Owner",'RAID Log'!$1:$1,0)),"")))</f>
        <v/>
      </c>
      <c r="N296" s="87" t="str">
        <f>IF($B296="","",IF(IFERROR(INDEX('RAID Log'!$1:$1048576,$B296,MATCH("Date Raised",'RAID Log'!$1:$1,0)),"")="","",IFERROR(INDEX('RAID Log'!$1:$1048576,$B296,MATCH("Date Raised",'RAID Log'!$1:$1,0)),"")))</f>
        <v/>
      </c>
      <c r="O296" s="87" t="str">
        <f>IF($B296="","",IF(IFERROR(INDEX('RAID Log'!$1:$1048576,$B296,MATCH("Closed Date",'RAID Log'!$1:$1,0)),"")="","",IFERROR(INDEX('RAID Log'!$1:$1048576,$B296,MATCH("Closed Date",'RAID Log'!$1:$1,0)),"")))</f>
        <v/>
      </c>
      <c r="P296" s="85" t="str">
        <f>IF($B296="","",IF(IFERROR(INDEX('RAID Log'!$1:$1048576,$B296,MATCH("Mitigation Strategy",'RAID Log'!$1:$1,0)),"")="","",IFERROR(INDEX('RAID Log'!$1:$1048576,$B296,MATCH("Mitigation Strategy",'RAID Log'!$1:$1,0)),"")))</f>
        <v/>
      </c>
      <c r="Q296" s="88" t="str">
        <f>IF($B296="","",IF(IFERROR(INDEX('RAID Log'!$1:$1048576,$B296,MATCH("RAID Response/Plan",'RAID Log'!$1:$1,0)),"")="","",IFERROR(INDEX('RAID Log'!$1:$1048576,$B296,MATCH("RAID Response/Plan",'RAID Log'!$1:$1,0)),"")))</f>
        <v/>
      </c>
    </row>
    <row r="297" spans="1:17" ht="14.25" customHeight="1">
      <c r="A297" s="82" t="str">
        <f>IF($B297="","",IF(IFERROR(INDEX('RAID Log'!$1:$1048576,$B297,MATCH("RAID ID",'RAID Log'!$1:$1,0)),"")="","",IFERROR(INDEX('RAID Log'!$1:$1048576,$B297,MATCH("RAID ID",'RAID Log'!$1:$1,0)),"")))</f>
        <v/>
      </c>
      <c r="B297" s="83" t="str">
        <f>IFERROR(MATCH(ROW()-1,'RAID Log'!$S:$S,0),"")</f>
        <v/>
      </c>
      <c r="C297" s="84" t="str">
        <f>IF($B297="","",IF(IFERROR(INDEX('RAID Log'!$1:$1048576,$B297,MATCH("Description",'RAID Log'!$1:$1,0)),"")="","",IFERROR(INDEX('RAID Log'!$1:$1048576,$B297,MATCH("Description",'RAID Log'!$1:$1,0)),"")))</f>
        <v/>
      </c>
      <c r="D297" s="84" t="str">
        <f>IF($B297="","",IF(IFERROR(INDEX('RAID Log'!$1:$1048576,$B297,MATCH("Impact/Effect of the RAID",'RAID Log'!$1:$1,0)),"")="","",IFERROR(INDEX('RAID Log'!$1:$1048576,$B297,MATCH("Impact/Effect of the RAID",'RAID Log'!$1:$1,0)),"")))</f>
        <v/>
      </c>
      <c r="E297" s="85" t="str">
        <f>IF($B297="","",IF(IFERROR(INDEX('RAID Log'!$1:$1048576,$B297,MATCH("Impact Area",'RAID Log'!$1:$1,0)),"")="","",IFERROR(INDEX('RAID Log'!$1:$1048576,$B297,MATCH("Impact Area",'RAID Log'!$1:$1,0)),"")))</f>
        <v/>
      </c>
      <c r="F297" s="85" t="str">
        <f>IF($B297="","",IF(IFERROR(INDEX('RAID Log'!$1:$1048576,$B297,MATCH("Impact Area",'RAID Log'!$1:$1,0)),"")="","",IFERROR(INDEX('RAID Log'!$1:$1048576,$B297,MATCH("Impact Area",'RAID Log'!$1:$1,0)),"")))</f>
        <v/>
      </c>
      <c r="G297" s="85" t="str">
        <f>IF($B297="","",IF(IFERROR(INDEX('RAID Log'!$1:$1048576,$B297,MATCH("Impact Rating",'RAID Log'!$1:$1,0)),"")="","",IFERROR(INDEX('RAID Log'!$1:$1048576,$B297,MATCH("Impact Rating",'RAID Log'!$1:$1,0)),"")))</f>
        <v/>
      </c>
      <c r="H297" s="85" t="str">
        <f>IF($B297="","",IF(IFERROR(INDEX('RAID Log'!$1:$1048576,$B297,MATCH("Initial Probability",'RAID Log'!$1:$1,0)),"")="","",IFERROR(INDEX('RAID Log'!$1:$1048576,$B297,MATCH("Initial Probability",'RAID Log'!$1:$1,0)),"")))</f>
        <v/>
      </c>
      <c r="I297" s="86" t="str">
        <f t="shared" si="12"/>
        <v/>
      </c>
      <c r="J297" s="85" t="str">
        <f t="shared" si="13"/>
        <v/>
      </c>
      <c r="K297" s="86" t="str">
        <f t="shared" si="14"/>
        <v/>
      </c>
      <c r="L297" s="85" t="str">
        <f>IF($B297="","",IF(IFERROR(INDEX('RAID Log'!$1:$1048576,$B297,MATCH("Status",'RAID Log'!$1:$1,0)),"")="","",IFERROR(INDEX('RAID Log'!$1:$1048576,$B297,MATCH("Status",'RAID Log'!$1:$1,0)),"")))</f>
        <v/>
      </c>
      <c r="M297" s="85" t="str">
        <f>IF($B297="","",IF(IFERROR(INDEX('RAID Log'!$1:$1048576,$B297,MATCH("RAID Owner",'RAID Log'!$1:$1,0)),"")="","",IFERROR(INDEX('RAID Log'!$1:$1048576,$B297,MATCH("RAID Owner",'RAID Log'!$1:$1,0)),"")))</f>
        <v/>
      </c>
      <c r="N297" s="87" t="str">
        <f>IF($B297="","",IF(IFERROR(INDEX('RAID Log'!$1:$1048576,$B297,MATCH("Date Raised",'RAID Log'!$1:$1,0)),"")="","",IFERROR(INDEX('RAID Log'!$1:$1048576,$B297,MATCH("Date Raised",'RAID Log'!$1:$1,0)),"")))</f>
        <v/>
      </c>
      <c r="O297" s="87" t="str">
        <f>IF($B297="","",IF(IFERROR(INDEX('RAID Log'!$1:$1048576,$B297,MATCH("Closed Date",'RAID Log'!$1:$1,0)),"")="","",IFERROR(INDEX('RAID Log'!$1:$1048576,$B297,MATCH("Closed Date",'RAID Log'!$1:$1,0)),"")))</f>
        <v/>
      </c>
      <c r="P297" s="85" t="str">
        <f>IF($B297="","",IF(IFERROR(INDEX('RAID Log'!$1:$1048576,$B297,MATCH("Mitigation Strategy",'RAID Log'!$1:$1,0)),"")="","",IFERROR(INDEX('RAID Log'!$1:$1048576,$B297,MATCH("Mitigation Strategy",'RAID Log'!$1:$1,0)),"")))</f>
        <v/>
      </c>
      <c r="Q297" s="88" t="str">
        <f>IF($B297="","",IF(IFERROR(INDEX('RAID Log'!$1:$1048576,$B297,MATCH("RAID Response/Plan",'RAID Log'!$1:$1,0)),"")="","",IFERROR(INDEX('RAID Log'!$1:$1048576,$B297,MATCH("RAID Response/Plan",'RAID Log'!$1:$1,0)),"")))</f>
        <v/>
      </c>
    </row>
    <row r="298" spans="1:17" ht="14.25" customHeight="1">
      <c r="A298" s="82" t="str">
        <f>IF($B298="","",IF(IFERROR(INDEX('RAID Log'!$1:$1048576,$B298,MATCH("RAID ID",'RAID Log'!$1:$1,0)),"")="","",IFERROR(INDEX('RAID Log'!$1:$1048576,$B298,MATCH("RAID ID",'RAID Log'!$1:$1,0)),"")))</f>
        <v/>
      </c>
      <c r="B298" s="83" t="str">
        <f>IFERROR(MATCH(ROW()-1,'RAID Log'!$S:$S,0),"")</f>
        <v/>
      </c>
      <c r="C298" s="84" t="str">
        <f>IF($B298="","",IF(IFERROR(INDEX('RAID Log'!$1:$1048576,$B298,MATCH("Description",'RAID Log'!$1:$1,0)),"")="","",IFERROR(INDEX('RAID Log'!$1:$1048576,$B298,MATCH("Description",'RAID Log'!$1:$1,0)),"")))</f>
        <v/>
      </c>
      <c r="D298" s="84" t="str">
        <f>IF($B298="","",IF(IFERROR(INDEX('RAID Log'!$1:$1048576,$B298,MATCH("Impact/Effect of the RAID",'RAID Log'!$1:$1,0)),"")="","",IFERROR(INDEX('RAID Log'!$1:$1048576,$B298,MATCH("Impact/Effect of the RAID",'RAID Log'!$1:$1,0)),"")))</f>
        <v/>
      </c>
      <c r="E298" s="85" t="str">
        <f>IF($B298="","",IF(IFERROR(INDEX('RAID Log'!$1:$1048576,$B298,MATCH("Impact Area",'RAID Log'!$1:$1,0)),"")="","",IFERROR(INDEX('RAID Log'!$1:$1048576,$B298,MATCH("Impact Area",'RAID Log'!$1:$1,0)),"")))</f>
        <v/>
      </c>
      <c r="F298" s="85" t="str">
        <f>IF($B298="","",IF(IFERROR(INDEX('RAID Log'!$1:$1048576,$B298,MATCH("Impact Area",'RAID Log'!$1:$1,0)),"")="","",IFERROR(INDEX('RAID Log'!$1:$1048576,$B298,MATCH("Impact Area",'RAID Log'!$1:$1,0)),"")))</f>
        <v/>
      </c>
      <c r="G298" s="85" t="str">
        <f>IF($B298="","",IF(IFERROR(INDEX('RAID Log'!$1:$1048576,$B298,MATCH("Impact Rating",'RAID Log'!$1:$1,0)),"")="","",IFERROR(INDEX('RAID Log'!$1:$1048576,$B298,MATCH("Impact Rating",'RAID Log'!$1:$1,0)),"")))</f>
        <v/>
      </c>
      <c r="H298" s="85" t="str">
        <f>IF($B298="","",IF(IFERROR(INDEX('RAID Log'!$1:$1048576,$B298,MATCH("Initial Probability",'RAID Log'!$1:$1,0)),"")="","",IFERROR(INDEX('RAID Log'!$1:$1048576,$B298,MATCH("Initial Probability",'RAID Log'!$1:$1,0)),"")))</f>
        <v/>
      </c>
      <c r="I298" s="86" t="str">
        <f t="shared" si="12"/>
        <v/>
      </c>
      <c r="J298" s="85" t="str">
        <f t="shared" si="13"/>
        <v/>
      </c>
      <c r="K298" s="86" t="str">
        <f t="shared" si="14"/>
        <v/>
      </c>
      <c r="L298" s="85" t="str">
        <f>IF($B298="","",IF(IFERROR(INDEX('RAID Log'!$1:$1048576,$B298,MATCH("Status",'RAID Log'!$1:$1,0)),"")="","",IFERROR(INDEX('RAID Log'!$1:$1048576,$B298,MATCH("Status",'RAID Log'!$1:$1,0)),"")))</f>
        <v/>
      </c>
      <c r="M298" s="85" t="str">
        <f>IF($B298="","",IF(IFERROR(INDEX('RAID Log'!$1:$1048576,$B298,MATCH("RAID Owner",'RAID Log'!$1:$1,0)),"")="","",IFERROR(INDEX('RAID Log'!$1:$1048576,$B298,MATCH("RAID Owner",'RAID Log'!$1:$1,0)),"")))</f>
        <v/>
      </c>
      <c r="N298" s="87" t="str">
        <f>IF($B298="","",IF(IFERROR(INDEX('RAID Log'!$1:$1048576,$B298,MATCH("Date Raised",'RAID Log'!$1:$1,0)),"")="","",IFERROR(INDEX('RAID Log'!$1:$1048576,$B298,MATCH("Date Raised",'RAID Log'!$1:$1,0)),"")))</f>
        <v/>
      </c>
      <c r="O298" s="87" t="str">
        <f>IF($B298="","",IF(IFERROR(INDEX('RAID Log'!$1:$1048576,$B298,MATCH("Closed Date",'RAID Log'!$1:$1,0)),"")="","",IFERROR(INDEX('RAID Log'!$1:$1048576,$B298,MATCH("Closed Date",'RAID Log'!$1:$1,0)),"")))</f>
        <v/>
      </c>
      <c r="P298" s="85" t="str">
        <f>IF($B298="","",IF(IFERROR(INDEX('RAID Log'!$1:$1048576,$B298,MATCH("Mitigation Strategy",'RAID Log'!$1:$1,0)),"")="","",IFERROR(INDEX('RAID Log'!$1:$1048576,$B298,MATCH("Mitigation Strategy",'RAID Log'!$1:$1,0)),"")))</f>
        <v/>
      </c>
      <c r="Q298" s="88" t="str">
        <f>IF($B298="","",IF(IFERROR(INDEX('RAID Log'!$1:$1048576,$B298,MATCH("RAID Response/Plan",'RAID Log'!$1:$1,0)),"")="","",IFERROR(INDEX('RAID Log'!$1:$1048576,$B298,MATCH("RAID Response/Plan",'RAID Log'!$1:$1,0)),"")))</f>
        <v/>
      </c>
    </row>
    <row r="299" spans="1:17" ht="14.25" customHeight="1">
      <c r="A299" s="82" t="str">
        <f>IF($B299="","",IF(IFERROR(INDEX('RAID Log'!$1:$1048576,$B299,MATCH("RAID ID",'RAID Log'!$1:$1,0)),"")="","",IFERROR(INDEX('RAID Log'!$1:$1048576,$B299,MATCH("RAID ID",'RAID Log'!$1:$1,0)),"")))</f>
        <v/>
      </c>
      <c r="B299" s="83" t="str">
        <f>IFERROR(MATCH(ROW()-1,'RAID Log'!$S:$S,0),"")</f>
        <v/>
      </c>
      <c r="C299" s="84" t="str">
        <f>IF($B299="","",IF(IFERROR(INDEX('RAID Log'!$1:$1048576,$B299,MATCH("Description",'RAID Log'!$1:$1,0)),"")="","",IFERROR(INDEX('RAID Log'!$1:$1048576,$B299,MATCH("Description",'RAID Log'!$1:$1,0)),"")))</f>
        <v/>
      </c>
      <c r="D299" s="84" t="str">
        <f>IF($B299="","",IF(IFERROR(INDEX('RAID Log'!$1:$1048576,$B299,MATCH("Impact/Effect of the RAID",'RAID Log'!$1:$1,0)),"")="","",IFERROR(INDEX('RAID Log'!$1:$1048576,$B299,MATCH("Impact/Effect of the RAID",'RAID Log'!$1:$1,0)),"")))</f>
        <v/>
      </c>
      <c r="E299" s="85" t="str">
        <f>IF($B299="","",IF(IFERROR(INDEX('RAID Log'!$1:$1048576,$B299,MATCH("Impact Area",'RAID Log'!$1:$1,0)),"")="","",IFERROR(INDEX('RAID Log'!$1:$1048576,$B299,MATCH("Impact Area",'RAID Log'!$1:$1,0)),"")))</f>
        <v/>
      </c>
      <c r="F299" s="85" t="str">
        <f>IF($B299="","",IF(IFERROR(INDEX('RAID Log'!$1:$1048576,$B299,MATCH("Impact Area",'RAID Log'!$1:$1,0)),"")="","",IFERROR(INDEX('RAID Log'!$1:$1048576,$B299,MATCH("Impact Area",'RAID Log'!$1:$1,0)),"")))</f>
        <v/>
      </c>
      <c r="G299" s="85" t="str">
        <f>IF($B299="","",IF(IFERROR(INDEX('RAID Log'!$1:$1048576,$B299,MATCH("Impact Rating",'RAID Log'!$1:$1,0)),"")="","",IFERROR(INDEX('RAID Log'!$1:$1048576,$B299,MATCH("Impact Rating",'RAID Log'!$1:$1,0)),"")))</f>
        <v/>
      </c>
      <c r="H299" s="85" t="str">
        <f>IF($B299="","",IF(IFERROR(INDEX('RAID Log'!$1:$1048576,$B299,MATCH("Initial Probability",'RAID Log'!$1:$1,0)),"")="","",IFERROR(INDEX('RAID Log'!$1:$1048576,$B299,MATCH("Initial Probability",'RAID Log'!$1:$1,0)),"")))</f>
        <v/>
      </c>
      <c r="I299" s="86" t="str">
        <f t="shared" si="12"/>
        <v/>
      </c>
      <c r="J299" s="85" t="str">
        <f t="shared" si="13"/>
        <v/>
      </c>
      <c r="K299" s="86" t="str">
        <f t="shared" si="14"/>
        <v/>
      </c>
      <c r="L299" s="85" t="str">
        <f>IF($B299="","",IF(IFERROR(INDEX('RAID Log'!$1:$1048576,$B299,MATCH("Status",'RAID Log'!$1:$1,0)),"")="","",IFERROR(INDEX('RAID Log'!$1:$1048576,$B299,MATCH("Status",'RAID Log'!$1:$1,0)),"")))</f>
        <v/>
      </c>
      <c r="M299" s="85" t="str">
        <f>IF($B299="","",IF(IFERROR(INDEX('RAID Log'!$1:$1048576,$B299,MATCH("RAID Owner",'RAID Log'!$1:$1,0)),"")="","",IFERROR(INDEX('RAID Log'!$1:$1048576,$B299,MATCH("RAID Owner",'RAID Log'!$1:$1,0)),"")))</f>
        <v/>
      </c>
      <c r="N299" s="87" t="str">
        <f>IF($B299="","",IF(IFERROR(INDEX('RAID Log'!$1:$1048576,$B299,MATCH("Date Raised",'RAID Log'!$1:$1,0)),"")="","",IFERROR(INDEX('RAID Log'!$1:$1048576,$B299,MATCH("Date Raised",'RAID Log'!$1:$1,0)),"")))</f>
        <v/>
      </c>
      <c r="O299" s="87" t="str">
        <f>IF($B299="","",IF(IFERROR(INDEX('RAID Log'!$1:$1048576,$B299,MATCH("Closed Date",'RAID Log'!$1:$1,0)),"")="","",IFERROR(INDEX('RAID Log'!$1:$1048576,$B299,MATCH("Closed Date",'RAID Log'!$1:$1,0)),"")))</f>
        <v/>
      </c>
      <c r="P299" s="85" t="str">
        <f>IF($B299="","",IF(IFERROR(INDEX('RAID Log'!$1:$1048576,$B299,MATCH("Mitigation Strategy",'RAID Log'!$1:$1,0)),"")="","",IFERROR(INDEX('RAID Log'!$1:$1048576,$B299,MATCH("Mitigation Strategy",'RAID Log'!$1:$1,0)),"")))</f>
        <v/>
      </c>
      <c r="Q299" s="88" t="str">
        <f>IF($B299="","",IF(IFERROR(INDEX('RAID Log'!$1:$1048576,$B299,MATCH("RAID Response/Plan",'RAID Log'!$1:$1,0)),"")="","",IFERROR(INDEX('RAID Log'!$1:$1048576,$B299,MATCH("RAID Response/Plan",'RAID Log'!$1:$1,0)),"")))</f>
        <v/>
      </c>
    </row>
    <row r="300" spans="1:17" ht="14.25" customHeight="1">
      <c r="A300" s="82" t="str">
        <f>IF($B300="","",IF(IFERROR(INDEX('RAID Log'!$1:$1048576,$B300,MATCH("RAID ID",'RAID Log'!$1:$1,0)),"")="","",IFERROR(INDEX('RAID Log'!$1:$1048576,$B300,MATCH("RAID ID",'RAID Log'!$1:$1,0)),"")))</f>
        <v/>
      </c>
      <c r="B300" s="83" t="str">
        <f>IFERROR(MATCH(ROW()-1,'RAID Log'!$S:$S,0),"")</f>
        <v/>
      </c>
      <c r="C300" s="84" t="str">
        <f>IF($B300="","",IF(IFERROR(INDEX('RAID Log'!$1:$1048576,$B300,MATCH("Description",'RAID Log'!$1:$1,0)),"")="","",IFERROR(INDEX('RAID Log'!$1:$1048576,$B300,MATCH("Description",'RAID Log'!$1:$1,0)),"")))</f>
        <v/>
      </c>
      <c r="D300" s="84" t="str">
        <f>IF($B300="","",IF(IFERROR(INDEX('RAID Log'!$1:$1048576,$B300,MATCH("Impact/Effect of the RAID",'RAID Log'!$1:$1,0)),"")="","",IFERROR(INDEX('RAID Log'!$1:$1048576,$B300,MATCH("Impact/Effect of the RAID",'RAID Log'!$1:$1,0)),"")))</f>
        <v/>
      </c>
      <c r="E300" s="85" t="str">
        <f>IF($B300="","",IF(IFERROR(INDEX('RAID Log'!$1:$1048576,$B300,MATCH("Impact Area",'RAID Log'!$1:$1,0)),"")="","",IFERROR(INDEX('RAID Log'!$1:$1048576,$B300,MATCH("Impact Area",'RAID Log'!$1:$1,0)),"")))</f>
        <v/>
      </c>
      <c r="F300" s="85" t="str">
        <f>IF($B300="","",IF(IFERROR(INDEX('RAID Log'!$1:$1048576,$B300,MATCH("Impact Area",'RAID Log'!$1:$1,0)),"")="","",IFERROR(INDEX('RAID Log'!$1:$1048576,$B300,MATCH("Impact Area",'RAID Log'!$1:$1,0)),"")))</f>
        <v/>
      </c>
      <c r="G300" s="85" t="str">
        <f>IF($B300="","",IF(IFERROR(INDEX('RAID Log'!$1:$1048576,$B300,MATCH("Impact Rating",'RAID Log'!$1:$1,0)),"")="","",IFERROR(INDEX('RAID Log'!$1:$1048576,$B300,MATCH("Impact Rating",'RAID Log'!$1:$1,0)),"")))</f>
        <v/>
      </c>
      <c r="H300" s="85" t="str">
        <f>IF($B300="","",IF(IFERROR(INDEX('RAID Log'!$1:$1048576,$B300,MATCH("Initial Probability",'RAID Log'!$1:$1,0)),"")="","",IFERROR(INDEX('RAID Log'!$1:$1048576,$B300,MATCH("Initial Probability",'RAID Log'!$1:$1,0)),"")))</f>
        <v/>
      </c>
      <c r="I300" s="86" t="str">
        <f t="shared" si="12"/>
        <v/>
      </c>
      <c r="J300" s="85" t="str">
        <f t="shared" si="13"/>
        <v/>
      </c>
      <c r="K300" s="86" t="str">
        <f t="shared" si="14"/>
        <v/>
      </c>
      <c r="L300" s="85" t="str">
        <f>IF($B300="","",IF(IFERROR(INDEX('RAID Log'!$1:$1048576,$B300,MATCH("Status",'RAID Log'!$1:$1,0)),"")="","",IFERROR(INDEX('RAID Log'!$1:$1048576,$B300,MATCH("Status",'RAID Log'!$1:$1,0)),"")))</f>
        <v/>
      </c>
      <c r="M300" s="85" t="str">
        <f>IF($B300="","",IF(IFERROR(INDEX('RAID Log'!$1:$1048576,$B300,MATCH("RAID Owner",'RAID Log'!$1:$1,0)),"")="","",IFERROR(INDEX('RAID Log'!$1:$1048576,$B300,MATCH("RAID Owner",'RAID Log'!$1:$1,0)),"")))</f>
        <v/>
      </c>
      <c r="N300" s="87" t="str">
        <f>IF($B300="","",IF(IFERROR(INDEX('RAID Log'!$1:$1048576,$B300,MATCH("Date Raised",'RAID Log'!$1:$1,0)),"")="","",IFERROR(INDEX('RAID Log'!$1:$1048576,$B300,MATCH("Date Raised",'RAID Log'!$1:$1,0)),"")))</f>
        <v/>
      </c>
      <c r="O300" s="87" t="str">
        <f>IF($B300="","",IF(IFERROR(INDEX('RAID Log'!$1:$1048576,$B300,MATCH("Closed Date",'RAID Log'!$1:$1,0)),"")="","",IFERROR(INDEX('RAID Log'!$1:$1048576,$B300,MATCH("Closed Date",'RAID Log'!$1:$1,0)),"")))</f>
        <v/>
      </c>
      <c r="P300" s="85" t="str">
        <f>IF($B300="","",IF(IFERROR(INDEX('RAID Log'!$1:$1048576,$B300,MATCH("Mitigation Strategy",'RAID Log'!$1:$1,0)),"")="","",IFERROR(INDEX('RAID Log'!$1:$1048576,$B300,MATCH("Mitigation Strategy",'RAID Log'!$1:$1,0)),"")))</f>
        <v/>
      </c>
      <c r="Q300" s="88" t="str">
        <f>IF($B300="","",IF(IFERROR(INDEX('RAID Log'!$1:$1048576,$B300,MATCH("RAID Response/Plan",'RAID Log'!$1:$1,0)),"")="","",IFERROR(INDEX('RAID Log'!$1:$1048576,$B300,MATCH("RAID Response/Plan",'RAID Log'!$1:$1,0)),"")))</f>
        <v/>
      </c>
    </row>
    <row r="301" spans="1:17" ht="14.25" customHeight="1">
      <c r="A301" s="82" t="str">
        <f>IF($B301="","",IF(IFERROR(INDEX('RAID Log'!$1:$1048576,$B301,MATCH("RAID ID",'RAID Log'!$1:$1,0)),"")="","",IFERROR(INDEX('RAID Log'!$1:$1048576,$B301,MATCH("RAID ID",'RAID Log'!$1:$1,0)),"")))</f>
        <v/>
      </c>
      <c r="B301" s="83" t="str">
        <f>IFERROR(MATCH(ROW()-1,'RAID Log'!$S:$S,0),"")</f>
        <v/>
      </c>
      <c r="C301" s="84" t="str">
        <f>IF($B301="","",IF(IFERROR(INDEX('RAID Log'!$1:$1048576,$B301,MATCH("Description",'RAID Log'!$1:$1,0)),"")="","",IFERROR(INDEX('RAID Log'!$1:$1048576,$B301,MATCH("Description",'RAID Log'!$1:$1,0)),"")))</f>
        <v/>
      </c>
      <c r="D301" s="84" t="str">
        <f>IF($B301="","",IF(IFERROR(INDEX('RAID Log'!$1:$1048576,$B301,MATCH("Impact/Effect of the RAID",'RAID Log'!$1:$1,0)),"")="","",IFERROR(INDEX('RAID Log'!$1:$1048576,$B301,MATCH("Impact/Effect of the RAID",'RAID Log'!$1:$1,0)),"")))</f>
        <v/>
      </c>
      <c r="E301" s="85" t="str">
        <f>IF($B301="","",IF(IFERROR(INDEX('RAID Log'!$1:$1048576,$B301,MATCH("Impact Area",'RAID Log'!$1:$1,0)),"")="","",IFERROR(INDEX('RAID Log'!$1:$1048576,$B301,MATCH("Impact Area",'RAID Log'!$1:$1,0)),"")))</f>
        <v/>
      </c>
      <c r="F301" s="85" t="str">
        <f>IF($B301="","",IF(IFERROR(INDEX('RAID Log'!$1:$1048576,$B301,MATCH("Impact Area",'RAID Log'!$1:$1,0)),"")="","",IFERROR(INDEX('RAID Log'!$1:$1048576,$B301,MATCH("Impact Area",'RAID Log'!$1:$1,0)),"")))</f>
        <v/>
      </c>
      <c r="G301" s="85" t="str">
        <f>IF($B301="","",IF(IFERROR(INDEX('RAID Log'!$1:$1048576,$B301,MATCH("Impact Rating",'RAID Log'!$1:$1,0)),"")="","",IFERROR(INDEX('RAID Log'!$1:$1048576,$B301,MATCH("Impact Rating",'RAID Log'!$1:$1,0)),"")))</f>
        <v/>
      </c>
      <c r="H301" s="85" t="str">
        <f>IF($B301="","",IF(IFERROR(INDEX('RAID Log'!$1:$1048576,$B301,MATCH("Initial Probability",'RAID Log'!$1:$1,0)),"")="","",IFERROR(INDEX('RAID Log'!$1:$1048576,$B301,MATCH("Initial Probability",'RAID Log'!$1:$1,0)),"")))</f>
        <v/>
      </c>
      <c r="I301" s="86" t="str">
        <f t="shared" si="12"/>
        <v/>
      </c>
      <c r="J301" s="85" t="str">
        <f t="shared" si="13"/>
        <v/>
      </c>
      <c r="K301" s="86" t="str">
        <f t="shared" si="14"/>
        <v/>
      </c>
      <c r="L301" s="85" t="str">
        <f>IF($B301="","",IF(IFERROR(INDEX('RAID Log'!$1:$1048576,$B301,MATCH("Status",'RAID Log'!$1:$1,0)),"")="","",IFERROR(INDEX('RAID Log'!$1:$1048576,$B301,MATCH("Status",'RAID Log'!$1:$1,0)),"")))</f>
        <v/>
      </c>
      <c r="M301" s="85" t="str">
        <f>IF($B301="","",IF(IFERROR(INDEX('RAID Log'!$1:$1048576,$B301,MATCH("RAID Owner",'RAID Log'!$1:$1,0)),"")="","",IFERROR(INDEX('RAID Log'!$1:$1048576,$B301,MATCH("RAID Owner",'RAID Log'!$1:$1,0)),"")))</f>
        <v/>
      </c>
      <c r="N301" s="87" t="str">
        <f>IF($B301="","",IF(IFERROR(INDEX('RAID Log'!$1:$1048576,$B301,MATCH("Date Raised",'RAID Log'!$1:$1,0)),"")="","",IFERROR(INDEX('RAID Log'!$1:$1048576,$B301,MATCH("Date Raised",'RAID Log'!$1:$1,0)),"")))</f>
        <v/>
      </c>
      <c r="O301" s="87" t="str">
        <f>IF($B301="","",IF(IFERROR(INDEX('RAID Log'!$1:$1048576,$B301,MATCH("Closed Date",'RAID Log'!$1:$1,0)),"")="","",IFERROR(INDEX('RAID Log'!$1:$1048576,$B301,MATCH("Closed Date",'RAID Log'!$1:$1,0)),"")))</f>
        <v/>
      </c>
      <c r="P301" s="85" t="str">
        <f>IF($B301="","",IF(IFERROR(INDEX('RAID Log'!$1:$1048576,$B301,MATCH("Mitigation Strategy",'RAID Log'!$1:$1,0)),"")="","",IFERROR(INDEX('RAID Log'!$1:$1048576,$B301,MATCH("Mitigation Strategy",'RAID Log'!$1:$1,0)),"")))</f>
        <v/>
      </c>
      <c r="Q301" s="88" t="str">
        <f>IF($B301="","",IF(IFERROR(INDEX('RAID Log'!$1:$1048576,$B301,MATCH("RAID Response/Plan",'RAID Log'!$1:$1,0)),"")="","",IFERROR(INDEX('RAID Log'!$1:$1048576,$B301,MATCH("RAID Response/Plan",'RAID Log'!$1:$1,0)),"")))</f>
        <v/>
      </c>
    </row>
    <row r="302" spans="1:17" ht="14.25" customHeight="1">
      <c r="A302" s="82" t="str">
        <f>IF($B302="","",IF(IFERROR(INDEX('RAID Log'!$1:$1048576,$B302,MATCH("RAID ID",'RAID Log'!$1:$1,0)),"")="","",IFERROR(INDEX('RAID Log'!$1:$1048576,$B302,MATCH("RAID ID",'RAID Log'!$1:$1,0)),"")))</f>
        <v/>
      </c>
      <c r="B302" s="83" t="str">
        <f>IFERROR(MATCH(ROW()-1,'RAID Log'!$S:$S,0),"")</f>
        <v/>
      </c>
      <c r="C302" s="84" t="str">
        <f>IF($B302="","",IF(IFERROR(INDEX('RAID Log'!$1:$1048576,$B302,MATCH("Description",'RAID Log'!$1:$1,0)),"")="","",IFERROR(INDEX('RAID Log'!$1:$1048576,$B302,MATCH("Description",'RAID Log'!$1:$1,0)),"")))</f>
        <v/>
      </c>
      <c r="D302" s="84" t="str">
        <f>IF($B302="","",IF(IFERROR(INDEX('RAID Log'!$1:$1048576,$B302,MATCH("Impact/Effect of the RAID",'RAID Log'!$1:$1,0)),"")="","",IFERROR(INDEX('RAID Log'!$1:$1048576,$B302,MATCH("Impact/Effect of the RAID",'RAID Log'!$1:$1,0)),"")))</f>
        <v/>
      </c>
      <c r="E302" s="85" t="str">
        <f>IF($B302="","",IF(IFERROR(INDEX('RAID Log'!$1:$1048576,$B302,MATCH("Impact Area",'RAID Log'!$1:$1,0)),"")="","",IFERROR(INDEX('RAID Log'!$1:$1048576,$B302,MATCH("Impact Area",'RAID Log'!$1:$1,0)),"")))</f>
        <v/>
      </c>
      <c r="F302" s="85" t="str">
        <f>IF($B302="","",IF(IFERROR(INDEX('RAID Log'!$1:$1048576,$B302,MATCH("Impact Area",'RAID Log'!$1:$1,0)),"")="","",IFERROR(INDEX('RAID Log'!$1:$1048576,$B302,MATCH("Impact Area",'RAID Log'!$1:$1,0)),"")))</f>
        <v/>
      </c>
      <c r="G302" s="85" t="str">
        <f>IF($B302="","",IF(IFERROR(INDEX('RAID Log'!$1:$1048576,$B302,MATCH("Impact Rating",'RAID Log'!$1:$1,0)),"")="","",IFERROR(INDEX('RAID Log'!$1:$1048576,$B302,MATCH("Impact Rating",'RAID Log'!$1:$1,0)),"")))</f>
        <v/>
      </c>
      <c r="H302" s="85" t="str">
        <f>IF($B302="","",IF(IFERROR(INDEX('RAID Log'!$1:$1048576,$B302,MATCH("Initial Probability",'RAID Log'!$1:$1,0)),"")="","",IFERROR(INDEX('RAID Log'!$1:$1048576,$B302,MATCH("Initial Probability",'RAID Log'!$1:$1,0)),"")))</f>
        <v/>
      </c>
      <c r="I302" s="86" t="str">
        <f t="shared" si="12"/>
        <v/>
      </c>
      <c r="J302" s="85" t="str">
        <f t="shared" si="13"/>
        <v/>
      </c>
      <c r="K302" s="86" t="str">
        <f t="shared" si="14"/>
        <v/>
      </c>
      <c r="L302" s="85" t="str">
        <f>IF($B302="","",IF(IFERROR(INDEX('RAID Log'!$1:$1048576,$B302,MATCH("Status",'RAID Log'!$1:$1,0)),"")="","",IFERROR(INDEX('RAID Log'!$1:$1048576,$B302,MATCH("Status",'RAID Log'!$1:$1,0)),"")))</f>
        <v/>
      </c>
      <c r="M302" s="85" t="str">
        <f>IF($B302="","",IF(IFERROR(INDEX('RAID Log'!$1:$1048576,$B302,MATCH("RAID Owner",'RAID Log'!$1:$1,0)),"")="","",IFERROR(INDEX('RAID Log'!$1:$1048576,$B302,MATCH("RAID Owner",'RAID Log'!$1:$1,0)),"")))</f>
        <v/>
      </c>
      <c r="N302" s="87" t="str">
        <f>IF($B302="","",IF(IFERROR(INDEX('RAID Log'!$1:$1048576,$B302,MATCH("Date Raised",'RAID Log'!$1:$1,0)),"")="","",IFERROR(INDEX('RAID Log'!$1:$1048576,$B302,MATCH("Date Raised",'RAID Log'!$1:$1,0)),"")))</f>
        <v/>
      </c>
      <c r="O302" s="87" t="str">
        <f>IF($B302="","",IF(IFERROR(INDEX('RAID Log'!$1:$1048576,$B302,MATCH("Closed Date",'RAID Log'!$1:$1,0)),"")="","",IFERROR(INDEX('RAID Log'!$1:$1048576,$B302,MATCH("Closed Date",'RAID Log'!$1:$1,0)),"")))</f>
        <v/>
      </c>
      <c r="P302" s="85" t="str">
        <f>IF($B302="","",IF(IFERROR(INDEX('RAID Log'!$1:$1048576,$B302,MATCH("Mitigation Strategy",'RAID Log'!$1:$1,0)),"")="","",IFERROR(INDEX('RAID Log'!$1:$1048576,$B302,MATCH("Mitigation Strategy",'RAID Log'!$1:$1,0)),"")))</f>
        <v/>
      </c>
      <c r="Q302" s="88" t="str">
        <f>IF($B302="","",IF(IFERROR(INDEX('RAID Log'!$1:$1048576,$B302,MATCH("RAID Response/Plan",'RAID Log'!$1:$1,0)),"")="","",IFERROR(INDEX('RAID Log'!$1:$1048576,$B302,MATCH("RAID Response/Plan",'RAID Log'!$1:$1,0)),"")))</f>
        <v/>
      </c>
    </row>
    <row r="303" spans="1:17" ht="14.25" customHeight="1">
      <c r="A303" s="82" t="str">
        <f>IF($B303="","",IF(IFERROR(INDEX('RAID Log'!$1:$1048576,$B303,MATCH("RAID ID",'RAID Log'!$1:$1,0)),"")="","",IFERROR(INDEX('RAID Log'!$1:$1048576,$B303,MATCH("RAID ID",'RAID Log'!$1:$1,0)),"")))</f>
        <v/>
      </c>
      <c r="B303" s="83" t="str">
        <f>IFERROR(MATCH(ROW()-1,'RAID Log'!$S:$S,0),"")</f>
        <v/>
      </c>
      <c r="C303" s="84" t="str">
        <f>IF($B303="","",IF(IFERROR(INDEX('RAID Log'!$1:$1048576,$B303,MATCH("Description",'RAID Log'!$1:$1,0)),"")="","",IFERROR(INDEX('RAID Log'!$1:$1048576,$B303,MATCH("Description",'RAID Log'!$1:$1,0)),"")))</f>
        <v/>
      </c>
      <c r="D303" s="84" t="str">
        <f>IF($B303="","",IF(IFERROR(INDEX('RAID Log'!$1:$1048576,$B303,MATCH("Impact/Effect of the RAID",'RAID Log'!$1:$1,0)),"")="","",IFERROR(INDEX('RAID Log'!$1:$1048576,$B303,MATCH("Impact/Effect of the RAID",'RAID Log'!$1:$1,0)),"")))</f>
        <v/>
      </c>
      <c r="E303" s="85" t="str">
        <f>IF($B303="","",IF(IFERROR(INDEX('RAID Log'!$1:$1048576,$B303,MATCH("Impact Area",'RAID Log'!$1:$1,0)),"")="","",IFERROR(INDEX('RAID Log'!$1:$1048576,$B303,MATCH("Impact Area",'RAID Log'!$1:$1,0)),"")))</f>
        <v/>
      </c>
      <c r="F303" s="85" t="str">
        <f>IF($B303="","",IF(IFERROR(INDEX('RAID Log'!$1:$1048576,$B303,MATCH("Impact Area",'RAID Log'!$1:$1,0)),"")="","",IFERROR(INDEX('RAID Log'!$1:$1048576,$B303,MATCH("Impact Area",'RAID Log'!$1:$1,0)),"")))</f>
        <v/>
      </c>
      <c r="G303" s="85" t="str">
        <f>IF($B303="","",IF(IFERROR(INDEX('RAID Log'!$1:$1048576,$B303,MATCH("Impact Rating",'RAID Log'!$1:$1,0)),"")="","",IFERROR(INDEX('RAID Log'!$1:$1048576,$B303,MATCH("Impact Rating",'RAID Log'!$1:$1,0)),"")))</f>
        <v/>
      </c>
      <c r="H303" s="85" t="str">
        <f>IF($B303="","",IF(IFERROR(INDEX('RAID Log'!$1:$1048576,$B303,MATCH("Initial Probability",'RAID Log'!$1:$1,0)),"")="","",IFERROR(INDEX('RAID Log'!$1:$1048576,$B303,MATCH("Initial Probability",'RAID Log'!$1:$1,0)),"")))</f>
        <v/>
      </c>
      <c r="I303" s="86" t="str">
        <f t="shared" si="12"/>
        <v/>
      </c>
      <c r="J303" s="85" t="str">
        <f t="shared" si="13"/>
        <v/>
      </c>
      <c r="K303" s="86" t="str">
        <f t="shared" si="14"/>
        <v/>
      </c>
      <c r="L303" s="85" t="str">
        <f>IF($B303="","",IF(IFERROR(INDEX('RAID Log'!$1:$1048576,$B303,MATCH("Status",'RAID Log'!$1:$1,0)),"")="","",IFERROR(INDEX('RAID Log'!$1:$1048576,$B303,MATCH("Status",'RAID Log'!$1:$1,0)),"")))</f>
        <v/>
      </c>
      <c r="M303" s="85" t="str">
        <f>IF($B303="","",IF(IFERROR(INDEX('RAID Log'!$1:$1048576,$B303,MATCH("RAID Owner",'RAID Log'!$1:$1,0)),"")="","",IFERROR(INDEX('RAID Log'!$1:$1048576,$B303,MATCH("RAID Owner",'RAID Log'!$1:$1,0)),"")))</f>
        <v/>
      </c>
      <c r="N303" s="87" t="str">
        <f>IF($B303="","",IF(IFERROR(INDEX('RAID Log'!$1:$1048576,$B303,MATCH("Date Raised",'RAID Log'!$1:$1,0)),"")="","",IFERROR(INDEX('RAID Log'!$1:$1048576,$B303,MATCH("Date Raised",'RAID Log'!$1:$1,0)),"")))</f>
        <v/>
      </c>
      <c r="O303" s="87" t="str">
        <f>IF($B303="","",IF(IFERROR(INDEX('RAID Log'!$1:$1048576,$B303,MATCH("Closed Date",'RAID Log'!$1:$1,0)),"")="","",IFERROR(INDEX('RAID Log'!$1:$1048576,$B303,MATCH("Closed Date",'RAID Log'!$1:$1,0)),"")))</f>
        <v/>
      </c>
      <c r="P303" s="85" t="str">
        <f>IF($B303="","",IF(IFERROR(INDEX('RAID Log'!$1:$1048576,$B303,MATCH("Mitigation Strategy",'RAID Log'!$1:$1,0)),"")="","",IFERROR(INDEX('RAID Log'!$1:$1048576,$B303,MATCH("Mitigation Strategy",'RAID Log'!$1:$1,0)),"")))</f>
        <v/>
      </c>
      <c r="Q303" s="88" t="str">
        <f>IF($B303="","",IF(IFERROR(INDEX('RAID Log'!$1:$1048576,$B303,MATCH("RAID Response/Plan",'RAID Log'!$1:$1,0)),"")="","",IFERROR(INDEX('RAID Log'!$1:$1048576,$B303,MATCH("RAID Response/Plan",'RAID Log'!$1:$1,0)),"")))</f>
        <v/>
      </c>
    </row>
    <row r="304" spans="1:17" ht="14.25" customHeight="1">
      <c r="A304" s="82" t="str">
        <f>IF($B304="","",IF(IFERROR(INDEX('RAID Log'!$1:$1048576,$B304,MATCH("RAID ID",'RAID Log'!$1:$1,0)),"")="","",IFERROR(INDEX('RAID Log'!$1:$1048576,$B304,MATCH("RAID ID",'RAID Log'!$1:$1,0)),"")))</f>
        <v/>
      </c>
      <c r="B304" s="83" t="str">
        <f>IFERROR(MATCH(ROW()-1,'RAID Log'!$S:$S,0),"")</f>
        <v/>
      </c>
      <c r="C304" s="84" t="str">
        <f>IF($B304="","",IF(IFERROR(INDEX('RAID Log'!$1:$1048576,$B304,MATCH("Description",'RAID Log'!$1:$1,0)),"")="","",IFERROR(INDEX('RAID Log'!$1:$1048576,$B304,MATCH("Description",'RAID Log'!$1:$1,0)),"")))</f>
        <v/>
      </c>
      <c r="D304" s="84" t="str">
        <f>IF($B304="","",IF(IFERROR(INDEX('RAID Log'!$1:$1048576,$B304,MATCH("Impact/Effect of the RAID",'RAID Log'!$1:$1,0)),"")="","",IFERROR(INDEX('RAID Log'!$1:$1048576,$B304,MATCH("Impact/Effect of the RAID",'RAID Log'!$1:$1,0)),"")))</f>
        <v/>
      </c>
      <c r="E304" s="85" t="str">
        <f>IF($B304="","",IF(IFERROR(INDEX('RAID Log'!$1:$1048576,$B304,MATCH("Impact Area",'RAID Log'!$1:$1,0)),"")="","",IFERROR(INDEX('RAID Log'!$1:$1048576,$B304,MATCH("Impact Area",'RAID Log'!$1:$1,0)),"")))</f>
        <v/>
      </c>
      <c r="F304" s="85" t="str">
        <f>IF($B304="","",IF(IFERROR(INDEX('RAID Log'!$1:$1048576,$B304,MATCH("Impact Area",'RAID Log'!$1:$1,0)),"")="","",IFERROR(INDEX('RAID Log'!$1:$1048576,$B304,MATCH("Impact Area",'RAID Log'!$1:$1,0)),"")))</f>
        <v/>
      </c>
      <c r="G304" s="85" t="str">
        <f>IF($B304="","",IF(IFERROR(INDEX('RAID Log'!$1:$1048576,$B304,MATCH("Impact Rating",'RAID Log'!$1:$1,0)),"")="","",IFERROR(INDEX('RAID Log'!$1:$1048576,$B304,MATCH("Impact Rating",'RAID Log'!$1:$1,0)),"")))</f>
        <v/>
      </c>
      <c r="H304" s="85" t="str">
        <f>IF($B304="","",IF(IFERROR(INDEX('RAID Log'!$1:$1048576,$B304,MATCH("Initial Probability",'RAID Log'!$1:$1,0)),"")="","",IFERROR(INDEX('RAID Log'!$1:$1048576,$B304,MATCH("Initial Probability",'RAID Log'!$1:$1,0)),"")))</f>
        <v/>
      </c>
      <c r="I304" s="86" t="str">
        <f t="shared" si="12"/>
        <v/>
      </c>
      <c r="J304" s="85" t="str">
        <f t="shared" si="13"/>
        <v/>
      </c>
      <c r="K304" s="86" t="str">
        <f t="shared" si="14"/>
        <v/>
      </c>
      <c r="L304" s="85" t="str">
        <f>IF($B304="","",IF(IFERROR(INDEX('RAID Log'!$1:$1048576,$B304,MATCH("Status",'RAID Log'!$1:$1,0)),"")="","",IFERROR(INDEX('RAID Log'!$1:$1048576,$B304,MATCH("Status",'RAID Log'!$1:$1,0)),"")))</f>
        <v/>
      </c>
      <c r="M304" s="85" t="str">
        <f>IF($B304="","",IF(IFERROR(INDEX('RAID Log'!$1:$1048576,$B304,MATCH("RAID Owner",'RAID Log'!$1:$1,0)),"")="","",IFERROR(INDEX('RAID Log'!$1:$1048576,$B304,MATCH("RAID Owner",'RAID Log'!$1:$1,0)),"")))</f>
        <v/>
      </c>
      <c r="N304" s="87" t="str">
        <f>IF($B304="","",IF(IFERROR(INDEX('RAID Log'!$1:$1048576,$B304,MATCH("Date Raised",'RAID Log'!$1:$1,0)),"")="","",IFERROR(INDEX('RAID Log'!$1:$1048576,$B304,MATCH("Date Raised",'RAID Log'!$1:$1,0)),"")))</f>
        <v/>
      </c>
      <c r="O304" s="87" t="str">
        <f>IF($B304="","",IF(IFERROR(INDEX('RAID Log'!$1:$1048576,$B304,MATCH("Closed Date",'RAID Log'!$1:$1,0)),"")="","",IFERROR(INDEX('RAID Log'!$1:$1048576,$B304,MATCH("Closed Date",'RAID Log'!$1:$1,0)),"")))</f>
        <v/>
      </c>
      <c r="P304" s="85" t="str">
        <f>IF($B304="","",IF(IFERROR(INDEX('RAID Log'!$1:$1048576,$B304,MATCH("Mitigation Strategy",'RAID Log'!$1:$1,0)),"")="","",IFERROR(INDEX('RAID Log'!$1:$1048576,$B304,MATCH("Mitigation Strategy",'RAID Log'!$1:$1,0)),"")))</f>
        <v/>
      </c>
      <c r="Q304" s="88" t="str">
        <f>IF($B304="","",IF(IFERROR(INDEX('RAID Log'!$1:$1048576,$B304,MATCH("RAID Response/Plan",'RAID Log'!$1:$1,0)),"")="","",IFERROR(INDEX('RAID Log'!$1:$1048576,$B304,MATCH("RAID Response/Plan",'RAID Log'!$1:$1,0)),"")))</f>
        <v/>
      </c>
    </row>
    <row r="305" spans="1:17" ht="14.25" customHeight="1">
      <c r="A305" s="82" t="str">
        <f>IF($B305="","",IF(IFERROR(INDEX('RAID Log'!$1:$1048576,$B305,MATCH("RAID ID",'RAID Log'!$1:$1,0)),"")="","",IFERROR(INDEX('RAID Log'!$1:$1048576,$B305,MATCH("RAID ID",'RAID Log'!$1:$1,0)),"")))</f>
        <v/>
      </c>
      <c r="B305" s="83" t="str">
        <f>IFERROR(MATCH(ROW()-1,'RAID Log'!$S:$S,0),"")</f>
        <v/>
      </c>
      <c r="C305" s="84" t="str">
        <f>IF($B305="","",IF(IFERROR(INDEX('RAID Log'!$1:$1048576,$B305,MATCH("Description",'RAID Log'!$1:$1,0)),"")="","",IFERROR(INDEX('RAID Log'!$1:$1048576,$B305,MATCH("Description",'RAID Log'!$1:$1,0)),"")))</f>
        <v/>
      </c>
      <c r="D305" s="84" t="str">
        <f>IF($B305="","",IF(IFERROR(INDEX('RAID Log'!$1:$1048576,$B305,MATCH("Impact/Effect of the RAID",'RAID Log'!$1:$1,0)),"")="","",IFERROR(INDEX('RAID Log'!$1:$1048576,$B305,MATCH("Impact/Effect of the RAID",'RAID Log'!$1:$1,0)),"")))</f>
        <v/>
      </c>
      <c r="E305" s="85" t="str">
        <f>IF($B305="","",IF(IFERROR(INDEX('RAID Log'!$1:$1048576,$B305,MATCH("Impact Area",'RAID Log'!$1:$1,0)),"")="","",IFERROR(INDEX('RAID Log'!$1:$1048576,$B305,MATCH("Impact Area",'RAID Log'!$1:$1,0)),"")))</f>
        <v/>
      </c>
      <c r="F305" s="85" t="str">
        <f>IF($B305="","",IF(IFERROR(INDEX('RAID Log'!$1:$1048576,$B305,MATCH("Impact Area",'RAID Log'!$1:$1,0)),"")="","",IFERROR(INDEX('RAID Log'!$1:$1048576,$B305,MATCH("Impact Area",'RAID Log'!$1:$1,0)),"")))</f>
        <v/>
      </c>
      <c r="G305" s="85" t="str">
        <f>IF($B305="","",IF(IFERROR(INDEX('RAID Log'!$1:$1048576,$B305,MATCH("Impact Rating",'RAID Log'!$1:$1,0)),"")="","",IFERROR(INDEX('RAID Log'!$1:$1048576,$B305,MATCH("Impact Rating",'RAID Log'!$1:$1,0)),"")))</f>
        <v/>
      </c>
      <c r="H305" s="85" t="str">
        <f>IF($B305="","",IF(IFERROR(INDEX('RAID Log'!$1:$1048576,$B305,MATCH("Initial Probability",'RAID Log'!$1:$1,0)),"")="","",IFERROR(INDEX('RAID Log'!$1:$1048576,$B305,MATCH("Initial Probability",'RAID Log'!$1:$1,0)),"")))</f>
        <v/>
      </c>
      <c r="I305" s="86" t="str">
        <f t="shared" si="12"/>
        <v/>
      </c>
      <c r="J305" s="85" t="str">
        <f t="shared" si="13"/>
        <v/>
      </c>
      <c r="K305" s="86" t="str">
        <f t="shared" si="14"/>
        <v/>
      </c>
      <c r="L305" s="85" t="str">
        <f>IF($B305="","",IF(IFERROR(INDEX('RAID Log'!$1:$1048576,$B305,MATCH("Status",'RAID Log'!$1:$1,0)),"")="","",IFERROR(INDEX('RAID Log'!$1:$1048576,$B305,MATCH("Status",'RAID Log'!$1:$1,0)),"")))</f>
        <v/>
      </c>
      <c r="M305" s="85" t="str">
        <f>IF($B305="","",IF(IFERROR(INDEX('RAID Log'!$1:$1048576,$B305,MATCH("RAID Owner",'RAID Log'!$1:$1,0)),"")="","",IFERROR(INDEX('RAID Log'!$1:$1048576,$B305,MATCH("RAID Owner",'RAID Log'!$1:$1,0)),"")))</f>
        <v/>
      </c>
      <c r="N305" s="87" t="str">
        <f>IF($B305="","",IF(IFERROR(INDEX('RAID Log'!$1:$1048576,$B305,MATCH("Date Raised",'RAID Log'!$1:$1,0)),"")="","",IFERROR(INDEX('RAID Log'!$1:$1048576,$B305,MATCH("Date Raised",'RAID Log'!$1:$1,0)),"")))</f>
        <v/>
      </c>
      <c r="O305" s="87" t="str">
        <f>IF($B305="","",IF(IFERROR(INDEX('RAID Log'!$1:$1048576,$B305,MATCH("Closed Date",'RAID Log'!$1:$1,0)),"")="","",IFERROR(INDEX('RAID Log'!$1:$1048576,$B305,MATCH("Closed Date",'RAID Log'!$1:$1,0)),"")))</f>
        <v/>
      </c>
      <c r="P305" s="85" t="str">
        <f>IF($B305="","",IF(IFERROR(INDEX('RAID Log'!$1:$1048576,$B305,MATCH("Mitigation Strategy",'RAID Log'!$1:$1,0)),"")="","",IFERROR(INDEX('RAID Log'!$1:$1048576,$B305,MATCH("Mitigation Strategy",'RAID Log'!$1:$1,0)),"")))</f>
        <v/>
      </c>
      <c r="Q305" s="88" t="str">
        <f>IF($B305="","",IF(IFERROR(INDEX('RAID Log'!$1:$1048576,$B305,MATCH("RAID Response/Plan",'RAID Log'!$1:$1,0)),"")="","",IFERROR(INDEX('RAID Log'!$1:$1048576,$B305,MATCH("RAID Response/Plan",'RAID Log'!$1:$1,0)),"")))</f>
        <v/>
      </c>
    </row>
    <row r="306" spans="1:17" ht="14.25" customHeight="1">
      <c r="A306" s="82" t="str">
        <f>IF($B306="","",IF(IFERROR(INDEX('RAID Log'!$1:$1048576,$B306,MATCH("RAID ID",'RAID Log'!$1:$1,0)),"")="","",IFERROR(INDEX('RAID Log'!$1:$1048576,$B306,MATCH("RAID ID",'RAID Log'!$1:$1,0)),"")))</f>
        <v/>
      </c>
      <c r="B306" s="83" t="str">
        <f>IFERROR(MATCH(ROW()-1,'RAID Log'!$S:$S,0),"")</f>
        <v/>
      </c>
      <c r="C306" s="84" t="str">
        <f>IF($B306="","",IF(IFERROR(INDEX('RAID Log'!$1:$1048576,$B306,MATCH("Description",'RAID Log'!$1:$1,0)),"")="","",IFERROR(INDEX('RAID Log'!$1:$1048576,$B306,MATCH("Description",'RAID Log'!$1:$1,0)),"")))</f>
        <v/>
      </c>
      <c r="D306" s="84" t="str">
        <f>IF($B306="","",IF(IFERROR(INDEX('RAID Log'!$1:$1048576,$B306,MATCH("Impact/Effect of the RAID",'RAID Log'!$1:$1,0)),"")="","",IFERROR(INDEX('RAID Log'!$1:$1048576,$B306,MATCH("Impact/Effect of the RAID",'RAID Log'!$1:$1,0)),"")))</f>
        <v/>
      </c>
      <c r="E306" s="85" t="str">
        <f>IF($B306="","",IF(IFERROR(INDEX('RAID Log'!$1:$1048576,$B306,MATCH("Impact Area",'RAID Log'!$1:$1,0)),"")="","",IFERROR(INDEX('RAID Log'!$1:$1048576,$B306,MATCH("Impact Area",'RAID Log'!$1:$1,0)),"")))</f>
        <v/>
      </c>
      <c r="F306" s="85" t="str">
        <f>IF($B306="","",IF(IFERROR(INDEX('RAID Log'!$1:$1048576,$B306,MATCH("Impact Area",'RAID Log'!$1:$1,0)),"")="","",IFERROR(INDEX('RAID Log'!$1:$1048576,$B306,MATCH("Impact Area",'RAID Log'!$1:$1,0)),"")))</f>
        <v/>
      </c>
      <c r="G306" s="85" t="str">
        <f>IF($B306="","",IF(IFERROR(INDEX('RAID Log'!$1:$1048576,$B306,MATCH("Impact Rating",'RAID Log'!$1:$1,0)),"")="","",IFERROR(INDEX('RAID Log'!$1:$1048576,$B306,MATCH("Impact Rating",'RAID Log'!$1:$1,0)),"")))</f>
        <v/>
      </c>
      <c r="H306" s="85" t="str">
        <f>IF($B306="","",IF(IFERROR(INDEX('RAID Log'!$1:$1048576,$B306,MATCH("Initial Probability",'RAID Log'!$1:$1,0)),"")="","",IFERROR(INDEX('RAID Log'!$1:$1048576,$B306,MATCH("Initial Probability",'RAID Log'!$1:$1,0)),"")))</f>
        <v/>
      </c>
      <c r="I306" s="86" t="str">
        <f t="shared" si="12"/>
        <v/>
      </c>
      <c r="J306" s="85" t="str">
        <f t="shared" si="13"/>
        <v/>
      </c>
      <c r="K306" s="86" t="str">
        <f t="shared" si="14"/>
        <v/>
      </c>
      <c r="L306" s="85" t="str">
        <f>IF($B306="","",IF(IFERROR(INDEX('RAID Log'!$1:$1048576,$B306,MATCH("Status",'RAID Log'!$1:$1,0)),"")="","",IFERROR(INDEX('RAID Log'!$1:$1048576,$B306,MATCH("Status",'RAID Log'!$1:$1,0)),"")))</f>
        <v/>
      </c>
      <c r="M306" s="85" t="str">
        <f>IF($B306="","",IF(IFERROR(INDEX('RAID Log'!$1:$1048576,$B306,MATCH("RAID Owner",'RAID Log'!$1:$1,0)),"")="","",IFERROR(INDEX('RAID Log'!$1:$1048576,$B306,MATCH("RAID Owner",'RAID Log'!$1:$1,0)),"")))</f>
        <v/>
      </c>
      <c r="N306" s="87" t="str">
        <f>IF($B306="","",IF(IFERROR(INDEX('RAID Log'!$1:$1048576,$B306,MATCH("Date Raised",'RAID Log'!$1:$1,0)),"")="","",IFERROR(INDEX('RAID Log'!$1:$1048576,$B306,MATCH("Date Raised",'RAID Log'!$1:$1,0)),"")))</f>
        <v/>
      </c>
      <c r="O306" s="87" t="str">
        <f>IF($B306="","",IF(IFERROR(INDEX('RAID Log'!$1:$1048576,$B306,MATCH("Closed Date",'RAID Log'!$1:$1,0)),"")="","",IFERROR(INDEX('RAID Log'!$1:$1048576,$B306,MATCH("Closed Date",'RAID Log'!$1:$1,0)),"")))</f>
        <v/>
      </c>
      <c r="P306" s="85" t="str">
        <f>IF($B306="","",IF(IFERROR(INDEX('RAID Log'!$1:$1048576,$B306,MATCH("Mitigation Strategy",'RAID Log'!$1:$1,0)),"")="","",IFERROR(INDEX('RAID Log'!$1:$1048576,$B306,MATCH("Mitigation Strategy",'RAID Log'!$1:$1,0)),"")))</f>
        <v/>
      </c>
      <c r="Q306" s="88" t="str">
        <f>IF($B306="","",IF(IFERROR(INDEX('RAID Log'!$1:$1048576,$B306,MATCH("RAID Response/Plan",'RAID Log'!$1:$1,0)),"")="","",IFERROR(INDEX('RAID Log'!$1:$1048576,$B306,MATCH("RAID Response/Plan",'RAID Log'!$1:$1,0)),"")))</f>
        <v/>
      </c>
    </row>
    <row r="307" spans="1:17" ht="14.25" customHeight="1">
      <c r="A307" s="82" t="str">
        <f>IF($B307="","",IF(IFERROR(INDEX('RAID Log'!$1:$1048576,$B307,MATCH("RAID ID",'RAID Log'!$1:$1,0)),"")="","",IFERROR(INDEX('RAID Log'!$1:$1048576,$B307,MATCH("RAID ID",'RAID Log'!$1:$1,0)),"")))</f>
        <v/>
      </c>
      <c r="B307" s="83" t="str">
        <f>IFERROR(MATCH(ROW()-1,'RAID Log'!$S:$S,0),"")</f>
        <v/>
      </c>
      <c r="C307" s="84" t="str">
        <f>IF($B307="","",IF(IFERROR(INDEX('RAID Log'!$1:$1048576,$B307,MATCH("Description",'RAID Log'!$1:$1,0)),"")="","",IFERROR(INDEX('RAID Log'!$1:$1048576,$B307,MATCH("Description",'RAID Log'!$1:$1,0)),"")))</f>
        <v/>
      </c>
      <c r="D307" s="84" t="str">
        <f>IF($B307="","",IF(IFERROR(INDEX('RAID Log'!$1:$1048576,$B307,MATCH("Impact/Effect of the RAID",'RAID Log'!$1:$1,0)),"")="","",IFERROR(INDEX('RAID Log'!$1:$1048576,$B307,MATCH("Impact/Effect of the RAID",'RAID Log'!$1:$1,0)),"")))</f>
        <v/>
      </c>
      <c r="E307" s="85" t="str">
        <f>IF($B307="","",IF(IFERROR(INDEX('RAID Log'!$1:$1048576,$B307,MATCH("Impact Area",'RAID Log'!$1:$1,0)),"")="","",IFERROR(INDEX('RAID Log'!$1:$1048576,$B307,MATCH("Impact Area",'RAID Log'!$1:$1,0)),"")))</f>
        <v/>
      </c>
      <c r="F307" s="85" t="str">
        <f>IF($B307="","",IF(IFERROR(INDEX('RAID Log'!$1:$1048576,$B307,MATCH("Impact Area",'RAID Log'!$1:$1,0)),"")="","",IFERROR(INDEX('RAID Log'!$1:$1048576,$B307,MATCH("Impact Area",'RAID Log'!$1:$1,0)),"")))</f>
        <v/>
      </c>
      <c r="G307" s="85" t="str">
        <f>IF($B307="","",IF(IFERROR(INDEX('RAID Log'!$1:$1048576,$B307,MATCH("Impact Rating",'RAID Log'!$1:$1,0)),"")="","",IFERROR(INDEX('RAID Log'!$1:$1048576,$B307,MATCH("Impact Rating",'RAID Log'!$1:$1,0)),"")))</f>
        <v/>
      </c>
      <c r="H307" s="85" t="str">
        <f>IF($B307="","",IF(IFERROR(INDEX('RAID Log'!$1:$1048576,$B307,MATCH("Initial Probability",'RAID Log'!$1:$1,0)),"")="","",IFERROR(INDEX('RAID Log'!$1:$1048576,$B307,MATCH("Initial Probability",'RAID Log'!$1:$1,0)),"")))</f>
        <v/>
      </c>
      <c r="I307" s="86" t="str">
        <f t="shared" si="12"/>
        <v/>
      </c>
      <c r="J307" s="85" t="str">
        <f t="shared" si="13"/>
        <v/>
      </c>
      <c r="K307" s="86" t="str">
        <f t="shared" si="14"/>
        <v/>
      </c>
      <c r="L307" s="85" t="str">
        <f>IF($B307="","",IF(IFERROR(INDEX('RAID Log'!$1:$1048576,$B307,MATCH("Status",'RAID Log'!$1:$1,0)),"")="","",IFERROR(INDEX('RAID Log'!$1:$1048576,$B307,MATCH("Status",'RAID Log'!$1:$1,0)),"")))</f>
        <v/>
      </c>
      <c r="M307" s="85" t="str">
        <f>IF($B307="","",IF(IFERROR(INDEX('RAID Log'!$1:$1048576,$B307,MATCH("RAID Owner",'RAID Log'!$1:$1,0)),"")="","",IFERROR(INDEX('RAID Log'!$1:$1048576,$B307,MATCH("RAID Owner",'RAID Log'!$1:$1,0)),"")))</f>
        <v/>
      </c>
      <c r="N307" s="87" t="str">
        <f>IF($B307="","",IF(IFERROR(INDEX('RAID Log'!$1:$1048576,$B307,MATCH("Date Raised",'RAID Log'!$1:$1,0)),"")="","",IFERROR(INDEX('RAID Log'!$1:$1048576,$B307,MATCH("Date Raised",'RAID Log'!$1:$1,0)),"")))</f>
        <v/>
      </c>
      <c r="O307" s="87" t="str">
        <f>IF($B307="","",IF(IFERROR(INDEX('RAID Log'!$1:$1048576,$B307,MATCH("Closed Date",'RAID Log'!$1:$1,0)),"")="","",IFERROR(INDEX('RAID Log'!$1:$1048576,$B307,MATCH("Closed Date",'RAID Log'!$1:$1,0)),"")))</f>
        <v/>
      </c>
      <c r="P307" s="85" t="str">
        <f>IF($B307="","",IF(IFERROR(INDEX('RAID Log'!$1:$1048576,$B307,MATCH("Mitigation Strategy",'RAID Log'!$1:$1,0)),"")="","",IFERROR(INDEX('RAID Log'!$1:$1048576,$B307,MATCH("Mitigation Strategy",'RAID Log'!$1:$1,0)),"")))</f>
        <v/>
      </c>
      <c r="Q307" s="88" t="str">
        <f>IF($B307="","",IF(IFERROR(INDEX('RAID Log'!$1:$1048576,$B307,MATCH("RAID Response/Plan",'RAID Log'!$1:$1,0)),"")="","",IFERROR(INDEX('RAID Log'!$1:$1048576,$B307,MATCH("RAID Response/Plan",'RAID Log'!$1:$1,0)),"")))</f>
        <v/>
      </c>
    </row>
    <row r="308" spans="1:17" ht="14.25" customHeight="1">
      <c r="A308" s="82" t="str">
        <f>IF($B308="","",IF(IFERROR(INDEX('RAID Log'!$1:$1048576,$B308,MATCH("RAID ID",'RAID Log'!$1:$1,0)),"")="","",IFERROR(INDEX('RAID Log'!$1:$1048576,$B308,MATCH("RAID ID",'RAID Log'!$1:$1,0)),"")))</f>
        <v/>
      </c>
      <c r="B308" s="83" t="str">
        <f>IFERROR(MATCH(ROW()-1,'RAID Log'!$S:$S,0),"")</f>
        <v/>
      </c>
      <c r="C308" s="84" t="str">
        <f>IF($B308="","",IF(IFERROR(INDEX('RAID Log'!$1:$1048576,$B308,MATCH("Description",'RAID Log'!$1:$1,0)),"")="","",IFERROR(INDEX('RAID Log'!$1:$1048576,$B308,MATCH("Description",'RAID Log'!$1:$1,0)),"")))</f>
        <v/>
      </c>
      <c r="D308" s="84" t="str">
        <f>IF($B308="","",IF(IFERROR(INDEX('RAID Log'!$1:$1048576,$B308,MATCH("Impact/Effect of the RAID",'RAID Log'!$1:$1,0)),"")="","",IFERROR(INDEX('RAID Log'!$1:$1048576,$B308,MATCH("Impact/Effect of the RAID",'RAID Log'!$1:$1,0)),"")))</f>
        <v/>
      </c>
      <c r="E308" s="85" t="str">
        <f>IF($B308="","",IF(IFERROR(INDEX('RAID Log'!$1:$1048576,$B308,MATCH("Impact Area",'RAID Log'!$1:$1,0)),"")="","",IFERROR(INDEX('RAID Log'!$1:$1048576,$B308,MATCH("Impact Area",'RAID Log'!$1:$1,0)),"")))</f>
        <v/>
      </c>
      <c r="F308" s="85" t="str">
        <f>IF($B308="","",IF(IFERROR(INDEX('RAID Log'!$1:$1048576,$B308,MATCH("Impact Area",'RAID Log'!$1:$1,0)),"")="","",IFERROR(INDEX('RAID Log'!$1:$1048576,$B308,MATCH("Impact Area",'RAID Log'!$1:$1,0)),"")))</f>
        <v/>
      </c>
      <c r="G308" s="85" t="str">
        <f>IF($B308="","",IF(IFERROR(INDEX('RAID Log'!$1:$1048576,$B308,MATCH("Impact Rating",'RAID Log'!$1:$1,0)),"")="","",IFERROR(INDEX('RAID Log'!$1:$1048576,$B308,MATCH("Impact Rating",'RAID Log'!$1:$1,0)),"")))</f>
        <v/>
      </c>
      <c r="H308" s="85" t="str">
        <f>IF($B308="","",IF(IFERROR(INDEX('RAID Log'!$1:$1048576,$B308,MATCH("Initial Probability",'RAID Log'!$1:$1,0)),"")="","",IFERROR(INDEX('RAID Log'!$1:$1048576,$B308,MATCH("Initial Probability",'RAID Log'!$1:$1,0)),"")))</f>
        <v/>
      </c>
      <c r="I308" s="86" t="str">
        <f t="shared" si="12"/>
        <v/>
      </c>
      <c r="J308" s="85" t="str">
        <f t="shared" si="13"/>
        <v/>
      </c>
      <c r="K308" s="86" t="str">
        <f t="shared" si="14"/>
        <v/>
      </c>
      <c r="L308" s="85" t="str">
        <f>IF($B308="","",IF(IFERROR(INDEX('RAID Log'!$1:$1048576,$B308,MATCH("Status",'RAID Log'!$1:$1,0)),"")="","",IFERROR(INDEX('RAID Log'!$1:$1048576,$B308,MATCH("Status",'RAID Log'!$1:$1,0)),"")))</f>
        <v/>
      </c>
      <c r="M308" s="85" t="str">
        <f>IF($B308="","",IF(IFERROR(INDEX('RAID Log'!$1:$1048576,$B308,MATCH("RAID Owner",'RAID Log'!$1:$1,0)),"")="","",IFERROR(INDEX('RAID Log'!$1:$1048576,$B308,MATCH("RAID Owner",'RAID Log'!$1:$1,0)),"")))</f>
        <v/>
      </c>
      <c r="N308" s="87" t="str">
        <f>IF($B308="","",IF(IFERROR(INDEX('RAID Log'!$1:$1048576,$B308,MATCH("Date Raised",'RAID Log'!$1:$1,0)),"")="","",IFERROR(INDEX('RAID Log'!$1:$1048576,$B308,MATCH("Date Raised",'RAID Log'!$1:$1,0)),"")))</f>
        <v/>
      </c>
      <c r="O308" s="87" t="str">
        <f>IF($B308="","",IF(IFERROR(INDEX('RAID Log'!$1:$1048576,$B308,MATCH("Closed Date",'RAID Log'!$1:$1,0)),"")="","",IFERROR(INDEX('RAID Log'!$1:$1048576,$B308,MATCH("Closed Date",'RAID Log'!$1:$1,0)),"")))</f>
        <v/>
      </c>
      <c r="P308" s="85" t="str">
        <f>IF($B308="","",IF(IFERROR(INDEX('RAID Log'!$1:$1048576,$B308,MATCH("Mitigation Strategy",'RAID Log'!$1:$1,0)),"")="","",IFERROR(INDEX('RAID Log'!$1:$1048576,$B308,MATCH("Mitigation Strategy",'RAID Log'!$1:$1,0)),"")))</f>
        <v/>
      </c>
      <c r="Q308" s="88" t="str">
        <f>IF($B308="","",IF(IFERROR(INDEX('RAID Log'!$1:$1048576,$B308,MATCH("RAID Response/Plan",'RAID Log'!$1:$1,0)),"")="","",IFERROR(INDEX('RAID Log'!$1:$1048576,$B308,MATCH("RAID Response/Plan",'RAID Log'!$1:$1,0)),"")))</f>
        <v/>
      </c>
    </row>
    <row r="309" spans="1:17" ht="14.25" customHeight="1">
      <c r="A309" s="82" t="str">
        <f>IF($B309="","",IF(IFERROR(INDEX('RAID Log'!$1:$1048576,$B309,MATCH("RAID ID",'RAID Log'!$1:$1,0)),"")="","",IFERROR(INDEX('RAID Log'!$1:$1048576,$B309,MATCH("RAID ID",'RAID Log'!$1:$1,0)),"")))</f>
        <v/>
      </c>
      <c r="B309" s="83" t="str">
        <f>IFERROR(MATCH(ROW()-1,'RAID Log'!$S:$S,0),"")</f>
        <v/>
      </c>
      <c r="C309" s="84" t="str">
        <f>IF($B309="","",IF(IFERROR(INDEX('RAID Log'!$1:$1048576,$B309,MATCH("Description",'RAID Log'!$1:$1,0)),"")="","",IFERROR(INDEX('RAID Log'!$1:$1048576,$B309,MATCH("Description",'RAID Log'!$1:$1,0)),"")))</f>
        <v/>
      </c>
      <c r="D309" s="84" t="str">
        <f>IF($B309="","",IF(IFERROR(INDEX('RAID Log'!$1:$1048576,$B309,MATCH("Impact/Effect of the RAID",'RAID Log'!$1:$1,0)),"")="","",IFERROR(INDEX('RAID Log'!$1:$1048576,$B309,MATCH("Impact/Effect of the RAID",'RAID Log'!$1:$1,0)),"")))</f>
        <v/>
      </c>
      <c r="E309" s="85" t="str">
        <f>IF($B309="","",IF(IFERROR(INDEX('RAID Log'!$1:$1048576,$B309,MATCH("Impact Area",'RAID Log'!$1:$1,0)),"")="","",IFERROR(INDEX('RAID Log'!$1:$1048576,$B309,MATCH("Impact Area",'RAID Log'!$1:$1,0)),"")))</f>
        <v/>
      </c>
      <c r="F309" s="85" t="str">
        <f>IF($B309="","",IF(IFERROR(INDEX('RAID Log'!$1:$1048576,$B309,MATCH("Impact Area",'RAID Log'!$1:$1,0)),"")="","",IFERROR(INDEX('RAID Log'!$1:$1048576,$B309,MATCH("Impact Area",'RAID Log'!$1:$1,0)),"")))</f>
        <v/>
      </c>
      <c r="G309" s="85" t="str">
        <f>IF($B309="","",IF(IFERROR(INDEX('RAID Log'!$1:$1048576,$B309,MATCH("Impact Rating",'RAID Log'!$1:$1,0)),"")="","",IFERROR(INDEX('RAID Log'!$1:$1048576,$B309,MATCH("Impact Rating",'RAID Log'!$1:$1,0)),"")))</f>
        <v/>
      </c>
      <c r="H309" s="85" t="str">
        <f>IF($B309="","",IF(IFERROR(INDEX('RAID Log'!$1:$1048576,$B309,MATCH("Initial Probability",'RAID Log'!$1:$1,0)),"")="","",IFERROR(INDEX('RAID Log'!$1:$1048576,$B309,MATCH("Initial Probability",'RAID Log'!$1:$1,0)),"")))</f>
        <v/>
      </c>
      <c r="I309" s="86" t="str">
        <f t="shared" si="12"/>
        <v/>
      </c>
      <c r="J309" s="85" t="str">
        <f t="shared" si="13"/>
        <v/>
      </c>
      <c r="K309" s="86" t="str">
        <f t="shared" si="14"/>
        <v/>
      </c>
      <c r="L309" s="85" t="str">
        <f>IF($B309="","",IF(IFERROR(INDEX('RAID Log'!$1:$1048576,$B309,MATCH("Status",'RAID Log'!$1:$1,0)),"")="","",IFERROR(INDEX('RAID Log'!$1:$1048576,$B309,MATCH("Status",'RAID Log'!$1:$1,0)),"")))</f>
        <v/>
      </c>
      <c r="M309" s="85" t="str">
        <f>IF($B309="","",IF(IFERROR(INDEX('RAID Log'!$1:$1048576,$B309,MATCH("RAID Owner",'RAID Log'!$1:$1,0)),"")="","",IFERROR(INDEX('RAID Log'!$1:$1048576,$B309,MATCH("RAID Owner",'RAID Log'!$1:$1,0)),"")))</f>
        <v/>
      </c>
      <c r="N309" s="87" t="str">
        <f>IF($B309="","",IF(IFERROR(INDEX('RAID Log'!$1:$1048576,$B309,MATCH("Date Raised",'RAID Log'!$1:$1,0)),"")="","",IFERROR(INDEX('RAID Log'!$1:$1048576,$B309,MATCH("Date Raised",'RAID Log'!$1:$1,0)),"")))</f>
        <v/>
      </c>
      <c r="O309" s="87" t="str">
        <f>IF($B309="","",IF(IFERROR(INDEX('RAID Log'!$1:$1048576,$B309,MATCH("Closed Date",'RAID Log'!$1:$1,0)),"")="","",IFERROR(INDEX('RAID Log'!$1:$1048576,$B309,MATCH("Closed Date",'RAID Log'!$1:$1,0)),"")))</f>
        <v/>
      </c>
      <c r="P309" s="85" t="str">
        <f>IF($B309="","",IF(IFERROR(INDEX('RAID Log'!$1:$1048576,$B309,MATCH("Mitigation Strategy",'RAID Log'!$1:$1,0)),"")="","",IFERROR(INDEX('RAID Log'!$1:$1048576,$B309,MATCH("Mitigation Strategy",'RAID Log'!$1:$1,0)),"")))</f>
        <v/>
      </c>
      <c r="Q309" s="88" t="str">
        <f>IF($B309="","",IF(IFERROR(INDEX('RAID Log'!$1:$1048576,$B309,MATCH("RAID Response/Plan",'RAID Log'!$1:$1,0)),"")="","",IFERROR(INDEX('RAID Log'!$1:$1048576,$B309,MATCH("RAID Response/Plan",'RAID Log'!$1:$1,0)),"")))</f>
        <v/>
      </c>
    </row>
    <row r="310" spans="1:17" ht="14.25" customHeight="1">
      <c r="A310" s="82" t="str">
        <f>IF($B310="","",IF(IFERROR(INDEX('RAID Log'!$1:$1048576,$B310,MATCH("RAID ID",'RAID Log'!$1:$1,0)),"")="","",IFERROR(INDEX('RAID Log'!$1:$1048576,$B310,MATCH("RAID ID",'RAID Log'!$1:$1,0)),"")))</f>
        <v/>
      </c>
      <c r="B310" s="83" t="str">
        <f>IFERROR(MATCH(ROW()-1,'RAID Log'!$S:$S,0),"")</f>
        <v/>
      </c>
      <c r="C310" s="84" t="str">
        <f>IF($B310="","",IF(IFERROR(INDEX('RAID Log'!$1:$1048576,$B310,MATCH("Description",'RAID Log'!$1:$1,0)),"")="","",IFERROR(INDEX('RAID Log'!$1:$1048576,$B310,MATCH("Description",'RAID Log'!$1:$1,0)),"")))</f>
        <v/>
      </c>
      <c r="D310" s="84" t="str">
        <f>IF($B310="","",IF(IFERROR(INDEX('RAID Log'!$1:$1048576,$B310,MATCH("Impact/Effect of the RAID",'RAID Log'!$1:$1,0)),"")="","",IFERROR(INDEX('RAID Log'!$1:$1048576,$B310,MATCH("Impact/Effect of the RAID",'RAID Log'!$1:$1,0)),"")))</f>
        <v/>
      </c>
      <c r="E310" s="85" t="str">
        <f>IF($B310="","",IF(IFERROR(INDEX('RAID Log'!$1:$1048576,$B310,MATCH("Impact Area",'RAID Log'!$1:$1,0)),"")="","",IFERROR(INDEX('RAID Log'!$1:$1048576,$B310,MATCH("Impact Area",'RAID Log'!$1:$1,0)),"")))</f>
        <v/>
      </c>
      <c r="F310" s="85" t="str">
        <f>IF($B310="","",IF(IFERROR(INDEX('RAID Log'!$1:$1048576,$B310,MATCH("Impact Area",'RAID Log'!$1:$1,0)),"")="","",IFERROR(INDEX('RAID Log'!$1:$1048576,$B310,MATCH("Impact Area",'RAID Log'!$1:$1,0)),"")))</f>
        <v/>
      </c>
      <c r="G310" s="85" t="str">
        <f>IF($B310="","",IF(IFERROR(INDEX('RAID Log'!$1:$1048576,$B310,MATCH("Impact Rating",'RAID Log'!$1:$1,0)),"")="","",IFERROR(INDEX('RAID Log'!$1:$1048576,$B310,MATCH("Impact Rating",'RAID Log'!$1:$1,0)),"")))</f>
        <v/>
      </c>
      <c r="H310" s="85" t="str">
        <f>IF($B310="","",IF(IFERROR(INDEX('RAID Log'!$1:$1048576,$B310,MATCH("Initial Probability",'RAID Log'!$1:$1,0)),"")="","",IFERROR(INDEX('RAID Log'!$1:$1048576,$B310,MATCH("Initial Probability",'RAID Log'!$1:$1,0)),"")))</f>
        <v/>
      </c>
      <c r="I310" s="86" t="str">
        <f t="shared" si="12"/>
        <v/>
      </c>
      <c r="J310" s="85" t="str">
        <f t="shared" si="13"/>
        <v/>
      </c>
      <c r="K310" s="86" t="str">
        <f t="shared" si="14"/>
        <v/>
      </c>
      <c r="L310" s="85" t="str">
        <f>IF($B310="","",IF(IFERROR(INDEX('RAID Log'!$1:$1048576,$B310,MATCH("Status",'RAID Log'!$1:$1,0)),"")="","",IFERROR(INDEX('RAID Log'!$1:$1048576,$B310,MATCH("Status",'RAID Log'!$1:$1,0)),"")))</f>
        <v/>
      </c>
      <c r="M310" s="85" t="str">
        <f>IF($B310="","",IF(IFERROR(INDEX('RAID Log'!$1:$1048576,$B310,MATCH("RAID Owner",'RAID Log'!$1:$1,0)),"")="","",IFERROR(INDEX('RAID Log'!$1:$1048576,$B310,MATCH("RAID Owner",'RAID Log'!$1:$1,0)),"")))</f>
        <v/>
      </c>
      <c r="N310" s="87" t="str">
        <f>IF($B310="","",IF(IFERROR(INDEX('RAID Log'!$1:$1048576,$B310,MATCH("Date Raised",'RAID Log'!$1:$1,0)),"")="","",IFERROR(INDEX('RAID Log'!$1:$1048576,$B310,MATCH("Date Raised",'RAID Log'!$1:$1,0)),"")))</f>
        <v/>
      </c>
      <c r="O310" s="87" t="str">
        <f>IF($B310="","",IF(IFERROR(INDEX('RAID Log'!$1:$1048576,$B310,MATCH("Closed Date",'RAID Log'!$1:$1,0)),"")="","",IFERROR(INDEX('RAID Log'!$1:$1048576,$B310,MATCH("Closed Date",'RAID Log'!$1:$1,0)),"")))</f>
        <v/>
      </c>
      <c r="P310" s="85" t="str">
        <f>IF($B310="","",IF(IFERROR(INDEX('RAID Log'!$1:$1048576,$B310,MATCH("Mitigation Strategy",'RAID Log'!$1:$1,0)),"")="","",IFERROR(INDEX('RAID Log'!$1:$1048576,$B310,MATCH("Mitigation Strategy",'RAID Log'!$1:$1,0)),"")))</f>
        <v/>
      </c>
      <c r="Q310" s="88" t="str">
        <f>IF($B310="","",IF(IFERROR(INDEX('RAID Log'!$1:$1048576,$B310,MATCH("RAID Response/Plan",'RAID Log'!$1:$1,0)),"")="","",IFERROR(INDEX('RAID Log'!$1:$1048576,$B310,MATCH("RAID Response/Plan",'RAID Log'!$1:$1,0)),"")))</f>
        <v/>
      </c>
    </row>
    <row r="311" spans="1:17" ht="14.25" customHeight="1">
      <c r="A311" s="82" t="str">
        <f>IF($B311="","",IF(IFERROR(INDEX('RAID Log'!$1:$1048576,$B311,MATCH("RAID ID",'RAID Log'!$1:$1,0)),"")="","",IFERROR(INDEX('RAID Log'!$1:$1048576,$B311,MATCH("RAID ID",'RAID Log'!$1:$1,0)),"")))</f>
        <v/>
      </c>
      <c r="B311" s="83" t="str">
        <f>IFERROR(MATCH(ROW()-1,'RAID Log'!$S:$S,0),"")</f>
        <v/>
      </c>
      <c r="C311" s="84" t="str">
        <f>IF($B311="","",IF(IFERROR(INDEX('RAID Log'!$1:$1048576,$B311,MATCH("Description",'RAID Log'!$1:$1,0)),"")="","",IFERROR(INDEX('RAID Log'!$1:$1048576,$B311,MATCH("Description",'RAID Log'!$1:$1,0)),"")))</f>
        <v/>
      </c>
      <c r="D311" s="84" t="str">
        <f>IF($B311="","",IF(IFERROR(INDEX('RAID Log'!$1:$1048576,$B311,MATCH("Impact/Effect of the RAID",'RAID Log'!$1:$1,0)),"")="","",IFERROR(INDEX('RAID Log'!$1:$1048576,$B311,MATCH("Impact/Effect of the RAID",'RAID Log'!$1:$1,0)),"")))</f>
        <v/>
      </c>
      <c r="E311" s="85" t="str">
        <f>IF($B311="","",IF(IFERROR(INDEX('RAID Log'!$1:$1048576,$B311,MATCH("Impact Area",'RAID Log'!$1:$1,0)),"")="","",IFERROR(INDEX('RAID Log'!$1:$1048576,$B311,MATCH("Impact Area",'RAID Log'!$1:$1,0)),"")))</f>
        <v/>
      </c>
      <c r="F311" s="85" t="str">
        <f>IF($B311="","",IF(IFERROR(INDEX('RAID Log'!$1:$1048576,$B311,MATCH("Impact Area",'RAID Log'!$1:$1,0)),"")="","",IFERROR(INDEX('RAID Log'!$1:$1048576,$B311,MATCH("Impact Area",'RAID Log'!$1:$1,0)),"")))</f>
        <v/>
      </c>
      <c r="G311" s="85" t="str">
        <f>IF($B311="","",IF(IFERROR(INDEX('RAID Log'!$1:$1048576,$B311,MATCH("Impact Rating",'RAID Log'!$1:$1,0)),"")="","",IFERROR(INDEX('RAID Log'!$1:$1048576,$B311,MATCH("Impact Rating",'RAID Log'!$1:$1,0)),"")))</f>
        <v/>
      </c>
      <c r="H311" s="85" t="str">
        <f>IF($B311="","",IF(IFERROR(INDEX('RAID Log'!$1:$1048576,$B311,MATCH("Initial Probability",'RAID Log'!$1:$1,0)),"")="","",IFERROR(INDEX('RAID Log'!$1:$1048576,$B311,MATCH("Initial Probability",'RAID Log'!$1:$1,0)),"")))</f>
        <v/>
      </c>
      <c r="I311" s="86" t="str">
        <f t="shared" si="12"/>
        <v/>
      </c>
      <c r="J311" s="85" t="str">
        <f t="shared" si="13"/>
        <v/>
      </c>
      <c r="K311" s="86" t="str">
        <f t="shared" si="14"/>
        <v/>
      </c>
      <c r="L311" s="85" t="str">
        <f>IF($B311="","",IF(IFERROR(INDEX('RAID Log'!$1:$1048576,$B311,MATCH("Status",'RAID Log'!$1:$1,0)),"")="","",IFERROR(INDEX('RAID Log'!$1:$1048576,$B311,MATCH("Status",'RAID Log'!$1:$1,0)),"")))</f>
        <v/>
      </c>
      <c r="M311" s="85" t="str">
        <f>IF($B311="","",IF(IFERROR(INDEX('RAID Log'!$1:$1048576,$B311,MATCH("RAID Owner",'RAID Log'!$1:$1,0)),"")="","",IFERROR(INDEX('RAID Log'!$1:$1048576,$B311,MATCH("RAID Owner",'RAID Log'!$1:$1,0)),"")))</f>
        <v/>
      </c>
      <c r="N311" s="87" t="str">
        <f>IF($B311="","",IF(IFERROR(INDEX('RAID Log'!$1:$1048576,$B311,MATCH("Date Raised",'RAID Log'!$1:$1,0)),"")="","",IFERROR(INDEX('RAID Log'!$1:$1048576,$B311,MATCH("Date Raised",'RAID Log'!$1:$1,0)),"")))</f>
        <v/>
      </c>
      <c r="O311" s="87" t="str">
        <f>IF($B311="","",IF(IFERROR(INDEX('RAID Log'!$1:$1048576,$B311,MATCH("Closed Date",'RAID Log'!$1:$1,0)),"")="","",IFERROR(INDEX('RAID Log'!$1:$1048576,$B311,MATCH("Closed Date",'RAID Log'!$1:$1,0)),"")))</f>
        <v/>
      </c>
      <c r="P311" s="85" t="str">
        <f>IF($B311="","",IF(IFERROR(INDEX('RAID Log'!$1:$1048576,$B311,MATCH("Mitigation Strategy",'RAID Log'!$1:$1,0)),"")="","",IFERROR(INDEX('RAID Log'!$1:$1048576,$B311,MATCH("Mitigation Strategy",'RAID Log'!$1:$1,0)),"")))</f>
        <v/>
      </c>
      <c r="Q311" s="88" t="str">
        <f>IF($B311="","",IF(IFERROR(INDEX('RAID Log'!$1:$1048576,$B311,MATCH("RAID Response/Plan",'RAID Log'!$1:$1,0)),"")="","",IFERROR(INDEX('RAID Log'!$1:$1048576,$B311,MATCH("RAID Response/Plan",'RAID Log'!$1:$1,0)),"")))</f>
        <v/>
      </c>
    </row>
    <row r="312" spans="1:17" ht="14.25" customHeight="1">
      <c r="A312" s="82" t="str">
        <f>IF($B312="","",IF(IFERROR(INDEX('RAID Log'!$1:$1048576,$B312,MATCH("RAID ID",'RAID Log'!$1:$1,0)),"")="","",IFERROR(INDEX('RAID Log'!$1:$1048576,$B312,MATCH("RAID ID",'RAID Log'!$1:$1,0)),"")))</f>
        <v/>
      </c>
      <c r="B312" s="83" t="str">
        <f>IFERROR(MATCH(ROW()-1,'RAID Log'!$S:$S,0),"")</f>
        <v/>
      </c>
      <c r="C312" s="84" t="str">
        <f>IF($B312="","",IF(IFERROR(INDEX('RAID Log'!$1:$1048576,$B312,MATCH("Description",'RAID Log'!$1:$1,0)),"")="","",IFERROR(INDEX('RAID Log'!$1:$1048576,$B312,MATCH("Description",'RAID Log'!$1:$1,0)),"")))</f>
        <v/>
      </c>
      <c r="D312" s="84" t="str">
        <f>IF($B312="","",IF(IFERROR(INDEX('RAID Log'!$1:$1048576,$B312,MATCH("Impact/Effect of the RAID",'RAID Log'!$1:$1,0)),"")="","",IFERROR(INDEX('RAID Log'!$1:$1048576,$B312,MATCH("Impact/Effect of the RAID",'RAID Log'!$1:$1,0)),"")))</f>
        <v/>
      </c>
      <c r="E312" s="85" t="str">
        <f>IF($B312="","",IF(IFERROR(INDEX('RAID Log'!$1:$1048576,$B312,MATCH("Impact Area",'RAID Log'!$1:$1,0)),"")="","",IFERROR(INDEX('RAID Log'!$1:$1048576,$B312,MATCH("Impact Area",'RAID Log'!$1:$1,0)),"")))</f>
        <v/>
      </c>
      <c r="F312" s="85" t="str">
        <f>IF($B312="","",IF(IFERROR(INDEX('RAID Log'!$1:$1048576,$B312,MATCH("Impact Area",'RAID Log'!$1:$1,0)),"")="","",IFERROR(INDEX('RAID Log'!$1:$1048576,$B312,MATCH("Impact Area",'RAID Log'!$1:$1,0)),"")))</f>
        <v/>
      </c>
      <c r="G312" s="85" t="str">
        <f>IF($B312="","",IF(IFERROR(INDEX('RAID Log'!$1:$1048576,$B312,MATCH("Impact Rating",'RAID Log'!$1:$1,0)),"")="","",IFERROR(INDEX('RAID Log'!$1:$1048576,$B312,MATCH("Impact Rating",'RAID Log'!$1:$1,0)),"")))</f>
        <v/>
      </c>
      <c r="H312" s="85" t="str">
        <f>IF($B312="","",IF(IFERROR(INDEX('RAID Log'!$1:$1048576,$B312,MATCH("Initial Probability",'RAID Log'!$1:$1,0)),"")="","",IFERROR(INDEX('RAID Log'!$1:$1048576,$B312,MATCH("Initial Probability",'RAID Log'!$1:$1,0)),"")))</f>
        <v/>
      </c>
      <c r="I312" s="86" t="str">
        <f t="shared" si="12"/>
        <v/>
      </c>
      <c r="J312" s="85" t="str">
        <f t="shared" si="13"/>
        <v/>
      </c>
      <c r="K312" s="86" t="str">
        <f t="shared" si="14"/>
        <v/>
      </c>
      <c r="L312" s="85" t="str">
        <f>IF($B312="","",IF(IFERROR(INDEX('RAID Log'!$1:$1048576,$B312,MATCH("Status",'RAID Log'!$1:$1,0)),"")="","",IFERROR(INDEX('RAID Log'!$1:$1048576,$B312,MATCH("Status",'RAID Log'!$1:$1,0)),"")))</f>
        <v/>
      </c>
      <c r="M312" s="85" t="str">
        <f>IF($B312="","",IF(IFERROR(INDEX('RAID Log'!$1:$1048576,$B312,MATCH("RAID Owner",'RAID Log'!$1:$1,0)),"")="","",IFERROR(INDEX('RAID Log'!$1:$1048576,$B312,MATCH("RAID Owner",'RAID Log'!$1:$1,0)),"")))</f>
        <v/>
      </c>
      <c r="N312" s="87" t="str">
        <f>IF($B312="","",IF(IFERROR(INDEX('RAID Log'!$1:$1048576,$B312,MATCH("Date Raised",'RAID Log'!$1:$1,0)),"")="","",IFERROR(INDEX('RAID Log'!$1:$1048576,$B312,MATCH("Date Raised",'RAID Log'!$1:$1,0)),"")))</f>
        <v/>
      </c>
      <c r="O312" s="87" t="str">
        <f>IF($B312="","",IF(IFERROR(INDEX('RAID Log'!$1:$1048576,$B312,MATCH("Closed Date",'RAID Log'!$1:$1,0)),"")="","",IFERROR(INDEX('RAID Log'!$1:$1048576,$B312,MATCH("Closed Date",'RAID Log'!$1:$1,0)),"")))</f>
        <v/>
      </c>
      <c r="P312" s="85" t="str">
        <f>IF($B312="","",IF(IFERROR(INDEX('RAID Log'!$1:$1048576,$B312,MATCH("Mitigation Strategy",'RAID Log'!$1:$1,0)),"")="","",IFERROR(INDEX('RAID Log'!$1:$1048576,$B312,MATCH("Mitigation Strategy",'RAID Log'!$1:$1,0)),"")))</f>
        <v/>
      </c>
      <c r="Q312" s="88" t="str">
        <f>IF($B312="","",IF(IFERROR(INDEX('RAID Log'!$1:$1048576,$B312,MATCH("RAID Response/Plan",'RAID Log'!$1:$1,0)),"")="","",IFERROR(INDEX('RAID Log'!$1:$1048576,$B312,MATCH("RAID Response/Plan",'RAID Log'!$1:$1,0)),"")))</f>
        <v/>
      </c>
    </row>
    <row r="313" spans="1:17" ht="14.25" customHeight="1">
      <c r="A313" s="82" t="str">
        <f>IF($B313="","",IF(IFERROR(INDEX('RAID Log'!$1:$1048576,$B313,MATCH("RAID ID",'RAID Log'!$1:$1,0)),"")="","",IFERROR(INDEX('RAID Log'!$1:$1048576,$B313,MATCH("RAID ID",'RAID Log'!$1:$1,0)),"")))</f>
        <v/>
      </c>
      <c r="B313" s="83" t="str">
        <f>IFERROR(MATCH(ROW()-1,'RAID Log'!$S:$S,0),"")</f>
        <v/>
      </c>
      <c r="C313" s="84" t="str">
        <f>IF($B313="","",IF(IFERROR(INDEX('RAID Log'!$1:$1048576,$B313,MATCH("Description",'RAID Log'!$1:$1,0)),"")="","",IFERROR(INDEX('RAID Log'!$1:$1048576,$B313,MATCH("Description",'RAID Log'!$1:$1,0)),"")))</f>
        <v/>
      </c>
      <c r="D313" s="84" t="str">
        <f>IF($B313="","",IF(IFERROR(INDEX('RAID Log'!$1:$1048576,$B313,MATCH("Impact/Effect of the RAID",'RAID Log'!$1:$1,0)),"")="","",IFERROR(INDEX('RAID Log'!$1:$1048576,$B313,MATCH("Impact/Effect of the RAID",'RAID Log'!$1:$1,0)),"")))</f>
        <v/>
      </c>
      <c r="E313" s="85" t="str">
        <f>IF($B313="","",IF(IFERROR(INDEX('RAID Log'!$1:$1048576,$B313,MATCH("Impact Area",'RAID Log'!$1:$1,0)),"")="","",IFERROR(INDEX('RAID Log'!$1:$1048576,$B313,MATCH("Impact Area",'RAID Log'!$1:$1,0)),"")))</f>
        <v/>
      </c>
      <c r="F313" s="85" t="str">
        <f>IF($B313="","",IF(IFERROR(INDEX('RAID Log'!$1:$1048576,$B313,MATCH("Impact Area",'RAID Log'!$1:$1,0)),"")="","",IFERROR(INDEX('RAID Log'!$1:$1048576,$B313,MATCH("Impact Area",'RAID Log'!$1:$1,0)),"")))</f>
        <v/>
      </c>
      <c r="G313" s="85" t="str">
        <f>IF($B313="","",IF(IFERROR(INDEX('RAID Log'!$1:$1048576,$B313,MATCH("Impact Rating",'RAID Log'!$1:$1,0)),"")="","",IFERROR(INDEX('RAID Log'!$1:$1048576,$B313,MATCH("Impact Rating",'RAID Log'!$1:$1,0)),"")))</f>
        <v/>
      </c>
      <c r="H313" s="85" t="str">
        <f>IF($B313="","",IF(IFERROR(INDEX('RAID Log'!$1:$1048576,$B313,MATCH("Initial Probability",'RAID Log'!$1:$1,0)),"")="","",IFERROR(INDEX('RAID Log'!$1:$1048576,$B313,MATCH("Initial Probability",'RAID Log'!$1:$1,0)),"")))</f>
        <v/>
      </c>
      <c r="I313" s="86" t="str">
        <f t="shared" si="12"/>
        <v/>
      </c>
      <c r="J313" s="85" t="str">
        <f t="shared" si="13"/>
        <v/>
      </c>
      <c r="K313" s="86" t="str">
        <f t="shared" si="14"/>
        <v/>
      </c>
      <c r="L313" s="85" t="str">
        <f>IF($B313="","",IF(IFERROR(INDEX('RAID Log'!$1:$1048576,$B313,MATCH("Status",'RAID Log'!$1:$1,0)),"")="","",IFERROR(INDEX('RAID Log'!$1:$1048576,$B313,MATCH("Status",'RAID Log'!$1:$1,0)),"")))</f>
        <v/>
      </c>
      <c r="M313" s="85" t="str">
        <f>IF($B313="","",IF(IFERROR(INDEX('RAID Log'!$1:$1048576,$B313,MATCH("RAID Owner",'RAID Log'!$1:$1,0)),"")="","",IFERROR(INDEX('RAID Log'!$1:$1048576,$B313,MATCH("RAID Owner",'RAID Log'!$1:$1,0)),"")))</f>
        <v/>
      </c>
      <c r="N313" s="87" t="str">
        <f>IF($B313="","",IF(IFERROR(INDEX('RAID Log'!$1:$1048576,$B313,MATCH("Date Raised",'RAID Log'!$1:$1,0)),"")="","",IFERROR(INDEX('RAID Log'!$1:$1048576,$B313,MATCH("Date Raised",'RAID Log'!$1:$1,0)),"")))</f>
        <v/>
      </c>
      <c r="O313" s="87" t="str">
        <f>IF($B313="","",IF(IFERROR(INDEX('RAID Log'!$1:$1048576,$B313,MATCH("Closed Date",'RAID Log'!$1:$1,0)),"")="","",IFERROR(INDEX('RAID Log'!$1:$1048576,$B313,MATCH("Closed Date",'RAID Log'!$1:$1,0)),"")))</f>
        <v/>
      </c>
      <c r="P313" s="85" t="str">
        <f>IF($B313="","",IF(IFERROR(INDEX('RAID Log'!$1:$1048576,$B313,MATCH("Mitigation Strategy",'RAID Log'!$1:$1,0)),"")="","",IFERROR(INDEX('RAID Log'!$1:$1048576,$B313,MATCH("Mitigation Strategy",'RAID Log'!$1:$1,0)),"")))</f>
        <v/>
      </c>
      <c r="Q313" s="88" t="str">
        <f>IF($B313="","",IF(IFERROR(INDEX('RAID Log'!$1:$1048576,$B313,MATCH("RAID Response/Plan",'RAID Log'!$1:$1,0)),"")="","",IFERROR(INDEX('RAID Log'!$1:$1048576,$B313,MATCH("RAID Response/Plan",'RAID Log'!$1:$1,0)),"")))</f>
        <v/>
      </c>
    </row>
    <row r="314" spans="1:17" ht="14.25" customHeight="1">
      <c r="A314" s="82" t="str">
        <f>IF($B314="","",IF(IFERROR(INDEX('RAID Log'!$1:$1048576,$B314,MATCH("RAID ID",'RAID Log'!$1:$1,0)),"")="","",IFERROR(INDEX('RAID Log'!$1:$1048576,$B314,MATCH("RAID ID",'RAID Log'!$1:$1,0)),"")))</f>
        <v/>
      </c>
      <c r="B314" s="83" t="str">
        <f>IFERROR(MATCH(ROW()-1,'RAID Log'!$S:$S,0),"")</f>
        <v/>
      </c>
      <c r="C314" s="84" t="str">
        <f>IF($B314="","",IF(IFERROR(INDEX('RAID Log'!$1:$1048576,$B314,MATCH("Description",'RAID Log'!$1:$1,0)),"")="","",IFERROR(INDEX('RAID Log'!$1:$1048576,$B314,MATCH("Description",'RAID Log'!$1:$1,0)),"")))</f>
        <v/>
      </c>
      <c r="D314" s="84" t="str">
        <f>IF($B314="","",IF(IFERROR(INDEX('RAID Log'!$1:$1048576,$B314,MATCH("Impact/Effect of the RAID",'RAID Log'!$1:$1,0)),"")="","",IFERROR(INDEX('RAID Log'!$1:$1048576,$B314,MATCH("Impact/Effect of the RAID",'RAID Log'!$1:$1,0)),"")))</f>
        <v/>
      </c>
      <c r="E314" s="85" t="str">
        <f>IF($B314="","",IF(IFERROR(INDEX('RAID Log'!$1:$1048576,$B314,MATCH("Impact Area",'RAID Log'!$1:$1,0)),"")="","",IFERROR(INDEX('RAID Log'!$1:$1048576,$B314,MATCH("Impact Area",'RAID Log'!$1:$1,0)),"")))</f>
        <v/>
      </c>
      <c r="F314" s="85" t="str">
        <f>IF($B314="","",IF(IFERROR(INDEX('RAID Log'!$1:$1048576,$B314,MATCH("Impact Area",'RAID Log'!$1:$1,0)),"")="","",IFERROR(INDEX('RAID Log'!$1:$1048576,$B314,MATCH("Impact Area",'RAID Log'!$1:$1,0)),"")))</f>
        <v/>
      </c>
      <c r="G314" s="85" t="str">
        <f>IF($B314="","",IF(IFERROR(INDEX('RAID Log'!$1:$1048576,$B314,MATCH("Impact Rating",'RAID Log'!$1:$1,0)),"")="","",IFERROR(INDEX('RAID Log'!$1:$1048576,$B314,MATCH("Impact Rating",'RAID Log'!$1:$1,0)),"")))</f>
        <v/>
      </c>
      <c r="H314" s="85" t="str">
        <f>IF($B314="","",IF(IFERROR(INDEX('RAID Log'!$1:$1048576,$B314,MATCH("Initial Probability",'RAID Log'!$1:$1,0)),"")="","",IFERROR(INDEX('RAID Log'!$1:$1048576,$B314,MATCH("Initial Probability",'RAID Log'!$1:$1,0)),"")))</f>
        <v/>
      </c>
      <c r="I314" s="86" t="str">
        <f t="shared" si="12"/>
        <v/>
      </c>
      <c r="J314" s="85" t="str">
        <f t="shared" si="13"/>
        <v/>
      </c>
      <c r="K314" s="86" t="str">
        <f t="shared" si="14"/>
        <v/>
      </c>
      <c r="L314" s="85" t="str">
        <f>IF($B314="","",IF(IFERROR(INDEX('RAID Log'!$1:$1048576,$B314,MATCH("Status",'RAID Log'!$1:$1,0)),"")="","",IFERROR(INDEX('RAID Log'!$1:$1048576,$B314,MATCH("Status",'RAID Log'!$1:$1,0)),"")))</f>
        <v/>
      </c>
      <c r="M314" s="85" t="str">
        <f>IF($B314="","",IF(IFERROR(INDEX('RAID Log'!$1:$1048576,$B314,MATCH("RAID Owner",'RAID Log'!$1:$1,0)),"")="","",IFERROR(INDEX('RAID Log'!$1:$1048576,$B314,MATCH("RAID Owner",'RAID Log'!$1:$1,0)),"")))</f>
        <v/>
      </c>
      <c r="N314" s="87" t="str">
        <f>IF($B314="","",IF(IFERROR(INDEX('RAID Log'!$1:$1048576,$B314,MATCH("Date Raised",'RAID Log'!$1:$1,0)),"")="","",IFERROR(INDEX('RAID Log'!$1:$1048576,$B314,MATCH("Date Raised",'RAID Log'!$1:$1,0)),"")))</f>
        <v/>
      </c>
      <c r="O314" s="87" t="str">
        <f>IF($B314="","",IF(IFERROR(INDEX('RAID Log'!$1:$1048576,$B314,MATCH("Closed Date",'RAID Log'!$1:$1,0)),"")="","",IFERROR(INDEX('RAID Log'!$1:$1048576,$B314,MATCH("Closed Date",'RAID Log'!$1:$1,0)),"")))</f>
        <v/>
      </c>
      <c r="P314" s="85" t="str">
        <f>IF($B314="","",IF(IFERROR(INDEX('RAID Log'!$1:$1048576,$B314,MATCH("Mitigation Strategy",'RAID Log'!$1:$1,0)),"")="","",IFERROR(INDEX('RAID Log'!$1:$1048576,$B314,MATCH("Mitigation Strategy",'RAID Log'!$1:$1,0)),"")))</f>
        <v/>
      </c>
      <c r="Q314" s="88" t="str">
        <f>IF($B314="","",IF(IFERROR(INDEX('RAID Log'!$1:$1048576,$B314,MATCH("RAID Response/Plan",'RAID Log'!$1:$1,0)),"")="","",IFERROR(INDEX('RAID Log'!$1:$1048576,$B314,MATCH("RAID Response/Plan",'RAID Log'!$1:$1,0)),"")))</f>
        <v/>
      </c>
    </row>
    <row r="315" spans="1:17" ht="14.25" customHeight="1">
      <c r="A315" s="82" t="str">
        <f>IF($B315="","",IF(IFERROR(INDEX('RAID Log'!$1:$1048576,$B315,MATCH("RAID ID",'RAID Log'!$1:$1,0)),"")="","",IFERROR(INDEX('RAID Log'!$1:$1048576,$B315,MATCH("RAID ID",'RAID Log'!$1:$1,0)),"")))</f>
        <v/>
      </c>
      <c r="B315" s="83" t="str">
        <f>IFERROR(MATCH(ROW()-1,'RAID Log'!$S:$S,0),"")</f>
        <v/>
      </c>
      <c r="C315" s="84" t="str">
        <f>IF($B315="","",IF(IFERROR(INDEX('RAID Log'!$1:$1048576,$B315,MATCH("Description",'RAID Log'!$1:$1,0)),"")="","",IFERROR(INDEX('RAID Log'!$1:$1048576,$B315,MATCH("Description",'RAID Log'!$1:$1,0)),"")))</f>
        <v/>
      </c>
      <c r="D315" s="84" t="str">
        <f>IF($B315="","",IF(IFERROR(INDEX('RAID Log'!$1:$1048576,$B315,MATCH("Impact/Effect of the RAID",'RAID Log'!$1:$1,0)),"")="","",IFERROR(INDEX('RAID Log'!$1:$1048576,$B315,MATCH("Impact/Effect of the RAID",'RAID Log'!$1:$1,0)),"")))</f>
        <v/>
      </c>
      <c r="E315" s="85" t="str">
        <f>IF($B315="","",IF(IFERROR(INDEX('RAID Log'!$1:$1048576,$B315,MATCH("Impact Area",'RAID Log'!$1:$1,0)),"")="","",IFERROR(INDEX('RAID Log'!$1:$1048576,$B315,MATCH("Impact Area",'RAID Log'!$1:$1,0)),"")))</f>
        <v/>
      </c>
      <c r="F315" s="85" t="str">
        <f>IF($B315="","",IF(IFERROR(INDEX('RAID Log'!$1:$1048576,$B315,MATCH("Impact Area",'RAID Log'!$1:$1,0)),"")="","",IFERROR(INDEX('RAID Log'!$1:$1048576,$B315,MATCH("Impact Area",'RAID Log'!$1:$1,0)),"")))</f>
        <v/>
      </c>
      <c r="G315" s="85" t="str">
        <f>IF($B315="","",IF(IFERROR(INDEX('RAID Log'!$1:$1048576,$B315,MATCH("Impact Rating",'RAID Log'!$1:$1,0)),"")="","",IFERROR(INDEX('RAID Log'!$1:$1048576,$B315,MATCH("Impact Rating",'RAID Log'!$1:$1,0)),"")))</f>
        <v/>
      </c>
      <c r="H315" s="85" t="str">
        <f>IF($B315="","",IF(IFERROR(INDEX('RAID Log'!$1:$1048576,$B315,MATCH("Initial Probability",'RAID Log'!$1:$1,0)),"")="","",IFERROR(INDEX('RAID Log'!$1:$1048576,$B315,MATCH("Initial Probability",'RAID Log'!$1:$1,0)),"")))</f>
        <v/>
      </c>
      <c r="I315" s="86" t="str">
        <f t="shared" si="12"/>
        <v/>
      </c>
      <c r="J315" s="85" t="str">
        <f t="shared" si="13"/>
        <v/>
      </c>
      <c r="K315" s="86" t="str">
        <f t="shared" si="14"/>
        <v/>
      </c>
      <c r="L315" s="85" t="str">
        <f>IF($B315="","",IF(IFERROR(INDEX('RAID Log'!$1:$1048576,$B315,MATCH("Status",'RAID Log'!$1:$1,0)),"")="","",IFERROR(INDEX('RAID Log'!$1:$1048576,$B315,MATCH("Status",'RAID Log'!$1:$1,0)),"")))</f>
        <v/>
      </c>
      <c r="M315" s="85" t="str">
        <f>IF($B315="","",IF(IFERROR(INDEX('RAID Log'!$1:$1048576,$B315,MATCH("RAID Owner",'RAID Log'!$1:$1,0)),"")="","",IFERROR(INDEX('RAID Log'!$1:$1048576,$B315,MATCH("RAID Owner",'RAID Log'!$1:$1,0)),"")))</f>
        <v/>
      </c>
      <c r="N315" s="87" t="str">
        <f>IF($B315="","",IF(IFERROR(INDEX('RAID Log'!$1:$1048576,$B315,MATCH("Date Raised",'RAID Log'!$1:$1,0)),"")="","",IFERROR(INDEX('RAID Log'!$1:$1048576,$B315,MATCH("Date Raised",'RAID Log'!$1:$1,0)),"")))</f>
        <v/>
      </c>
      <c r="O315" s="87" t="str">
        <f>IF($B315="","",IF(IFERROR(INDEX('RAID Log'!$1:$1048576,$B315,MATCH("Closed Date",'RAID Log'!$1:$1,0)),"")="","",IFERROR(INDEX('RAID Log'!$1:$1048576,$B315,MATCH("Closed Date",'RAID Log'!$1:$1,0)),"")))</f>
        <v/>
      </c>
      <c r="P315" s="85" t="str">
        <f>IF($B315="","",IF(IFERROR(INDEX('RAID Log'!$1:$1048576,$B315,MATCH("Mitigation Strategy",'RAID Log'!$1:$1,0)),"")="","",IFERROR(INDEX('RAID Log'!$1:$1048576,$B315,MATCH("Mitigation Strategy",'RAID Log'!$1:$1,0)),"")))</f>
        <v/>
      </c>
      <c r="Q315" s="88" t="str">
        <f>IF($B315="","",IF(IFERROR(INDEX('RAID Log'!$1:$1048576,$B315,MATCH("RAID Response/Plan",'RAID Log'!$1:$1,0)),"")="","",IFERROR(INDEX('RAID Log'!$1:$1048576,$B315,MATCH("RAID Response/Plan",'RAID Log'!$1:$1,0)),"")))</f>
        <v/>
      </c>
    </row>
    <row r="316" spans="1:17" ht="14.25" customHeight="1">
      <c r="A316" s="82" t="str">
        <f>IF($B316="","",IF(IFERROR(INDEX('RAID Log'!$1:$1048576,$B316,MATCH("RAID ID",'RAID Log'!$1:$1,0)),"")="","",IFERROR(INDEX('RAID Log'!$1:$1048576,$B316,MATCH("RAID ID",'RAID Log'!$1:$1,0)),"")))</f>
        <v/>
      </c>
      <c r="B316" s="83" t="str">
        <f>IFERROR(MATCH(ROW()-1,'RAID Log'!$S:$S,0),"")</f>
        <v/>
      </c>
      <c r="C316" s="84" t="str">
        <f>IF($B316="","",IF(IFERROR(INDEX('RAID Log'!$1:$1048576,$B316,MATCH("Description",'RAID Log'!$1:$1,0)),"")="","",IFERROR(INDEX('RAID Log'!$1:$1048576,$B316,MATCH("Description",'RAID Log'!$1:$1,0)),"")))</f>
        <v/>
      </c>
      <c r="D316" s="84" t="str">
        <f>IF($B316="","",IF(IFERROR(INDEX('RAID Log'!$1:$1048576,$B316,MATCH("Impact/Effect of the RAID",'RAID Log'!$1:$1,0)),"")="","",IFERROR(INDEX('RAID Log'!$1:$1048576,$B316,MATCH("Impact/Effect of the RAID",'RAID Log'!$1:$1,0)),"")))</f>
        <v/>
      </c>
      <c r="E316" s="85" t="str">
        <f>IF($B316="","",IF(IFERROR(INDEX('RAID Log'!$1:$1048576,$B316,MATCH("Impact Area",'RAID Log'!$1:$1,0)),"")="","",IFERROR(INDEX('RAID Log'!$1:$1048576,$B316,MATCH("Impact Area",'RAID Log'!$1:$1,0)),"")))</f>
        <v/>
      </c>
      <c r="F316" s="85" t="str">
        <f>IF($B316="","",IF(IFERROR(INDEX('RAID Log'!$1:$1048576,$B316,MATCH("Impact Area",'RAID Log'!$1:$1,0)),"")="","",IFERROR(INDEX('RAID Log'!$1:$1048576,$B316,MATCH("Impact Area",'RAID Log'!$1:$1,0)),"")))</f>
        <v/>
      </c>
      <c r="G316" s="85" t="str">
        <f>IF($B316="","",IF(IFERROR(INDEX('RAID Log'!$1:$1048576,$B316,MATCH("Impact Rating",'RAID Log'!$1:$1,0)),"")="","",IFERROR(INDEX('RAID Log'!$1:$1048576,$B316,MATCH("Impact Rating",'RAID Log'!$1:$1,0)),"")))</f>
        <v/>
      </c>
      <c r="H316" s="85" t="str">
        <f>IF($B316="","",IF(IFERROR(INDEX('RAID Log'!$1:$1048576,$B316,MATCH("Initial Probability",'RAID Log'!$1:$1,0)),"")="","",IFERROR(INDEX('RAID Log'!$1:$1048576,$B316,MATCH("Initial Probability",'RAID Log'!$1:$1,0)),"")))</f>
        <v/>
      </c>
      <c r="I316" s="86" t="str">
        <f t="shared" si="12"/>
        <v/>
      </c>
      <c r="J316" s="85" t="str">
        <f t="shared" si="13"/>
        <v/>
      </c>
      <c r="K316" s="86" t="str">
        <f t="shared" si="14"/>
        <v/>
      </c>
      <c r="L316" s="85" t="str">
        <f>IF($B316="","",IF(IFERROR(INDEX('RAID Log'!$1:$1048576,$B316,MATCH("Status",'RAID Log'!$1:$1,0)),"")="","",IFERROR(INDEX('RAID Log'!$1:$1048576,$B316,MATCH("Status",'RAID Log'!$1:$1,0)),"")))</f>
        <v/>
      </c>
      <c r="M316" s="85" t="str">
        <f>IF($B316="","",IF(IFERROR(INDEX('RAID Log'!$1:$1048576,$B316,MATCH("RAID Owner",'RAID Log'!$1:$1,0)),"")="","",IFERROR(INDEX('RAID Log'!$1:$1048576,$B316,MATCH("RAID Owner",'RAID Log'!$1:$1,0)),"")))</f>
        <v/>
      </c>
      <c r="N316" s="87" t="str">
        <f>IF($B316="","",IF(IFERROR(INDEX('RAID Log'!$1:$1048576,$B316,MATCH("Date Raised",'RAID Log'!$1:$1,0)),"")="","",IFERROR(INDEX('RAID Log'!$1:$1048576,$B316,MATCH("Date Raised",'RAID Log'!$1:$1,0)),"")))</f>
        <v/>
      </c>
      <c r="O316" s="87" t="str">
        <f>IF($B316="","",IF(IFERROR(INDEX('RAID Log'!$1:$1048576,$B316,MATCH("Closed Date",'RAID Log'!$1:$1,0)),"")="","",IFERROR(INDEX('RAID Log'!$1:$1048576,$B316,MATCH("Closed Date",'RAID Log'!$1:$1,0)),"")))</f>
        <v/>
      </c>
      <c r="P316" s="85" t="str">
        <f>IF($B316="","",IF(IFERROR(INDEX('RAID Log'!$1:$1048576,$B316,MATCH("Mitigation Strategy",'RAID Log'!$1:$1,0)),"")="","",IFERROR(INDEX('RAID Log'!$1:$1048576,$B316,MATCH("Mitigation Strategy",'RAID Log'!$1:$1,0)),"")))</f>
        <v/>
      </c>
      <c r="Q316" s="88" t="str">
        <f>IF($B316="","",IF(IFERROR(INDEX('RAID Log'!$1:$1048576,$B316,MATCH("RAID Response/Plan",'RAID Log'!$1:$1,0)),"")="","",IFERROR(INDEX('RAID Log'!$1:$1048576,$B316,MATCH("RAID Response/Plan",'RAID Log'!$1:$1,0)),"")))</f>
        <v/>
      </c>
    </row>
    <row r="317" spans="1:17" ht="14.25" customHeight="1">
      <c r="A317" s="82" t="str">
        <f>IF($B317="","",IF(IFERROR(INDEX('RAID Log'!$1:$1048576,$B317,MATCH("RAID ID",'RAID Log'!$1:$1,0)),"")="","",IFERROR(INDEX('RAID Log'!$1:$1048576,$B317,MATCH("RAID ID",'RAID Log'!$1:$1,0)),"")))</f>
        <v/>
      </c>
      <c r="B317" s="83" t="str">
        <f>IFERROR(MATCH(ROW()-1,'RAID Log'!$S:$S,0),"")</f>
        <v/>
      </c>
      <c r="C317" s="84" t="str">
        <f>IF($B317="","",IF(IFERROR(INDEX('RAID Log'!$1:$1048576,$B317,MATCH("Description",'RAID Log'!$1:$1,0)),"")="","",IFERROR(INDEX('RAID Log'!$1:$1048576,$B317,MATCH("Description",'RAID Log'!$1:$1,0)),"")))</f>
        <v/>
      </c>
      <c r="D317" s="84" t="str">
        <f>IF($B317="","",IF(IFERROR(INDEX('RAID Log'!$1:$1048576,$B317,MATCH("Impact/Effect of the RAID",'RAID Log'!$1:$1,0)),"")="","",IFERROR(INDEX('RAID Log'!$1:$1048576,$B317,MATCH("Impact/Effect of the RAID",'RAID Log'!$1:$1,0)),"")))</f>
        <v/>
      </c>
      <c r="E317" s="85" t="str">
        <f>IF($B317="","",IF(IFERROR(INDEX('RAID Log'!$1:$1048576,$B317,MATCH("Impact Area",'RAID Log'!$1:$1,0)),"")="","",IFERROR(INDEX('RAID Log'!$1:$1048576,$B317,MATCH("Impact Area",'RAID Log'!$1:$1,0)),"")))</f>
        <v/>
      </c>
      <c r="F317" s="85" t="str">
        <f>IF($B317="","",IF(IFERROR(INDEX('RAID Log'!$1:$1048576,$B317,MATCH("Impact Area",'RAID Log'!$1:$1,0)),"")="","",IFERROR(INDEX('RAID Log'!$1:$1048576,$B317,MATCH("Impact Area",'RAID Log'!$1:$1,0)),"")))</f>
        <v/>
      </c>
      <c r="G317" s="85" t="str">
        <f>IF($B317="","",IF(IFERROR(INDEX('RAID Log'!$1:$1048576,$B317,MATCH("Impact Rating",'RAID Log'!$1:$1,0)),"")="","",IFERROR(INDEX('RAID Log'!$1:$1048576,$B317,MATCH("Impact Rating",'RAID Log'!$1:$1,0)),"")))</f>
        <v/>
      </c>
      <c r="H317" s="85" t="str">
        <f>IF($B317="","",IF(IFERROR(INDEX('RAID Log'!$1:$1048576,$B317,MATCH("Initial Probability",'RAID Log'!$1:$1,0)),"")="","",IFERROR(INDEX('RAID Log'!$1:$1048576,$B317,MATCH("Initial Probability",'RAID Log'!$1:$1,0)),"")))</f>
        <v/>
      </c>
      <c r="I317" s="86" t="str">
        <f t="shared" si="12"/>
        <v/>
      </c>
      <c r="J317" s="85" t="str">
        <f t="shared" si="13"/>
        <v/>
      </c>
      <c r="K317" s="86" t="str">
        <f t="shared" si="14"/>
        <v/>
      </c>
      <c r="L317" s="85" t="str">
        <f>IF($B317="","",IF(IFERROR(INDEX('RAID Log'!$1:$1048576,$B317,MATCH("Status",'RAID Log'!$1:$1,0)),"")="","",IFERROR(INDEX('RAID Log'!$1:$1048576,$B317,MATCH("Status",'RAID Log'!$1:$1,0)),"")))</f>
        <v/>
      </c>
      <c r="M317" s="85" t="str">
        <f>IF($B317="","",IF(IFERROR(INDEX('RAID Log'!$1:$1048576,$B317,MATCH("RAID Owner",'RAID Log'!$1:$1,0)),"")="","",IFERROR(INDEX('RAID Log'!$1:$1048576,$B317,MATCH("RAID Owner",'RAID Log'!$1:$1,0)),"")))</f>
        <v/>
      </c>
      <c r="N317" s="87" t="str">
        <f>IF($B317="","",IF(IFERROR(INDEX('RAID Log'!$1:$1048576,$B317,MATCH("Date Raised",'RAID Log'!$1:$1,0)),"")="","",IFERROR(INDEX('RAID Log'!$1:$1048576,$B317,MATCH("Date Raised",'RAID Log'!$1:$1,0)),"")))</f>
        <v/>
      </c>
      <c r="O317" s="87" t="str">
        <f>IF($B317="","",IF(IFERROR(INDEX('RAID Log'!$1:$1048576,$B317,MATCH("Closed Date",'RAID Log'!$1:$1,0)),"")="","",IFERROR(INDEX('RAID Log'!$1:$1048576,$B317,MATCH("Closed Date",'RAID Log'!$1:$1,0)),"")))</f>
        <v/>
      </c>
      <c r="P317" s="85" t="str">
        <f>IF($B317="","",IF(IFERROR(INDEX('RAID Log'!$1:$1048576,$B317,MATCH("Mitigation Strategy",'RAID Log'!$1:$1,0)),"")="","",IFERROR(INDEX('RAID Log'!$1:$1048576,$B317,MATCH("Mitigation Strategy",'RAID Log'!$1:$1,0)),"")))</f>
        <v/>
      </c>
      <c r="Q317" s="88" t="str">
        <f>IF($B317="","",IF(IFERROR(INDEX('RAID Log'!$1:$1048576,$B317,MATCH("RAID Response/Plan",'RAID Log'!$1:$1,0)),"")="","",IFERROR(INDEX('RAID Log'!$1:$1048576,$B317,MATCH("RAID Response/Plan",'RAID Log'!$1:$1,0)),"")))</f>
        <v/>
      </c>
    </row>
    <row r="318" spans="1:17" ht="14.25" customHeight="1">
      <c r="A318" s="82" t="str">
        <f>IF($B318="","",IF(IFERROR(INDEX('RAID Log'!$1:$1048576,$B318,MATCH("RAID ID",'RAID Log'!$1:$1,0)),"")="","",IFERROR(INDEX('RAID Log'!$1:$1048576,$B318,MATCH("RAID ID",'RAID Log'!$1:$1,0)),"")))</f>
        <v/>
      </c>
      <c r="B318" s="83" t="str">
        <f>IFERROR(MATCH(ROW()-1,'RAID Log'!$S:$S,0),"")</f>
        <v/>
      </c>
      <c r="C318" s="84" t="str">
        <f>IF($B318="","",IF(IFERROR(INDEX('RAID Log'!$1:$1048576,$B318,MATCH("Description",'RAID Log'!$1:$1,0)),"")="","",IFERROR(INDEX('RAID Log'!$1:$1048576,$B318,MATCH("Description",'RAID Log'!$1:$1,0)),"")))</f>
        <v/>
      </c>
      <c r="D318" s="84" t="str">
        <f>IF($B318="","",IF(IFERROR(INDEX('RAID Log'!$1:$1048576,$B318,MATCH("Impact/Effect of the RAID",'RAID Log'!$1:$1,0)),"")="","",IFERROR(INDEX('RAID Log'!$1:$1048576,$B318,MATCH("Impact/Effect of the RAID",'RAID Log'!$1:$1,0)),"")))</f>
        <v/>
      </c>
      <c r="E318" s="85" t="str">
        <f>IF($B318="","",IF(IFERROR(INDEX('RAID Log'!$1:$1048576,$B318,MATCH("Impact Area",'RAID Log'!$1:$1,0)),"")="","",IFERROR(INDEX('RAID Log'!$1:$1048576,$B318,MATCH("Impact Area",'RAID Log'!$1:$1,0)),"")))</f>
        <v/>
      </c>
      <c r="F318" s="85" t="str">
        <f>IF($B318="","",IF(IFERROR(INDEX('RAID Log'!$1:$1048576,$B318,MATCH("Impact Area",'RAID Log'!$1:$1,0)),"")="","",IFERROR(INDEX('RAID Log'!$1:$1048576,$B318,MATCH("Impact Area",'RAID Log'!$1:$1,0)),"")))</f>
        <v/>
      </c>
      <c r="G318" s="85" t="str">
        <f>IF($B318="","",IF(IFERROR(INDEX('RAID Log'!$1:$1048576,$B318,MATCH("Impact Rating",'RAID Log'!$1:$1,0)),"")="","",IFERROR(INDEX('RAID Log'!$1:$1048576,$B318,MATCH("Impact Rating",'RAID Log'!$1:$1,0)),"")))</f>
        <v/>
      </c>
      <c r="H318" s="85" t="str">
        <f>IF($B318="","",IF(IFERROR(INDEX('RAID Log'!$1:$1048576,$B318,MATCH("Initial Probability",'RAID Log'!$1:$1,0)),"")="","",IFERROR(INDEX('RAID Log'!$1:$1048576,$B318,MATCH("Initial Probability",'RAID Log'!$1:$1,0)),"")))</f>
        <v/>
      </c>
      <c r="I318" s="86" t="str">
        <f t="shared" si="12"/>
        <v/>
      </c>
      <c r="J318" s="85" t="str">
        <f t="shared" si="13"/>
        <v/>
      </c>
      <c r="K318" s="86" t="str">
        <f t="shared" si="14"/>
        <v/>
      </c>
      <c r="L318" s="85" t="str">
        <f>IF($B318="","",IF(IFERROR(INDEX('RAID Log'!$1:$1048576,$B318,MATCH("Status",'RAID Log'!$1:$1,0)),"")="","",IFERROR(INDEX('RAID Log'!$1:$1048576,$B318,MATCH("Status",'RAID Log'!$1:$1,0)),"")))</f>
        <v/>
      </c>
      <c r="M318" s="85" t="str">
        <f>IF($B318="","",IF(IFERROR(INDEX('RAID Log'!$1:$1048576,$B318,MATCH("RAID Owner",'RAID Log'!$1:$1,0)),"")="","",IFERROR(INDEX('RAID Log'!$1:$1048576,$B318,MATCH("RAID Owner",'RAID Log'!$1:$1,0)),"")))</f>
        <v/>
      </c>
      <c r="N318" s="87" t="str">
        <f>IF($B318="","",IF(IFERROR(INDEX('RAID Log'!$1:$1048576,$B318,MATCH("Date Raised",'RAID Log'!$1:$1,0)),"")="","",IFERROR(INDEX('RAID Log'!$1:$1048576,$B318,MATCH("Date Raised",'RAID Log'!$1:$1,0)),"")))</f>
        <v/>
      </c>
      <c r="O318" s="87" t="str">
        <f>IF($B318="","",IF(IFERROR(INDEX('RAID Log'!$1:$1048576,$B318,MATCH("Closed Date",'RAID Log'!$1:$1,0)),"")="","",IFERROR(INDEX('RAID Log'!$1:$1048576,$B318,MATCH("Closed Date",'RAID Log'!$1:$1,0)),"")))</f>
        <v/>
      </c>
      <c r="P318" s="85" t="str">
        <f>IF($B318="","",IF(IFERROR(INDEX('RAID Log'!$1:$1048576,$B318,MATCH("Mitigation Strategy",'RAID Log'!$1:$1,0)),"")="","",IFERROR(INDEX('RAID Log'!$1:$1048576,$B318,MATCH("Mitigation Strategy",'RAID Log'!$1:$1,0)),"")))</f>
        <v/>
      </c>
      <c r="Q318" s="88" t="str">
        <f>IF($B318="","",IF(IFERROR(INDEX('RAID Log'!$1:$1048576,$B318,MATCH("RAID Response/Plan",'RAID Log'!$1:$1,0)),"")="","",IFERROR(INDEX('RAID Log'!$1:$1048576,$B318,MATCH("RAID Response/Plan",'RAID Log'!$1:$1,0)),"")))</f>
        <v/>
      </c>
    </row>
    <row r="319" spans="1:17" ht="14.25" customHeight="1">
      <c r="A319" s="82" t="str">
        <f>IF($B319="","",IF(IFERROR(INDEX('RAID Log'!$1:$1048576,$B319,MATCH("RAID ID",'RAID Log'!$1:$1,0)),"")="","",IFERROR(INDEX('RAID Log'!$1:$1048576,$B319,MATCH("RAID ID",'RAID Log'!$1:$1,0)),"")))</f>
        <v/>
      </c>
      <c r="B319" s="83" t="str">
        <f>IFERROR(MATCH(ROW()-1,'RAID Log'!$S:$S,0),"")</f>
        <v/>
      </c>
      <c r="C319" s="84" t="str">
        <f>IF($B319="","",IF(IFERROR(INDEX('RAID Log'!$1:$1048576,$B319,MATCH("Description",'RAID Log'!$1:$1,0)),"")="","",IFERROR(INDEX('RAID Log'!$1:$1048576,$B319,MATCH("Description",'RAID Log'!$1:$1,0)),"")))</f>
        <v/>
      </c>
      <c r="D319" s="84" t="str">
        <f>IF($B319="","",IF(IFERROR(INDEX('RAID Log'!$1:$1048576,$B319,MATCH("Impact/Effect of the RAID",'RAID Log'!$1:$1,0)),"")="","",IFERROR(INDEX('RAID Log'!$1:$1048576,$B319,MATCH("Impact/Effect of the RAID",'RAID Log'!$1:$1,0)),"")))</f>
        <v/>
      </c>
      <c r="E319" s="85" t="str">
        <f>IF($B319="","",IF(IFERROR(INDEX('RAID Log'!$1:$1048576,$B319,MATCH("Impact Area",'RAID Log'!$1:$1,0)),"")="","",IFERROR(INDEX('RAID Log'!$1:$1048576,$B319,MATCH("Impact Area",'RAID Log'!$1:$1,0)),"")))</f>
        <v/>
      </c>
      <c r="F319" s="85" t="str">
        <f>IF($B319="","",IF(IFERROR(INDEX('RAID Log'!$1:$1048576,$B319,MATCH("Impact Area",'RAID Log'!$1:$1,0)),"")="","",IFERROR(INDEX('RAID Log'!$1:$1048576,$B319,MATCH("Impact Area",'RAID Log'!$1:$1,0)),"")))</f>
        <v/>
      </c>
      <c r="G319" s="85" t="str">
        <f>IF($B319="","",IF(IFERROR(INDEX('RAID Log'!$1:$1048576,$B319,MATCH("Impact Rating",'RAID Log'!$1:$1,0)),"")="","",IFERROR(INDEX('RAID Log'!$1:$1048576,$B319,MATCH("Impact Rating",'RAID Log'!$1:$1,0)),"")))</f>
        <v/>
      </c>
      <c r="H319" s="85" t="str">
        <f>IF($B319="","",IF(IFERROR(INDEX('RAID Log'!$1:$1048576,$B319,MATCH("Initial Probability",'RAID Log'!$1:$1,0)),"")="","",IFERROR(INDEX('RAID Log'!$1:$1048576,$B319,MATCH("Initial Probability",'RAID Log'!$1:$1,0)),"")))</f>
        <v/>
      </c>
      <c r="I319" s="86" t="str">
        <f t="shared" si="12"/>
        <v/>
      </c>
      <c r="J319" s="85" t="str">
        <f t="shared" si="13"/>
        <v/>
      </c>
      <c r="K319" s="86" t="str">
        <f t="shared" si="14"/>
        <v/>
      </c>
      <c r="L319" s="85" t="str">
        <f>IF($B319="","",IF(IFERROR(INDEX('RAID Log'!$1:$1048576,$B319,MATCH("Status",'RAID Log'!$1:$1,0)),"")="","",IFERROR(INDEX('RAID Log'!$1:$1048576,$B319,MATCH("Status",'RAID Log'!$1:$1,0)),"")))</f>
        <v/>
      </c>
      <c r="M319" s="85" t="str">
        <f>IF($B319="","",IF(IFERROR(INDEX('RAID Log'!$1:$1048576,$B319,MATCH("RAID Owner",'RAID Log'!$1:$1,0)),"")="","",IFERROR(INDEX('RAID Log'!$1:$1048576,$B319,MATCH("RAID Owner",'RAID Log'!$1:$1,0)),"")))</f>
        <v/>
      </c>
      <c r="N319" s="87" t="str">
        <f>IF($B319="","",IF(IFERROR(INDEX('RAID Log'!$1:$1048576,$B319,MATCH("Date Raised",'RAID Log'!$1:$1,0)),"")="","",IFERROR(INDEX('RAID Log'!$1:$1048576,$B319,MATCH("Date Raised",'RAID Log'!$1:$1,0)),"")))</f>
        <v/>
      </c>
      <c r="O319" s="87" t="str">
        <f>IF($B319="","",IF(IFERROR(INDEX('RAID Log'!$1:$1048576,$B319,MATCH("Closed Date",'RAID Log'!$1:$1,0)),"")="","",IFERROR(INDEX('RAID Log'!$1:$1048576,$B319,MATCH("Closed Date",'RAID Log'!$1:$1,0)),"")))</f>
        <v/>
      </c>
      <c r="P319" s="85" t="str">
        <f>IF($B319="","",IF(IFERROR(INDEX('RAID Log'!$1:$1048576,$B319,MATCH("Mitigation Strategy",'RAID Log'!$1:$1,0)),"")="","",IFERROR(INDEX('RAID Log'!$1:$1048576,$B319,MATCH("Mitigation Strategy",'RAID Log'!$1:$1,0)),"")))</f>
        <v/>
      </c>
      <c r="Q319" s="88" t="str">
        <f>IF($B319="","",IF(IFERROR(INDEX('RAID Log'!$1:$1048576,$B319,MATCH("RAID Response/Plan",'RAID Log'!$1:$1,0)),"")="","",IFERROR(INDEX('RAID Log'!$1:$1048576,$B319,MATCH("RAID Response/Plan",'RAID Log'!$1:$1,0)),"")))</f>
        <v/>
      </c>
    </row>
    <row r="320" spans="1:17" ht="14.25" customHeight="1">
      <c r="A320" s="82" t="str">
        <f>IF($B320="","",IF(IFERROR(INDEX('RAID Log'!$1:$1048576,$B320,MATCH("RAID ID",'RAID Log'!$1:$1,0)),"")="","",IFERROR(INDEX('RAID Log'!$1:$1048576,$B320,MATCH("RAID ID",'RAID Log'!$1:$1,0)),"")))</f>
        <v/>
      </c>
      <c r="B320" s="83" t="str">
        <f>IFERROR(MATCH(ROW()-1,'RAID Log'!$S:$S,0),"")</f>
        <v/>
      </c>
      <c r="C320" s="84" t="str">
        <f>IF($B320="","",IF(IFERROR(INDEX('RAID Log'!$1:$1048576,$B320,MATCH("Description",'RAID Log'!$1:$1,0)),"")="","",IFERROR(INDEX('RAID Log'!$1:$1048576,$B320,MATCH("Description",'RAID Log'!$1:$1,0)),"")))</f>
        <v/>
      </c>
      <c r="D320" s="84" t="str">
        <f>IF($B320="","",IF(IFERROR(INDEX('RAID Log'!$1:$1048576,$B320,MATCH("Impact/Effect of the RAID",'RAID Log'!$1:$1,0)),"")="","",IFERROR(INDEX('RAID Log'!$1:$1048576,$B320,MATCH("Impact/Effect of the RAID",'RAID Log'!$1:$1,0)),"")))</f>
        <v/>
      </c>
      <c r="E320" s="85" t="str">
        <f>IF($B320="","",IF(IFERROR(INDEX('RAID Log'!$1:$1048576,$B320,MATCH("Impact Area",'RAID Log'!$1:$1,0)),"")="","",IFERROR(INDEX('RAID Log'!$1:$1048576,$B320,MATCH("Impact Area",'RAID Log'!$1:$1,0)),"")))</f>
        <v/>
      </c>
      <c r="F320" s="85" t="str">
        <f>IF($B320="","",IF(IFERROR(INDEX('RAID Log'!$1:$1048576,$B320,MATCH("Impact Area",'RAID Log'!$1:$1,0)),"")="","",IFERROR(INDEX('RAID Log'!$1:$1048576,$B320,MATCH("Impact Area",'RAID Log'!$1:$1,0)),"")))</f>
        <v/>
      </c>
      <c r="G320" s="85" t="str">
        <f>IF($B320="","",IF(IFERROR(INDEX('RAID Log'!$1:$1048576,$B320,MATCH("Impact Rating",'RAID Log'!$1:$1,0)),"")="","",IFERROR(INDEX('RAID Log'!$1:$1048576,$B320,MATCH("Impact Rating",'RAID Log'!$1:$1,0)),"")))</f>
        <v/>
      </c>
      <c r="H320" s="85" t="str">
        <f>IF($B320="","",IF(IFERROR(INDEX('RAID Log'!$1:$1048576,$B320,MATCH("Initial Probability",'RAID Log'!$1:$1,0)),"")="","",IFERROR(INDEX('RAID Log'!$1:$1048576,$B320,MATCH("Initial Probability",'RAID Log'!$1:$1,0)),"")))</f>
        <v/>
      </c>
      <c r="I320" s="86" t="str">
        <f t="shared" si="12"/>
        <v/>
      </c>
      <c r="J320" s="85" t="str">
        <f t="shared" si="13"/>
        <v/>
      </c>
      <c r="K320" s="86" t="str">
        <f t="shared" si="14"/>
        <v/>
      </c>
      <c r="L320" s="85" t="str">
        <f>IF($B320="","",IF(IFERROR(INDEX('RAID Log'!$1:$1048576,$B320,MATCH("Status",'RAID Log'!$1:$1,0)),"")="","",IFERROR(INDEX('RAID Log'!$1:$1048576,$B320,MATCH("Status",'RAID Log'!$1:$1,0)),"")))</f>
        <v/>
      </c>
      <c r="M320" s="85" t="str">
        <f>IF($B320="","",IF(IFERROR(INDEX('RAID Log'!$1:$1048576,$B320,MATCH("RAID Owner",'RAID Log'!$1:$1,0)),"")="","",IFERROR(INDEX('RAID Log'!$1:$1048576,$B320,MATCH("RAID Owner",'RAID Log'!$1:$1,0)),"")))</f>
        <v/>
      </c>
      <c r="N320" s="87" t="str">
        <f>IF($B320="","",IF(IFERROR(INDEX('RAID Log'!$1:$1048576,$B320,MATCH("Date Raised",'RAID Log'!$1:$1,0)),"")="","",IFERROR(INDEX('RAID Log'!$1:$1048576,$B320,MATCH("Date Raised",'RAID Log'!$1:$1,0)),"")))</f>
        <v/>
      </c>
      <c r="O320" s="87" t="str">
        <f>IF($B320="","",IF(IFERROR(INDEX('RAID Log'!$1:$1048576,$B320,MATCH("Closed Date",'RAID Log'!$1:$1,0)),"")="","",IFERROR(INDEX('RAID Log'!$1:$1048576,$B320,MATCH("Closed Date",'RAID Log'!$1:$1,0)),"")))</f>
        <v/>
      </c>
      <c r="P320" s="85" t="str">
        <f>IF($B320="","",IF(IFERROR(INDEX('RAID Log'!$1:$1048576,$B320,MATCH("Mitigation Strategy",'RAID Log'!$1:$1,0)),"")="","",IFERROR(INDEX('RAID Log'!$1:$1048576,$B320,MATCH("Mitigation Strategy",'RAID Log'!$1:$1,0)),"")))</f>
        <v/>
      </c>
      <c r="Q320" s="88" t="str">
        <f>IF($B320="","",IF(IFERROR(INDEX('RAID Log'!$1:$1048576,$B320,MATCH("RAID Response/Plan",'RAID Log'!$1:$1,0)),"")="","",IFERROR(INDEX('RAID Log'!$1:$1048576,$B320,MATCH("RAID Response/Plan",'RAID Log'!$1:$1,0)),"")))</f>
        <v/>
      </c>
    </row>
    <row r="321" spans="1:17" ht="14.25" customHeight="1">
      <c r="A321" s="82" t="str">
        <f>IF($B321="","",IF(IFERROR(INDEX('RAID Log'!$1:$1048576,$B321,MATCH("RAID ID",'RAID Log'!$1:$1,0)),"")="","",IFERROR(INDEX('RAID Log'!$1:$1048576,$B321,MATCH("RAID ID",'RAID Log'!$1:$1,0)),"")))</f>
        <v/>
      </c>
      <c r="B321" s="83" t="str">
        <f>IFERROR(MATCH(ROW()-1,'RAID Log'!$S:$S,0),"")</f>
        <v/>
      </c>
      <c r="C321" s="84" t="str">
        <f>IF($B321="","",IF(IFERROR(INDEX('RAID Log'!$1:$1048576,$B321,MATCH("Description",'RAID Log'!$1:$1,0)),"")="","",IFERROR(INDEX('RAID Log'!$1:$1048576,$B321,MATCH("Description",'RAID Log'!$1:$1,0)),"")))</f>
        <v/>
      </c>
      <c r="D321" s="84" t="str">
        <f>IF($B321="","",IF(IFERROR(INDEX('RAID Log'!$1:$1048576,$B321,MATCH("Impact/Effect of the RAID",'RAID Log'!$1:$1,0)),"")="","",IFERROR(INDEX('RAID Log'!$1:$1048576,$B321,MATCH("Impact/Effect of the RAID",'RAID Log'!$1:$1,0)),"")))</f>
        <v/>
      </c>
      <c r="E321" s="85" t="str">
        <f>IF($B321="","",IF(IFERROR(INDEX('RAID Log'!$1:$1048576,$B321,MATCH("Impact Area",'RAID Log'!$1:$1,0)),"")="","",IFERROR(INDEX('RAID Log'!$1:$1048576,$B321,MATCH("Impact Area",'RAID Log'!$1:$1,0)),"")))</f>
        <v/>
      </c>
      <c r="F321" s="85" t="str">
        <f>IF($B321="","",IF(IFERROR(INDEX('RAID Log'!$1:$1048576,$B321,MATCH("Impact Area",'RAID Log'!$1:$1,0)),"")="","",IFERROR(INDEX('RAID Log'!$1:$1048576,$B321,MATCH("Impact Area",'RAID Log'!$1:$1,0)),"")))</f>
        <v/>
      </c>
      <c r="G321" s="85" t="str">
        <f>IF($B321="","",IF(IFERROR(INDEX('RAID Log'!$1:$1048576,$B321,MATCH("Impact Rating",'RAID Log'!$1:$1,0)),"")="","",IFERROR(INDEX('RAID Log'!$1:$1048576,$B321,MATCH("Impact Rating",'RAID Log'!$1:$1,0)),"")))</f>
        <v/>
      </c>
      <c r="H321" s="85" t="str">
        <f>IF($B321="","",IF(IFERROR(INDEX('RAID Log'!$1:$1048576,$B321,MATCH("Initial Probability",'RAID Log'!$1:$1,0)),"")="","",IFERROR(INDEX('RAID Log'!$1:$1048576,$B321,MATCH("Initial Probability",'RAID Log'!$1:$1,0)),"")))</f>
        <v/>
      </c>
      <c r="I321" s="86" t="str">
        <f t="shared" si="12"/>
        <v/>
      </c>
      <c r="J321" s="85" t="str">
        <f t="shared" si="13"/>
        <v/>
      </c>
      <c r="K321" s="86" t="str">
        <f t="shared" si="14"/>
        <v/>
      </c>
      <c r="L321" s="85" t="str">
        <f>IF($B321="","",IF(IFERROR(INDEX('RAID Log'!$1:$1048576,$B321,MATCH("Status",'RAID Log'!$1:$1,0)),"")="","",IFERROR(INDEX('RAID Log'!$1:$1048576,$B321,MATCH("Status",'RAID Log'!$1:$1,0)),"")))</f>
        <v/>
      </c>
      <c r="M321" s="85" t="str">
        <f>IF($B321="","",IF(IFERROR(INDEX('RAID Log'!$1:$1048576,$B321,MATCH("RAID Owner",'RAID Log'!$1:$1,0)),"")="","",IFERROR(INDEX('RAID Log'!$1:$1048576,$B321,MATCH("RAID Owner",'RAID Log'!$1:$1,0)),"")))</f>
        <v/>
      </c>
      <c r="N321" s="87" t="str">
        <f>IF($B321="","",IF(IFERROR(INDEX('RAID Log'!$1:$1048576,$B321,MATCH("Date Raised",'RAID Log'!$1:$1,0)),"")="","",IFERROR(INDEX('RAID Log'!$1:$1048576,$B321,MATCH("Date Raised",'RAID Log'!$1:$1,0)),"")))</f>
        <v/>
      </c>
      <c r="O321" s="87" t="str">
        <f>IF($B321="","",IF(IFERROR(INDEX('RAID Log'!$1:$1048576,$B321,MATCH("Closed Date",'RAID Log'!$1:$1,0)),"")="","",IFERROR(INDEX('RAID Log'!$1:$1048576,$B321,MATCH("Closed Date",'RAID Log'!$1:$1,0)),"")))</f>
        <v/>
      </c>
      <c r="P321" s="85" t="str">
        <f>IF($B321="","",IF(IFERROR(INDEX('RAID Log'!$1:$1048576,$B321,MATCH("Mitigation Strategy",'RAID Log'!$1:$1,0)),"")="","",IFERROR(INDEX('RAID Log'!$1:$1048576,$B321,MATCH("Mitigation Strategy",'RAID Log'!$1:$1,0)),"")))</f>
        <v/>
      </c>
      <c r="Q321" s="88" t="str">
        <f>IF($B321="","",IF(IFERROR(INDEX('RAID Log'!$1:$1048576,$B321,MATCH("RAID Response/Plan",'RAID Log'!$1:$1,0)),"")="","",IFERROR(INDEX('RAID Log'!$1:$1048576,$B321,MATCH("RAID Response/Plan",'RAID Log'!$1:$1,0)),"")))</f>
        <v/>
      </c>
    </row>
    <row r="322" spans="1:17" ht="14.25" customHeight="1">
      <c r="A322" s="82" t="str">
        <f>IF($B322="","",IF(IFERROR(INDEX('RAID Log'!$1:$1048576,$B322,MATCH("RAID ID",'RAID Log'!$1:$1,0)),"")="","",IFERROR(INDEX('RAID Log'!$1:$1048576,$B322,MATCH("RAID ID",'RAID Log'!$1:$1,0)),"")))</f>
        <v/>
      </c>
      <c r="B322" s="83" t="str">
        <f>IFERROR(MATCH(ROW()-1,'RAID Log'!$S:$S,0),"")</f>
        <v/>
      </c>
      <c r="C322" s="84" t="str">
        <f>IF($B322="","",IF(IFERROR(INDEX('RAID Log'!$1:$1048576,$B322,MATCH("Description",'RAID Log'!$1:$1,0)),"")="","",IFERROR(INDEX('RAID Log'!$1:$1048576,$B322,MATCH("Description",'RAID Log'!$1:$1,0)),"")))</f>
        <v/>
      </c>
      <c r="D322" s="84" t="str">
        <f>IF($B322="","",IF(IFERROR(INDEX('RAID Log'!$1:$1048576,$B322,MATCH("Impact/Effect of the RAID",'RAID Log'!$1:$1,0)),"")="","",IFERROR(INDEX('RAID Log'!$1:$1048576,$B322,MATCH("Impact/Effect of the RAID",'RAID Log'!$1:$1,0)),"")))</f>
        <v/>
      </c>
      <c r="E322" s="85" t="str">
        <f>IF($B322="","",IF(IFERROR(INDEX('RAID Log'!$1:$1048576,$B322,MATCH("Impact Area",'RAID Log'!$1:$1,0)),"")="","",IFERROR(INDEX('RAID Log'!$1:$1048576,$B322,MATCH("Impact Area",'RAID Log'!$1:$1,0)),"")))</f>
        <v/>
      </c>
      <c r="F322" s="85" t="str">
        <f>IF($B322="","",IF(IFERROR(INDEX('RAID Log'!$1:$1048576,$B322,MATCH("Impact Area",'RAID Log'!$1:$1,0)),"")="","",IFERROR(INDEX('RAID Log'!$1:$1048576,$B322,MATCH("Impact Area",'RAID Log'!$1:$1,0)),"")))</f>
        <v/>
      </c>
      <c r="G322" s="85" t="str">
        <f>IF($B322="","",IF(IFERROR(INDEX('RAID Log'!$1:$1048576,$B322,MATCH("Impact Rating",'RAID Log'!$1:$1,0)),"")="","",IFERROR(INDEX('RAID Log'!$1:$1048576,$B322,MATCH("Impact Rating",'RAID Log'!$1:$1,0)),"")))</f>
        <v/>
      </c>
      <c r="H322" s="85" t="str">
        <f>IF($B322="","",IF(IFERROR(INDEX('RAID Log'!$1:$1048576,$B322,MATCH("Initial Probability",'RAID Log'!$1:$1,0)),"")="","",IFERROR(INDEX('RAID Log'!$1:$1048576,$B322,MATCH("Initial Probability",'RAID Log'!$1:$1,0)),"")))</f>
        <v/>
      </c>
      <c r="I322" s="86" t="str">
        <f t="shared" ref="I322:I385" si="15">IF($B322="","",(IF($G322="Severe",25,IF($G322="Major",20,IF($G322="Moderate",15,IF($G322="Minor",10,IF($G322="Insignificant",5,0))))))*IF($H322="Very High",1,IF($H322="High",0.8,IF($H322="Average",0.6,IF($H322="Low",0.4,IF($H322="Very Low",0.2,0))))))</f>
        <v/>
      </c>
      <c r="J322" s="85" t="str">
        <f t="shared" ref="J322:J385" si="16">IF($B322="","",IF($I322&gt;20,"Critical",IF($I322&gt;15,"High",IF($I322&gt;8,"Moderate",IF($I322&gt;3,"Tolerable","Negligible")))))</f>
        <v/>
      </c>
      <c r="K322" s="86" t="str">
        <f t="shared" ref="K322:K385" si="17">IF(OR($B322="",UPPER($L322)="CLOSED"),"",COUNTIFS($L$2:$L$880,"&lt;&gt;Closed",$I$2:$I$880,"&gt;"&amp;$I322)+COUNTIFS($L$2:$L$880,"&lt;&gt;Closed",$I$2:$I$880,$I322,$N$2:$N$880,"&lt;"&amp;$N322)+COUNTIFS($L$2:$L$880,"&lt;&gt;Closed",$I$2:$I$880,$I322,$N$2:$N$880,$N322,$B$2:$B$880,"&lt;"&amp;$B322)+1)</f>
        <v/>
      </c>
      <c r="L322" s="85" t="str">
        <f>IF($B322="","",IF(IFERROR(INDEX('RAID Log'!$1:$1048576,$B322,MATCH("Status",'RAID Log'!$1:$1,0)),"")="","",IFERROR(INDEX('RAID Log'!$1:$1048576,$B322,MATCH("Status",'RAID Log'!$1:$1,0)),"")))</f>
        <v/>
      </c>
      <c r="M322" s="85" t="str">
        <f>IF($B322="","",IF(IFERROR(INDEX('RAID Log'!$1:$1048576,$B322,MATCH("RAID Owner",'RAID Log'!$1:$1,0)),"")="","",IFERROR(INDEX('RAID Log'!$1:$1048576,$B322,MATCH("RAID Owner",'RAID Log'!$1:$1,0)),"")))</f>
        <v/>
      </c>
      <c r="N322" s="87" t="str">
        <f>IF($B322="","",IF(IFERROR(INDEX('RAID Log'!$1:$1048576,$B322,MATCH("Date Raised",'RAID Log'!$1:$1,0)),"")="","",IFERROR(INDEX('RAID Log'!$1:$1048576,$B322,MATCH("Date Raised",'RAID Log'!$1:$1,0)),"")))</f>
        <v/>
      </c>
      <c r="O322" s="87" t="str">
        <f>IF($B322="","",IF(IFERROR(INDEX('RAID Log'!$1:$1048576,$B322,MATCH("Closed Date",'RAID Log'!$1:$1,0)),"")="","",IFERROR(INDEX('RAID Log'!$1:$1048576,$B322,MATCH("Closed Date",'RAID Log'!$1:$1,0)),"")))</f>
        <v/>
      </c>
      <c r="P322" s="85" t="str">
        <f>IF($B322="","",IF(IFERROR(INDEX('RAID Log'!$1:$1048576,$B322,MATCH("Mitigation Strategy",'RAID Log'!$1:$1,0)),"")="","",IFERROR(INDEX('RAID Log'!$1:$1048576,$B322,MATCH("Mitigation Strategy",'RAID Log'!$1:$1,0)),"")))</f>
        <v/>
      </c>
      <c r="Q322" s="88" t="str">
        <f>IF($B322="","",IF(IFERROR(INDEX('RAID Log'!$1:$1048576,$B322,MATCH("RAID Response/Plan",'RAID Log'!$1:$1,0)),"")="","",IFERROR(INDEX('RAID Log'!$1:$1048576,$B322,MATCH("RAID Response/Plan",'RAID Log'!$1:$1,0)),"")))</f>
        <v/>
      </c>
    </row>
    <row r="323" spans="1:17" ht="14.25" customHeight="1">
      <c r="A323" s="82" t="str">
        <f>IF($B323="","",IF(IFERROR(INDEX('RAID Log'!$1:$1048576,$B323,MATCH("RAID ID",'RAID Log'!$1:$1,0)),"")="","",IFERROR(INDEX('RAID Log'!$1:$1048576,$B323,MATCH("RAID ID",'RAID Log'!$1:$1,0)),"")))</f>
        <v/>
      </c>
      <c r="B323" s="83" t="str">
        <f>IFERROR(MATCH(ROW()-1,'RAID Log'!$S:$S,0),"")</f>
        <v/>
      </c>
      <c r="C323" s="84" t="str">
        <f>IF($B323="","",IF(IFERROR(INDEX('RAID Log'!$1:$1048576,$B323,MATCH("Description",'RAID Log'!$1:$1,0)),"")="","",IFERROR(INDEX('RAID Log'!$1:$1048576,$B323,MATCH("Description",'RAID Log'!$1:$1,0)),"")))</f>
        <v/>
      </c>
      <c r="D323" s="84" t="str">
        <f>IF($B323="","",IF(IFERROR(INDEX('RAID Log'!$1:$1048576,$B323,MATCH("Impact/Effect of the RAID",'RAID Log'!$1:$1,0)),"")="","",IFERROR(INDEX('RAID Log'!$1:$1048576,$B323,MATCH("Impact/Effect of the RAID",'RAID Log'!$1:$1,0)),"")))</f>
        <v/>
      </c>
      <c r="E323" s="85" t="str">
        <f>IF($B323="","",IF(IFERROR(INDEX('RAID Log'!$1:$1048576,$B323,MATCH("Impact Area",'RAID Log'!$1:$1,0)),"")="","",IFERROR(INDEX('RAID Log'!$1:$1048576,$B323,MATCH("Impact Area",'RAID Log'!$1:$1,0)),"")))</f>
        <v/>
      </c>
      <c r="F323" s="85" t="str">
        <f>IF($B323="","",IF(IFERROR(INDEX('RAID Log'!$1:$1048576,$B323,MATCH("Impact Area",'RAID Log'!$1:$1,0)),"")="","",IFERROR(INDEX('RAID Log'!$1:$1048576,$B323,MATCH("Impact Area",'RAID Log'!$1:$1,0)),"")))</f>
        <v/>
      </c>
      <c r="G323" s="85" t="str">
        <f>IF($B323="","",IF(IFERROR(INDEX('RAID Log'!$1:$1048576,$B323,MATCH("Impact Rating",'RAID Log'!$1:$1,0)),"")="","",IFERROR(INDEX('RAID Log'!$1:$1048576,$B323,MATCH("Impact Rating",'RAID Log'!$1:$1,0)),"")))</f>
        <v/>
      </c>
      <c r="H323" s="85" t="str">
        <f>IF($B323="","",IF(IFERROR(INDEX('RAID Log'!$1:$1048576,$B323,MATCH("Initial Probability",'RAID Log'!$1:$1,0)),"")="","",IFERROR(INDEX('RAID Log'!$1:$1048576,$B323,MATCH("Initial Probability",'RAID Log'!$1:$1,0)),"")))</f>
        <v/>
      </c>
      <c r="I323" s="86" t="str">
        <f t="shared" si="15"/>
        <v/>
      </c>
      <c r="J323" s="85" t="str">
        <f t="shared" si="16"/>
        <v/>
      </c>
      <c r="K323" s="86" t="str">
        <f t="shared" si="17"/>
        <v/>
      </c>
      <c r="L323" s="85" t="str">
        <f>IF($B323="","",IF(IFERROR(INDEX('RAID Log'!$1:$1048576,$B323,MATCH("Status",'RAID Log'!$1:$1,0)),"")="","",IFERROR(INDEX('RAID Log'!$1:$1048576,$B323,MATCH("Status",'RAID Log'!$1:$1,0)),"")))</f>
        <v/>
      </c>
      <c r="M323" s="85" t="str">
        <f>IF($B323="","",IF(IFERROR(INDEX('RAID Log'!$1:$1048576,$B323,MATCH("RAID Owner",'RAID Log'!$1:$1,0)),"")="","",IFERROR(INDEX('RAID Log'!$1:$1048576,$B323,MATCH("RAID Owner",'RAID Log'!$1:$1,0)),"")))</f>
        <v/>
      </c>
      <c r="N323" s="87" t="str">
        <f>IF($B323="","",IF(IFERROR(INDEX('RAID Log'!$1:$1048576,$B323,MATCH("Date Raised",'RAID Log'!$1:$1,0)),"")="","",IFERROR(INDEX('RAID Log'!$1:$1048576,$B323,MATCH("Date Raised",'RAID Log'!$1:$1,0)),"")))</f>
        <v/>
      </c>
      <c r="O323" s="87" t="str">
        <f>IF($B323="","",IF(IFERROR(INDEX('RAID Log'!$1:$1048576,$B323,MATCH("Closed Date",'RAID Log'!$1:$1,0)),"")="","",IFERROR(INDEX('RAID Log'!$1:$1048576,$B323,MATCH("Closed Date",'RAID Log'!$1:$1,0)),"")))</f>
        <v/>
      </c>
      <c r="P323" s="85" t="str">
        <f>IF($B323="","",IF(IFERROR(INDEX('RAID Log'!$1:$1048576,$B323,MATCH("Mitigation Strategy",'RAID Log'!$1:$1,0)),"")="","",IFERROR(INDEX('RAID Log'!$1:$1048576,$B323,MATCH("Mitigation Strategy",'RAID Log'!$1:$1,0)),"")))</f>
        <v/>
      </c>
      <c r="Q323" s="88" t="str">
        <f>IF($B323="","",IF(IFERROR(INDEX('RAID Log'!$1:$1048576,$B323,MATCH("RAID Response/Plan",'RAID Log'!$1:$1,0)),"")="","",IFERROR(INDEX('RAID Log'!$1:$1048576,$B323,MATCH("RAID Response/Plan",'RAID Log'!$1:$1,0)),"")))</f>
        <v/>
      </c>
    </row>
    <row r="324" spans="1:17" ht="14.25" customHeight="1">
      <c r="A324" s="82" t="str">
        <f>IF($B324="","",IF(IFERROR(INDEX('RAID Log'!$1:$1048576,$B324,MATCH("RAID ID",'RAID Log'!$1:$1,0)),"")="","",IFERROR(INDEX('RAID Log'!$1:$1048576,$B324,MATCH("RAID ID",'RAID Log'!$1:$1,0)),"")))</f>
        <v/>
      </c>
      <c r="B324" s="83" t="str">
        <f>IFERROR(MATCH(ROW()-1,'RAID Log'!$S:$S,0),"")</f>
        <v/>
      </c>
      <c r="C324" s="84" t="str">
        <f>IF($B324="","",IF(IFERROR(INDEX('RAID Log'!$1:$1048576,$B324,MATCH("Description",'RAID Log'!$1:$1,0)),"")="","",IFERROR(INDEX('RAID Log'!$1:$1048576,$B324,MATCH("Description",'RAID Log'!$1:$1,0)),"")))</f>
        <v/>
      </c>
      <c r="D324" s="84" t="str">
        <f>IF($B324="","",IF(IFERROR(INDEX('RAID Log'!$1:$1048576,$B324,MATCH("Impact/Effect of the RAID",'RAID Log'!$1:$1,0)),"")="","",IFERROR(INDEX('RAID Log'!$1:$1048576,$B324,MATCH("Impact/Effect of the RAID",'RAID Log'!$1:$1,0)),"")))</f>
        <v/>
      </c>
      <c r="E324" s="85" t="str">
        <f>IF($B324="","",IF(IFERROR(INDEX('RAID Log'!$1:$1048576,$B324,MATCH("Impact Area",'RAID Log'!$1:$1,0)),"")="","",IFERROR(INDEX('RAID Log'!$1:$1048576,$B324,MATCH("Impact Area",'RAID Log'!$1:$1,0)),"")))</f>
        <v/>
      </c>
      <c r="F324" s="85" t="str">
        <f>IF($B324="","",IF(IFERROR(INDEX('RAID Log'!$1:$1048576,$B324,MATCH("Impact Area",'RAID Log'!$1:$1,0)),"")="","",IFERROR(INDEX('RAID Log'!$1:$1048576,$B324,MATCH("Impact Area",'RAID Log'!$1:$1,0)),"")))</f>
        <v/>
      </c>
      <c r="G324" s="85" t="str">
        <f>IF($B324="","",IF(IFERROR(INDEX('RAID Log'!$1:$1048576,$B324,MATCH("Impact Rating",'RAID Log'!$1:$1,0)),"")="","",IFERROR(INDEX('RAID Log'!$1:$1048576,$B324,MATCH("Impact Rating",'RAID Log'!$1:$1,0)),"")))</f>
        <v/>
      </c>
      <c r="H324" s="85" t="str">
        <f>IF($B324="","",IF(IFERROR(INDEX('RAID Log'!$1:$1048576,$B324,MATCH("Initial Probability",'RAID Log'!$1:$1,0)),"")="","",IFERROR(INDEX('RAID Log'!$1:$1048576,$B324,MATCH("Initial Probability",'RAID Log'!$1:$1,0)),"")))</f>
        <v/>
      </c>
      <c r="I324" s="86" t="str">
        <f t="shared" si="15"/>
        <v/>
      </c>
      <c r="J324" s="85" t="str">
        <f t="shared" si="16"/>
        <v/>
      </c>
      <c r="K324" s="86" t="str">
        <f t="shared" si="17"/>
        <v/>
      </c>
      <c r="L324" s="85" t="str">
        <f>IF($B324="","",IF(IFERROR(INDEX('RAID Log'!$1:$1048576,$B324,MATCH("Status",'RAID Log'!$1:$1,0)),"")="","",IFERROR(INDEX('RAID Log'!$1:$1048576,$B324,MATCH("Status",'RAID Log'!$1:$1,0)),"")))</f>
        <v/>
      </c>
      <c r="M324" s="85" t="str">
        <f>IF($B324="","",IF(IFERROR(INDEX('RAID Log'!$1:$1048576,$B324,MATCH("RAID Owner",'RAID Log'!$1:$1,0)),"")="","",IFERROR(INDEX('RAID Log'!$1:$1048576,$B324,MATCH("RAID Owner",'RAID Log'!$1:$1,0)),"")))</f>
        <v/>
      </c>
      <c r="N324" s="87" t="str">
        <f>IF($B324="","",IF(IFERROR(INDEX('RAID Log'!$1:$1048576,$B324,MATCH("Date Raised",'RAID Log'!$1:$1,0)),"")="","",IFERROR(INDEX('RAID Log'!$1:$1048576,$B324,MATCH("Date Raised",'RAID Log'!$1:$1,0)),"")))</f>
        <v/>
      </c>
      <c r="O324" s="87" t="str">
        <f>IF($B324="","",IF(IFERROR(INDEX('RAID Log'!$1:$1048576,$B324,MATCH("Closed Date",'RAID Log'!$1:$1,0)),"")="","",IFERROR(INDEX('RAID Log'!$1:$1048576,$B324,MATCH("Closed Date",'RAID Log'!$1:$1,0)),"")))</f>
        <v/>
      </c>
      <c r="P324" s="85" t="str">
        <f>IF($B324="","",IF(IFERROR(INDEX('RAID Log'!$1:$1048576,$B324,MATCH("Mitigation Strategy",'RAID Log'!$1:$1,0)),"")="","",IFERROR(INDEX('RAID Log'!$1:$1048576,$B324,MATCH("Mitigation Strategy",'RAID Log'!$1:$1,0)),"")))</f>
        <v/>
      </c>
      <c r="Q324" s="88" t="str">
        <f>IF($B324="","",IF(IFERROR(INDEX('RAID Log'!$1:$1048576,$B324,MATCH("RAID Response/Plan",'RAID Log'!$1:$1,0)),"")="","",IFERROR(INDEX('RAID Log'!$1:$1048576,$B324,MATCH("RAID Response/Plan",'RAID Log'!$1:$1,0)),"")))</f>
        <v/>
      </c>
    </row>
    <row r="325" spans="1:17" ht="14.25" customHeight="1">
      <c r="A325" s="82" t="str">
        <f>IF($B325="","",IF(IFERROR(INDEX('RAID Log'!$1:$1048576,$B325,MATCH("RAID ID",'RAID Log'!$1:$1,0)),"")="","",IFERROR(INDEX('RAID Log'!$1:$1048576,$B325,MATCH("RAID ID",'RAID Log'!$1:$1,0)),"")))</f>
        <v/>
      </c>
      <c r="B325" s="83" t="str">
        <f>IFERROR(MATCH(ROW()-1,'RAID Log'!$S:$S,0),"")</f>
        <v/>
      </c>
      <c r="C325" s="84" t="str">
        <f>IF($B325="","",IF(IFERROR(INDEX('RAID Log'!$1:$1048576,$B325,MATCH("Description",'RAID Log'!$1:$1,0)),"")="","",IFERROR(INDEX('RAID Log'!$1:$1048576,$B325,MATCH("Description",'RAID Log'!$1:$1,0)),"")))</f>
        <v/>
      </c>
      <c r="D325" s="84" t="str">
        <f>IF($B325="","",IF(IFERROR(INDEX('RAID Log'!$1:$1048576,$B325,MATCH("Impact/Effect of the RAID",'RAID Log'!$1:$1,0)),"")="","",IFERROR(INDEX('RAID Log'!$1:$1048576,$B325,MATCH("Impact/Effect of the RAID",'RAID Log'!$1:$1,0)),"")))</f>
        <v/>
      </c>
      <c r="E325" s="85" t="str">
        <f>IF($B325="","",IF(IFERROR(INDEX('RAID Log'!$1:$1048576,$B325,MATCH("Impact Area",'RAID Log'!$1:$1,0)),"")="","",IFERROR(INDEX('RAID Log'!$1:$1048576,$B325,MATCH("Impact Area",'RAID Log'!$1:$1,0)),"")))</f>
        <v/>
      </c>
      <c r="F325" s="85" t="str">
        <f>IF($B325="","",IF(IFERROR(INDEX('RAID Log'!$1:$1048576,$B325,MATCH("Impact Area",'RAID Log'!$1:$1,0)),"")="","",IFERROR(INDEX('RAID Log'!$1:$1048576,$B325,MATCH("Impact Area",'RAID Log'!$1:$1,0)),"")))</f>
        <v/>
      </c>
      <c r="G325" s="85" t="str">
        <f>IF($B325="","",IF(IFERROR(INDEX('RAID Log'!$1:$1048576,$B325,MATCH("Impact Rating",'RAID Log'!$1:$1,0)),"")="","",IFERROR(INDEX('RAID Log'!$1:$1048576,$B325,MATCH("Impact Rating",'RAID Log'!$1:$1,0)),"")))</f>
        <v/>
      </c>
      <c r="H325" s="85" t="str">
        <f>IF($B325="","",IF(IFERROR(INDEX('RAID Log'!$1:$1048576,$B325,MATCH("Initial Probability",'RAID Log'!$1:$1,0)),"")="","",IFERROR(INDEX('RAID Log'!$1:$1048576,$B325,MATCH("Initial Probability",'RAID Log'!$1:$1,0)),"")))</f>
        <v/>
      </c>
      <c r="I325" s="86" t="str">
        <f t="shared" si="15"/>
        <v/>
      </c>
      <c r="J325" s="85" t="str">
        <f t="shared" si="16"/>
        <v/>
      </c>
      <c r="K325" s="86" t="str">
        <f t="shared" si="17"/>
        <v/>
      </c>
      <c r="L325" s="85" t="str">
        <f>IF($B325="","",IF(IFERROR(INDEX('RAID Log'!$1:$1048576,$B325,MATCH("Status",'RAID Log'!$1:$1,0)),"")="","",IFERROR(INDEX('RAID Log'!$1:$1048576,$B325,MATCH("Status",'RAID Log'!$1:$1,0)),"")))</f>
        <v/>
      </c>
      <c r="M325" s="85" t="str">
        <f>IF($B325="","",IF(IFERROR(INDEX('RAID Log'!$1:$1048576,$B325,MATCH("RAID Owner",'RAID Log'!$1:$1,0)),"")="","",IFERROR(INDEX('RAID Log'!$1:$1048576,$B325,MATCH("RAID Owner",'RAID Log'!$1:$1,0)),"")))</f>
        <v/>
      </c>
      <c r="N325" s="87" t="str">
        <f>IF($B325="","",IF(IFERROR(INDEX('RAID Log'!$1:$1048576,$B325,MATCH("Date Raised",'RAID Log'!$1:$1,0)),"")="","",IFERROR(INDEX('RAID Log'!$1:$1048576,$B325,MATCH("Date Raised",'RAID Log'!$1:$1,0)),"")))</f>
        <v/>
      </c>
      <c r="O325" s="87" t="str">
        <f>IF($B325="","",IF(IFERROR(INDEX('RAID Log'!$1:$1048576,$B325,MATCH("Closed Date",'RAID Log'!$1:$1,0)),"")="","",IFERROR(INDEX('RAID Log'!$1:$1048576,$B325,MATCH("Closed Date",'RAID Log'!$1:$1,0)),"")))</f>
        <v/>
      </c>
      <c r="P325" s="85" t="str">
        <f>IF($B325="","",IF(IFERROR(INDEX('RAID Log'!$1:$1048576,$B325,MATCH("Mitigation Strategy",'RAID Log'!$1:$1,0)),"")="","",IFERROR(INDEX('RAID Log'!$1:$1048576,$B325,MATCH("Mitigation Strategy",'RAID Log'!$1:$1,0)),"")))</f>
        <v/>
      </c>
      <c r="Q325" s="88" t="str">
        <f>IF($B325="","",IF(IFERROR(INDEX('RAID Log'!$1:$1048576,$B325,MATCH("RAID Response/Plan",'RAID Log'!$1:$1,0)),"")="","",IFERROR(INDEX('RAID Log'!$1:$1048576,$B325,MATCH("RAID Response/Plan",'RAID Log'!$1:$1,0)),"")))</f>
        <v/>
      </c>
    </row>
    <row r="326" spans="1:17" ht="14.25" customHeight="1">
      <c r="A326" s="82" t="str">
        <f>IF($B326="","",IF(IFERROR(INDEX('RAID Log'!$1:$1048576,$B326,MATCH("RAID ID",'RAID Log'!$1:$1,0)),"")="","",IFERROR(INDEX('RAID Log'!$1:$1048576,$B326,MATCH("RAID ID",'RAID Log'!$1:$1,0)),"")))</f>
        <v/>
      </c>
      <c r="B326" s="83" t="str">
        <f>IFERROR(MATCH(ROW()-1,'RAID Log'!$S:$S,0),"")</f>
        <v/>
      </c>
      <c r="C326" s="84" t="str">
        <f>IF($B326="","",IF(IFERROR(INDEX('RAID Log'!$1:$1048576,$B326,MATCH("Description",'RAID Log'!$1:$1,0)),"")="","",IFERROR(INDEX('RAID Log'!$1:$1048576,$B326,MATCH("Description",'RAID Log'!$1:$1,0)),"")))</f>
        <v/>
      </c>
      <c r="D326" s="84" t="str">
        <f>IF($B326="","",IF(IFERROR(INDEX('RAID Log'!$1:$1048576,$B326,MATCH("Impact/Effect of the RAID",'RAID Log'!$1:$1,0)),"")="","",IFERROR(INDEX('RAID Log'!$1:$1048576,$B326,MATCH("Impact/Effect of the RAID",'RAID Log'!$1:$1,0)),"")))</f>
        <v/>
      </c>
      <c r="E326" s="85" t="str">
        <f>IF($B326="","",IF(IFERROR(INDEX('RAID Log'!$1:$1048576,$B326,MATCH("Impact Area",'RAID Log'!$1:$1,0)),"")="","",IFERROR(INDEX('RAID Log'!$1:$1048576,$B326,MATCH("Impact Area",'RAID Log'!$1:$1,0)),"")))</f>
        <v/>
      </c>
      <c r="F326" s="85" t="str">
        <f>IF($B326="","",IF(IFERROR(INDEX('RAID Log'!$1:$1048576,$B326,MATCH("Impact Area",'RAID Log'!$1:$1,0)),"")="","",IFERROR(INDEX('RAID Log'!$1:$1048576,$B326,MATCH("Impact Area",'RAID Log'!$1:$1,0)),"")))</f>
        <v/>
      </c>
      <c r="G326" s="85" t="str">
        <f>IF($B326="","",IF(IFERROR(INDEX('RAID Log'!$1:$1048576,$B326,MATCH("Impact Rating",'RAID Log'!$1:$1,0)),"")="","",IFERROR(INDEX('RAID Log'!$1:$1048576,$B326,MATCH("Impact Rating",'RAID Log'!$1:$1,0)),"")))</f>
        <v/>
      </c>
      <c r="H326" s="85" t="str">
        <f>IF($B326="","",IF(IFERROR(INDEX('RAID Log'!$1:$1048576,$B326,MATCH("Initial Probability",'RAID Log'!$1:$1,0)),"")="","",IFERROR(INDEX('RAID Log'!$1:$1048576,$B326,MATCH("Initial Probability",'RAID Log'!$1:$1,0)),"")))</f>
        <v/>
      </c>
      <c r="I326" s="86" t="str">
        <f t="shared" si="15"/>
        <v/>
      </c>
      <c r="J326" s="85" t="str">
        <f t="shared" si="16"/>
        <v/>
      </c>
      <c r="K326" s="86" t="str">
        <f t="shared" si="17"/>
        <v/>
      </c>
      <c r="L326" s="85" t="str">
        <f>IF($B326="","",IF(IFERROR(INDEX('RAID Log'!$1:$1048576,$B326,MATCH("Status",'RAID Log'!$1:$1,0)),"")="","",IFERROR(INDEX('RAID Log'!$1:$1048576,$B326,MATCH("Status",'RAID Log'!$1:$1,0)),"")))</f>
        <v/>
      </c>
      <c r="M326" s="85" t="str">
        <f>IF($B326="","",IF(IFERROR(INDEX('RAID Log'!$1:$1048576,$B326,MATCH("RAID Owner",'RAID Log'!$1:$1,0)),"")="","",IFERROR(INDEX('RAID Log'!$1:$1048576,$B326,MATCH("RAID Owner",'RAID Log'!$1:$1,0)),"")))</f>
        <v/>
      </c>
      <c r="N326" s="87" t="str">
        <f>IF($B326="","",IF(IFERROR(INDEX('RAID Log'!$1:$1048576,$B326,MATCH("Date Raised",'RAID Log'!$1:$1,0)),"")="","",IFERROR(INDEX('RAID Log'!$1:$1048576,$B326,MATCH("Date Raised",'RAID Log'!$1:$1,0)),"")))</f>
        <v/>
      </c>
      <c r="O326" s="87" t="str">
        <f>IF($B326="","",IF(IFERROR(INDEX('RAID Log'!$1:$1048576,$B326,MATCH("Closed Date",'RAID Log'!$1:$1,0)),"")="","",IFERROR(INDEX('RAID Log'!$1:$1048576,$B326,MATCH("Closed Date",'RAID Log'!$1:$1,0)),"")))</f>
        <v/>
      </c>
      <c r="P326" s="85" t="str">
        <f>IF($B326="","",IF(IFERROR(INDEX('RAID Log'!$1:$1048576,$B326,MATCH("Mitigation Strategy",'RAID Log'!$1:$1,0)),"")="","",IFERROR(INDEX('RAID Log'!$1:$1048576,$B326,MATCH("Mitigation Strategy",'RAID Log'!$1:$1,0)),"")))</f>
        <v/>
      </c>
      <c r="Q326" s="88" t="str">
        <f>IF($B326="","",IF(IFERROR(INDEX('RAID Log'!$1:$1048576,$B326,MATCH("RAID Response/Plan",'RAID Log'!$1:$1,0)),"")="","",IFERROR(INDEX('RAID Log'!$1:$1048576,$B326,MATCH("RAID Response/Plan",'RAID Log'!$1:$1,0)),"")))</f>
        <v/>
      </c>
    </row>
    <row r="327" spans="1:17" ht="14.25" customHeight="1">
      <c r="A327" s="82" t="str">
        <f>IF($B327="","",IF(IFERROR(INDEX('RAID Log'!$1:$1048576,$B327,MATCH("RAID ID",'RAID Log'!$1:$1,0)),"")="","",IFERROR(INDEX('RAID Log'!$1:$1048576,$B327,MATCH("RAID ID",'RAID Log'!$1:$1,0)),"")))</f>
        <v/>
      </c>
      <c r="B327" s="83" t="str">
        <f>IFERROR(MATCH(ROW()-1,'RAID Log'!$S:$S,0),"")</f>
        <v/>
      </c>
      <c r="C327" s="84" t="str">
        <f>IF($B327="","",IF(IFERROR(INDEX('RAID Log'!$1:$1048576,$B327,MATCH("Description",'RAID Log'!$1:$1,0)),"")="","",IFERROR(INDEX('RAID Log'!$1:$1048576,$B327,MATCH("Description",'RAID Log'!$1:$1,0)),"")))</f>
        <v/>
      </c>
      <c r="D327" s="84" t="str">
        <f>IF($B327="","",IF(IFERROR(INDEX('RAID Log'!$1:$1048576,$B327,MATCH("Impact/Effect of the RAID",'RAID Log'!$1:$1,0)),"")="","",IFERROR(INDEX('RAID Log'!$1:$1048576,$B327,MATCH("Impact/Effect of the RAID",'RAID Log'!$1:$1,0)),"")))</f>
        <v/>
      </c>
      <c r="E327" s="85" t="str">
        <f>IF($B327="","",IF(IFERROR(INDEX('RAID Log'!$1:$1048576,$B327,MATCH("Impact Area",'RAID Log'!$1:$1,0)),"")="","",IFERROR(INDEX('RAID Log'!$1:$1048576,$B327,MATCH("Impact Area",'RAID Log'!$1:$1,0)),"")))</f>
        <v/>
      </c>
      <c r="F327" s="85" t="str">
        <f>IF($B327="","",IF(IFERROR(INDEX('RAID Log'!$1:$1048576,$B327,MATCH("Impact Area",'RAID Log'!$1:$1,0)),"")="","",IFERROR(INDEX('RAID Log'!$1:$1048576,$B327,MATCH("Impact Area",'RAID Log'!$1:$1,0)),"")))</f>
        <v/>
      </c>
      <c r="G327" s="85" t="str">
        <f>IF($B327="","",IF(IFERROR(INDEX('RAID Log'!$1:$1048576,$B327,MATCH("Impact Rating",'RAID Log'!$1:$1,0)),"")="","",IFERROR(INDEX('RAID Log'!$1:$1048576,$B327,MATCH("Impact Rating",'RAID Log'!$1:$1,0)),"")))</f>
        <v/>
      </c>
      <c r="H327" s="85" t="str">
        <f>IF($B327="","",IF(IFERROR(INDEX('RAID Log'!$1:$1048576,$B327,MATCH("Initial Probability",'RAID Log'!$1:$1,0)),"")="","",IFERROR(INDEX('RAID Log'!$1:$1048576,$B327,MATCH("Initial Probability",'RAID Log'!$1:$1,0)),"")))</f>
        <v/>
      </c>
      <c r="I327" s="86" t="str">
        <f t="shared" si="15"/>
        <v/>
      </c>
      <c r="J327" s="85" t="str">
        <f t="shared" si="16"/>
        <v/>
      </c>
      <c r="K327" s="86" t="str">
        <f t="shared" si="17"/>
        <v/>
      </c>
      <c r="L327" s="85" t="str">
        <f>IF($B327="","",IF(IFERROR(INDEX('RAID Log'!$1:$1048576,$B327,MATCH("Status",'RAID Log'!$1:$1,0)),"")="","",IFERROR(INDEX('RAID Log'!$1:$1048576,$B327,MATCH("Status",'RAID Log'!$1:$1,0)),"")))</f>
        <v/>
      </c>
      <c r="M327" s="85" t="str">
        <f>IF($B327="","",IF(IFERROR(INDEX('RAID Log'!$1:$1048576,$B327,MATCH("RAID Owner",'RAID Log'!$1:$1,0)),"")="","",IFERROR(INDEX('RAID Log'!$1:$1048576,$B327,MATCH("RAID Owner",'RAID Log'!$1:$1,0)),"")))</f>
        <v/>
      </c>
      <c r="N327" s="87" t="str">
        <f>IF($B327="","",IF(IFERROR(INDEX('RAID Log'!$1:$1048576,$B327,MATCH("Date Raised",'RAID Log'!$1:$1,0)),"")="","",IFERROR(INDEX('RAID Log'!$1:$1048576,$B327,MATCH("Date Raised",'RAID Log'!$1:$1,0)),"")))</f>
        <v/>
      </c>
      <c r="O327" s="87" t="str">
        <f>IF($B327="","",IF(IFERROR(INDEX('RAID Log'!$1:$1048576,$B327,MATCH("Closed Date",'RAID Log'!$1:$1,0)),"")="","",IFERROR(INDEX('RAID Log'!$1:$1048576,$B327,MATCH("Closed Date",'RAID Log'!$1:$1,0)),"")))</f>
        <v/>
      </c>
      <c r="P327" s="85" t="str">
        <f>IF($B327="","",IF(IFERROR(INDEX('RAID Log'!$1:$1048576,$B327,MATCH("Mitigation Strategy",'RAID Log'!$1:$1,0)),"")="","",IFERROR(INDEX('RAID Log'!$1:$1048576,$B327,MATCH("Mitigation Strategy",'RAID Log'!$1:$1,0)),"")))</f>
        <v/>
      </c>
      <c r="Q327" s="88" t="str">
        <f>IF($B327="","",IF(IFERROR(INDEX('RAID Log'!$1:$1048576,$B327,MATCH("RAID Response/Plan",'RAID Log'!$1:$1,0)),"")="","",IFERROR(INDEX('RAID Log'!$1:$1048576,$B327,MATCH("RAID Response/Plan",'RAID Log'!$1:$1,0)),"")))</f>
        <v/>
      </c>
    </row>
    <row r="328" spans="1:17" ht="14.25" customHeight="1">
      <c r="A328" s="82" t="str">
        <f>IF($B328="","",IF(IFERROR(INDEX('RAID Log'!$1:$1048576,$B328,MATCH("RAID ID",'RAID Log'!$1:$1,0)),"")="","",IFERROR(INDEX('RAID Log'!$1:$1048576,$B328,MATCH("RAID ID",'RAID Log'!$1:$1,0)),"")))</f>
        <v/>
      </c>
      <c r="B328" s="83" t="str">
        <f>IFERROR(MATCH(ROW()-1,'RAID Log'!$S:$S,0),"")</f>
        <v/>
      </c>
      <c r="C328" s="84" t="str">
        <f>IF($B328="","",IF(IFERROR(INDEX('RAID Log'!$1:$1048576,$B328,MATCH("Description",'RAID Log'!$1:$1,0)),"")="","",IFERROR(INDEX('RAID Log'!$1:$1048576,$B328,MATCH("Description",'RAID Log'!$1:$1,0)),"")))</f>
        <v/>
      </c>
      <c r="D328" s="84" t="str">
        <f>IF($B328="","",IF(IFERROR(INDEX('RAID Log'!$1:$1048576,$B328,MATCH("Impact/Effect of the RAID",'RAID Log'!$1:$1,0)),"")="","",IFERROR(INDEX('RAID Log'!$1:$1048576,$B328,MATCH("Impact/Effect of the RAID",'RAID Log'!$1:$1,0)),"")))</f>
        <v/>
      </c>
      <c r="E328" s="85" t="str">
        <f>IF($B328="","",IF(IFERROR(INDEX('RAID Log'!$1:$1048576,$B328,MATCH("Impact Area",'RAID Log'!$1:$1,0)),"")="","",IFERROR(INDEX('RAID Log'!$1:$1048576,$B328,MATCH("Impact Area",'RAID Log'!$1:$1,0)),"")))</f>
        <v/>
      </c>
      <c r="F328" s="85" t="str">
        <f>IF($B328="","",IF(IFERROR(INDEX('RAID Log'!$1:$1048576,$B328,MATCH("Impact Area",'RAID Log'!$1:$1,0)),"")="","",IFERROR(INDEX('RAID Log'!$1:$1048576,$B328,MATCH("Impact Area",'RAID Log'!$1:$1,0)),"")))</f>
        <v/>
      </c>
      <c r="G328" s="85" t="str">
        <f>IF($B328="","",IF(IFERROR(INDEX('RAID Log'!$1:$1048576,$B328,MATCH("Impact Rating",'RAID Log'!$1:$1,0)),"")="","",IFERROR(INDEX('RAID Log'!$1:$1048576,$B328,MATCH("Impact Rating",'RAID Log'!$1:$1,0)),"")))</f>
        <v/>
      </c>
      <c r="H328" s="85" t="str">
        <f>IF($B328="","",IF(IFERROR(INDEX('RAID Log'!$1:$1048576,$B328,MATCH("Initial Probability",'RAID Log'!$1:$1,0)),"")="","",IFERROR(INDEX('RAID Log'!$1:$1048576,$B328,MATCH("Initial Probability",'RAID Log'!$1:$1,0)),"")))</f>
        <v/>
      </c>
      <c r="I328" s="86" t="str">
        <f t="shared" si="15"/>
        <v/>
      </c>
      <c r="J328" s="85" t="str">
        <f t="shared" si="16"/>
        <v/>
      </c>
      <c r="K328" s="86" t="str">
        <f t="shared" si="17"/>
        <v/>
      </c>
      <c r="L328" s="85" t="str">
        <f>IF($B328="","",IF(IFERROR(INDEX('RAID Log'!$1:$1048576,$B328,MATCH("Status",'RAID Log'!$1:$1,0)),"")="","",IFERROR(INDEX('RAID Log'!$1:$1048576,$B328,MATCH("Status",'RAID Log'!$1:$1,0)),"")))</f>
        <v/>
      </c>
      <c r="M328" s="85" t="str">
        <f>IF($B328="","",IF(IFERROR(INDEX('RAID Log'!$1:$1048576,$B328,MATCH("RAID Owner",'RAID Log'!$1:$1,0)),"")="","",IFERROR(INDEX('RAID Log'!$1:$1048576,$B328,MATCH("RAID Owner",'RAID Log'!$1:$1,0)),"")))</f>
        <v/>
      </c>
      <c r="N328" s="87" t="str">
        <f>IF($B328="","",IF(IFERROR(INDEX('RAID Log'!$1:$1048576,$B328,MATCH("Date Raised",'RAID Log'!$1:$1,0)),"")="","",IFERROR(INDEX('RAID Log'!$1:$1048576,$B328,MATCH("Date Raised",'RAID Log'!$1:$1,0)),"")))</f>
        <v/>
      </c>
      <c r="O328" s="87" t="str">
        <f>IF($B328="","",IF(IFERROR(INDEX('RAID Log'!$1:$1048576,$B328,MATCH("Closed Date",'RAID Log'!$1:$1,0)),"")="","",IFERROR(INDEX('RAID Log'!$1:$1048576,$B328,MATCH("Closed Date",'RAID Log'!$1:$1,0)),"")))</f>
        <v/>
      </c>
      <c r="P328" s="85" t="str">
        <f>IF($B328="","",IF(IFERROR(INDEX('RAID Log'!$1:$1048576,$B328,MATCH("Mitigation Strategy",'RAID Log'!$1:$1,0)),"")="","",IFERROR(INDEX('RAID Log'!$1:$1048576,$B328,MATCH("Mitigation Strategy",'RAID Log'!$1:$1,0)),"")))</f>
        <v/>
      </c>
      <c r="Q328" s="88" t="str">
        <f>IF($B328="","",IF(IFERROR(INDEX('RAID Log'!$1:$1048576,$B328,MATCH("RAID Response/Plan",'RAID Log'!$1:$1,0)),"")="","",IFERROR(INDEX('RAID Log'!$1:$1048576,$B328,MATCH("RAID Response/Plan",'RAID Log'!$1:$1,0)),"")))</f>
        <v/>
      </c>
    </row>
    <row r="329" spans="1:17" ht="14.25" customHeight="1">
      <c r="A329" s="82" t="str">
        <f>IF($B329="","",IF(IFERROR(INDEX('RAID Log'!$1:$1048576,$B329,MATCH("RAID ID",'RAID Log'!$1:$1,0)),"")="","",IFERROR(INDEX('RAID Log'!$1:$1048576,$B329,MATCH("RAID ID",'RAID Log'!$1:$1,0)),"")))</f>
        <v/>
      </c>
      <c r="B329" s="83" t="str">
        <f>IFERROR(MATCH(ROW()-1,'RAID Log'!$S:$S,0),"")</f>
        <v/>
      </c>
      <c r="C329" s="84" t="str">
        <f>IF($B329="","",IF(IFERROR(INDEX('RAID Log'!$1:$1048576,$B329,MATCH("Description",'RAID Log'!$1:$1,0)),"")="","",IFERROR(INDEX('RAID Log'!$1:$1048576,$B329,MATCH("Description",'RAID Log'!$1:$1,0)),"")))</f>
        <v/>
      </c>
      <c r="D329" s="84" t="str">
        <f>IF($B329="","",IF(IFERROR(INDEX('RAID Log'!$1:$1048576,$B329,MATCH("Impact/Effect of the RAID",'RAID Log'!$1:$1,0)),"")="","",IFERROR(INDEX('RAID Log'!$1:$1048576,$B329,MATCH("Impact/Effect of the RAID",'RAID Log'!$1:$1,0)),"")))</f>
        <v/>
      </c>
      <c r="E329" s="85" t="str">
        <f>IF($B329="","",IF(IFERROR(INDEX('RAID Log'!$1:$1048576,$B329,MATCH("Impact Area",'RAID Log'!$1:$1,0)),"")="","",IFERROR(INDEX('RAID Log'!$1:$1048576,$B329,MATCH("Impact Area",'RAID Log'!$1:$1,0)),"")))</f>
        <v/>
      </c>
      <c r="F329" s="85" t="str">
        <f>IF($B329="","",IF(IFERROR(INDEX('RAID Log'!$1:$1048576,$B329,MATCH("Impact Area",'RAID Log'!$1:$1,0)),"")="","",IFERROR(INDEX('RAID Log'!$1:$1048576,$B329,MATCH("Impact Area",'RAID Log'!$1:$1,0)),"")))</f>
        <v/>
      </c>
      <c r="G329" s="85" t="str">
        <f>IF($B329="","",IF(IFERROR(INDEX('RAID Log'!$1:$1048576,$B329,MATCH("Impact Rating",'RAID Log'!$1:$1,0)),"")="","",IFERROR(INDEX('RAID Log'!$1:$1048576,$B329,MATCH("Impact Rating",'RAID Log'!$1:$1,0)),"")))</f>
        <v/>
      </c>
      <c r="H329" s="85" t="str">
        <f>IF($B329="","",IF(IFERROR(INDEX('RAID Log'!$1:$1048576,$B329,MATCH("Initial Probability",'RAID Log'!$1:$1,0)),"")="","",IFERROR(INDEX('RAID Log'!$1:$1048576,$B329,MATCH("Initial Probability",'RAID Log'!$1:$1,0)),"")))</f>
        <v/>
      </c>
      <c r="I329" s="86" t="str">
        <f t="shared" si="15"/>
        <v/>
      </c>
      <c r="J329" s="85" t="str">
        <f t="shared" si="16"/>
        <v/>
      </c>
      <c r="K329" s="86" t="str">
        <f t="shared" si="17"/>
        <v/>
      </c>
      <c r="L329" s="85" t="str">
        <f>IF($B329="","",IF(IFERROR(INDEX('RAID Log'!$1:$1048576,$B329,MATCH("Status",'RAID Log'!$1:$1,0)),"")="","",IFERROR(INDEX('RAID Log'!$1:$1048576,$B329,MATCH("Status",'RAID Log'!$1:$1,0)),"")))</f>
        <v/>
      </c>
      <c r="M329" s="85" t="str">
        <f>IF($B329="","",IF(IFERROR(INDEX('RAID Log'!$1:$1048576,$B329,MATCH("RAID Owner",'RAID Log'!$1:$1,0)),"")="","",IFERROR(INDEX('RAID Log'!$1:$1048576,$B329,MATCH("RAID Owner",'RAID Log'!$1:$1,0)),"")))</f>
        <v/>
      </c>
      <c r="N329" s="87" t="str">
        <f>IF($B329="","",IF(IFERROR(INDEX('RAID Log'!$1:$1048576,$B329,MATCH("Date Raised",'RAID Log'!$1:$1,0)),"")="","",IFERROR(INDEX('RAID Log'!$1:$1048576,$B329,MATCH("Date Raised",'RAID Log'!$1:$1,0)),"")))</f>
        <v/>
      </c>
      <c r="O329" s="87" t="str">
        <f>IF($B329="","",IF(IFERROR(INDEX('RAID Log'!$1:$1048576,$B329,MATCH("Closed Date",'RAID Log'!$1:$1,0)),"")="","",IFERROR(INDEX('RAID Log'!$1:$1048576,$B329,MATCH("Closed Date",'RAID Log'!$1:$1,0)),"")))</f>
        <v/>
      </c>
      <c r="P329" s="85" t="str">
        <f>IF($B329="","",IF(IFERROR(INDEX('RAID Log'!$1:$1048576,$B329,MATCH("Mitigation Strategy",'RAID Log'!$1:$1,0)),"")="","",IFERROR(INDEX('RAID Log'!$1:$1048576,$B329,MATCH("Mitigation Strategy",'RAID Log'!$1:$1,0)),"")))</f>
        <v/>
      </c>
      <c r="Q329" s="88" t="str">
        <f>IF($B329="","",IF(IFERROR(INDEX('RAID Log'!$1:$1048576,$B329,MATCH("RAID Response/Plan",'RAID Log'!$1:$1,0)),"")="","",IFERROR(INDEX('RAID Log'!$1:$1048576,$B329,MATCH("RAID Response/Plan",'RAID Log'!$1:$1,0)),"")))</f>
        <v/>
      </c>
    </row>
    <row r="330" spans="1:17" ht="14.25" customHeight="1">
      <c r="A330" s="82" t="str">
        <f>IF($B330="","",IF(IFERROR(INDEX('RAID Log'!$1:$1048576,$B330,MATCH("RAID ID",'RAID Log'!$1:$1,0)),"")="","",IFERROR(INDEX('RAID Log'!$1:$1048576,$B330,MATCH("RAID ID",'RAID Log'!$1:$1,0)),"")))</f>
        <v/>
      </c>
      <c r="B330" s="83" t="str">
        <f>IFERROR(MATCH(ROW()-1,'RAID Log'!$S:$S,0),"")</f>
        <v/>
      </c>
      <c r="C330" s="84" t="str">
        <f>IF($B330="","",IF(IFERROR(INDEX('RAID Log'!$1:$1048576,$B330,MATCH("Description",'RAID Log'!$1:$1,0)),"")="","",IFERROR(INDEX('RAID Log'!$1:$1048576,$B330,MATCH("Description",'RAID Log'!$1:$1,0)),"")))</f>
        <v/>
      </c>
      <c r="D330" s="84" t="str">
        <f>IF($B330="","",IF(IFERROR(INDEX('RAID Log'!$1:$1048576,$B330,MATCH("Impact/Effect of the RAID",'RAID Log'!$1:$1,0)),"")="","",IFERROR(INDEX('RAID Log'!$1:$1048576,$B330,MATCH("Impact/Effect of the RAID",'RAID Log'!$1:$1,0)),"")))</f>
        <v/>
      </c>
      <c r="E330" s="85" t="str">
        <f>IF($B330="","",IF(IFERROR(INDEX('RAID Log'!$1:$1048576,$B330,MATCH("Impact Area",'RAID Log'!$1:$1,0)),"")="","",IFERROR(INDEX('RAID Log'!$1:$1048576,$B330,MATCH("Impact Area",'RAID Log'!$1:$1,0)),"")))</f>
        <v/>
      </c>
      <c r="F330" s="85" t="str">
        <f>IF($B330="","",IF(IFERROR(INDEX('RAID Log'!$1:$1048576,$B330,MATCH("Impact Area",'RAID Log'!$1:$1,0)),"")="","",IFERROR(INDEX('RAID Log'!$1:$1048576,$B330,MATCH("Impact Area",'RAID Log'!$1:$1,0)),"")))</f>
        <v/>
      </c>
      <c r="G330" s="85" t="str">
        <f>IF($B330="","",IF(IFERROR(INDEX('RAID Log'!$1:$1048576,$B330,MATCH("Impact Rating",'RAID Log'!$1:$1,0)),"")="","",IFERROR(INDEX('RAID Log'!$1:$1048576,$B330,MATCH("Impact Rating",'RAID Log'!$1:$1,0)),"")))</f>
        <v/>
      </c>
      <c r="H330" s="85" t="str">
        <f>IF($B330="","",IF(IFERROR(INDEX('RAID Log'!$1:$1048576,$B330,MATCH("Initial Probability",'RAID Log'!$1:$1,0)),"")="","",IFERROR(INDEX('RAID Log'!$1:$1048576,$B330,MATCH("Initial Probability",'RAID Log'!$1:$1,0)),"")))</f>
        <v/>
      </c>
      <c r="I330" s="86" t="str">
        <f t="shared" si="15"/>
        <v/>
      </c>
      <c r="J330" s="85" t="str">
        <f t="shared" si="16"/>
        <v/>
      </c>
      <c r="K330" s="86" t="str">
        <f t="shared" si="17"/>
        <v/>
      </c>
      <c r="L330" s="85" t="str">
        <f>IF($B330="","",IF(IFERROR(INDEX('RAID Log'!$1:$1048576,$B330,MATCH("Status",'RAID Log'!$1:$1,0)),"")="","",IFERROR(INDEX('RAID Log'!$1:$1048576,$B330,MATCH("Status",'RAID Log'!$1:$1,0)),"")))</f>
        <v/>
      </c>
      <c r="M330" s="85" t="str">
        <f>IF($B330="","",IF(IFERROR(INDEX('RAID Log'!$1:$1048576,$B330,MATCH("RAID Owner",'RAID Log'!$1:$1,0)),"")="","",IFERROR(INDEX('RAID Log'!$1:$1048576,$B330,MATCH("RAID Owner",'RAID Log'!$1:$1,0)),"")))</f>
        <v/>
      </c>
      <c r="N330" s="87" t="str">
        <f>IF($B330="","",IF(IFERROR(INDEX('RAID Log'!$1:$1048576,$B330,MATCH("Date Raised",'RAID Log'!$1:$1,0)),"")="","",IFERROR(INDEX('RAID Log'!$1:$1048576,$B330,MATCH("Date Raised",'RAID Log'!$1:$1,0)),"")))</f>
        <v/>
      </c>
      <c r="O330" s="87" t="str">
        <f>IF($B330="","",IF(IFERROR(INDEX('RAID Log'!$1:$1048576,$B330,MATCH("Closed Date",'RAID Log'!$1:$1,0)),"")="","",IFERROR(INDEX('RAID Log'!$1:$1048576,$B330,MATCH("Closed Date",'RAID Log'!$1:$1,0)),"")))</f>
        <v/>
      </c>
      <c r="P330" s="85" t="str">
        <f>IF($B330="","",IF(IFERROR(INDEX('RAID Log'!$1:$1048576,$B330,MATCH("Mitigation Strategy",'RAID Log'!$1:$1,0)),"")="","",IFERROR(INDEX('RAID Log'!$1:$1048576,$B330,MATCH("Mitigation Strategy",'RAID Log'!$1:$1,0)),"")))</f>
        <v/>
      </c>
      <c r="Q330" s="88" t="str">
        <f>IF($B330="","",IF(IFERROR(INDEX('RAID Log'!$1:$1048576,$B330,MATCH("RAID Response/Plan",'RAID Log'!$1:$1,0)),"")="","",IFERROR(INDEX('RAID Log'!$1:$1048576,$B330,MATCH("RAID Response/Plan",'RAID Log'!$1:$1,0)),"")))</f>
        <v/>
      </c>
    </row>
    <row r="331" spans="1:17" ht="14.25" customHeight="1">
      <c r="A331" s="82" t="str">
        <f>IF($B331="","",IF(IFERROR(INDEX('RAID Log'!$1:$1048576,$B331,MATCH("RAID ID",'RAID Log'!$1:$1,0)),"")="","",IFERROR(INDEX('RAID Log'!$1:$1048576,$B331,MATCH("RAID ID",'RAID Log'!$1:$1,0)),"")))</f>
        <v/>
      </c>
      <c r="B331" s="83" t="str">
        <f>IFERROR(MATCH(ROW()-1,'RAID Log'!$S:$S,0),"")</f>
        <v/>
      </c>
      <c r="C331" s="84" t="str">
        <f>IF($B331="","",IF(IFERROR(INDEX('RAID Log'!$1:$1048576,$B331,MATCH("Description",'RAID Log'!$1:$1,0)),"")="","",IFERROR(INDEX('RAID Log'!$1:$1048576,$B331,MATCH("Description",'RAID Log'!$1:$1,0)),"")))</f>
        <v/>
      </c>
      <c r="D331" s="84" t="str">
        <f>IF($B331="","",IF(IFERROR(INDEX('RAID Log'!$1:$1048576,$B331,MATCH("Impact/Effect of the RAID",'RAID Log'!$1:$1,0)),"")="","",IFERROR(INDEX('RAID Log'!$1:$1048576,$B331,MATCH("Impact/Effect of the RAID",'RAID Log'!$1:$1,0)),"")))</f>
        <v/>
      </c>
      <c r="E331" s="85" t="str">
        <f>IF($B331="","",IF(IFERROR(INDEX('RAID Log'!$1:$1048576,$B331,MATCH("Impact Area",'RAID Log'!$1:$1,0)),"")="","",IFERROR(INDEX('RAID Log'!$1:$1048576,$B331,MATCH("Impact Area",'RAID Log'!$1:$1,0)),"")))</f>
        <v/>
      </c>
      <c r="F331" s="85" t="str">
        <f>IF($B331="","",IF(IFERROR(INDEX('RAID Log'!$1:$1048576,$B331,MATCH("Impact Area",'RAID Log'!$1:$1,0)),"")="","",IFERROR(INDEX('RAID Log'!$1:$1048576,$B331,MATCH("Impact Area",'RAID Log'!$1:$1,0)),"")))</f>
        <v/>
      </c>
      <c r="G331" s="85" t="str">
        <f>IF($B331="","",IF(IFERROR(INDEX('RAID Log'!$1:$1048576,$B331,MATCH("Impact Rating",'RAID Log'!$1:$1,0)),"")="","",IFERROR(INDEX('RAID Log'!$1:$1048576,$B331,MATCH("Impact Rating",'RAID Log'!$1:$1,0)),"")))</f>
        <v/>
      </c>
      <c r="H331" s="85" t="str">
        <f>IF($B331="","",IF(IFERROR(INDEX('RAID Log'!$1:$1048576,$B331,MATCH("Initial Probability",'RAID Log'!$1:$1,0)),"")="","",IFERROR(INDEX('RAID Log'!$1:$1048576,$B331,MATCH("Initial Probability",'RAID Log'!$1:$1,0)),"")))</f>
        <v/>
      </c>
      <c r="I331" s="86" t="str">
        <f t="shared" si="15"/>
        <v/>
      </c>
      <c r="J331" s="85" t="str">
        <f t="shared" si="16"/>
        <v/>
      </c>
      <c r="K331" s="86" t="str">
        <f t="shared" si="17"/>
        <v/>
      </c>
      <c r="L331" s="85" t="str">
        <f>IF($B331="","",IF(IFERROR(INDEX('RAID Log'!$1:$1048576,$B331,MATCH("Status",'RAID Log'!$1:$1,0)),"")="","",IFERROR(INDEX('RAID Log'!$1:$1048576,$B331,MATCH("Status",'RAID Log'!$1:$1,0)),"")))</f>
        <v/>
      </c>
      <c r="M331" s="85" t="str">
        <f>IF($B331="","",IF(IFERROR(INDEX('RAID Log'!$1:$1048576,$B331,MATCH("RAID Owner",'RAID Log'!$1:$1,0)),"")="","",IFERROR(INDEX('RAID Log'!$1:$1048576,$B331,MATCH("RAID Owner",'RAID Log'!$1:$1,0)),"")))</f>
        <v/>
      </c>
      <c r="N331" s="87" t="str">
        <f>IF($B331="","",IF(IFERROR(INDEX('RAID Log'!$1:$1048576,$B331,MATCH("Date Raised",'RAID Log'!$1:$1,0)),"")="","",IFERROR(INDEX('RAID Log'!$1:$1048576,$B331,MATCH("Date Raised",'RAID Log'!$1:$1,0)),"")))</f>
        <v/>
      </c>
      <c r="O331" s="87" t="str">
        <f>IF($B331="","",IF(IFERROR(INDEX('RAID Log'!$1:$1048576,$B331,MATCH("Closed Date",'RAID Log'!$1:$1,0)),"")="","",IFERROR(INDEX('RAID Log'!$1:$1048576,$B331,MATCH("Closed Date",'RAID Log'!$1:$1,0)),"")))</f>
        <v/>
      </c>
      <c r="P331" s="85" t="str">
        <f>IF($B331="","",IF(IFERROR(INDEX('RAID Log'!$1:$1048576,$B331,MATCH("Mitigation Strategy",'RAID Log'!$1:$1,0)),"")="","",IFERROR(INDEX('RAID Log'!$1:$1048576,$B331,MATCH("Mitigation Strategy",'RAID Log'!$1:$1,0)),"")))</f>
        <v/>
      </c>
      <c r="Q331" s="88" t="str">
        <f>IF($B331="","",IF(IFERROR(INDEX('RAID Log'!$1:$1048576,$B331,MATCH("RAID Response/Plan",'RAID Log'!$1:$1,0)),"")="","",IFERROR(INDEX('RAID Log'!$1:$1048576,$B331,MATCH("RAID Response/Plan",'RAID Log'!$1:$1,0)),"")))</f>
        <v/>
      </c>
    </row>
    <row r="332" spans="1:17" ht="14.25" customHeight="1">
      <c r="A332" s="82" t="str">
        <f>IF($B332="","",IF(IFERROR(INDEX('RAID Log'!$1:$1048576,$B332,MATCH("RAID ID",'RAID Log'!$1:$1,0)),"")="","",IFERROR(INDEX('RAID Log'!$1:$1048576,$B332,MATCH("RAID ID",'RAID Log'!$1:$1,0)),"")))</f>
        <v/>
      </c>
      <c r="B332" s="83" t="str">
        <f>IFERROR(MATCH(ROW()-1,'RAID Log'!$S:$S,0),"")</f>
        <v/>
      </c>
      <c r="C332" s="84" t="str">
        <f>IF($B332="","",IF(IFERROR(INDEX('RAID Log'!$1:$1048576,$B332,MATCH("Description",'RAID Log'!$1:$1,0)),"")="","",IFERROR(INDEX('RAID Log'!$1:$1048576,$B332,MATCH("Description",'RAID Log'!$1:$1,0)),"")))</f>
        <v/>
      </c>
      <c r="D332" s="84" t="str">
        <f>IF($B332="","",IF(IFERROR(INDEX('RAID Log'!$1:$1048576,$B332,MATCH("Impact/Effect of the RAID",'RAID Log'!$1:$1,0)),"")="","",IFERROR(INDEX('RAID Log'!$1:$1048576,$B332,MATCH("Impact/Effect of the RAID",'RAID Log'!$1:$1,0)),"")))</f>
        <v/>
      </c>
      <c r="E332" s="85" t="str">
        <f>IF($B332="","",IF(IFERROR(INDEX('RAID Log'!$1:$1048576,$B332,MATCH("Impact Area",'RAID Log'!$1:$1,0)),"")="","",IFERROR(INDEX('RAID Log'!$1:$1048576,$B332,MATCH("Impact Area",'RAID Log'!$1:$1,0)),"")))</f>
        <v/>
      </c>
      <c r="F332" s="85" t="str">
        <f>IF($B332="","",IF(IFERROR(INDEX('RAID Log'!$1:$1048576,$B332,MATCH("Impact Area",'RAID Log'!$1:$1,0)),"")="","",IFERROR(INDEX('RAID Log'!$1:$1048576,$B332,MATCH("Impact Area",'RAID Log'!$1:$1,0)),"")))</f>
        <v/>
      </c>
      <c r="G332" s="85" t="str">
        <f>IF($B332="","",IF(IFERROR(INDEX('RAID Log'!$1:$1048576,$B332,MATCH("Impact Rating",'RAID Log'!$1:$1,0)),"")="","",IFERROR(INDEX('RAID Log'!$1:$1048576,$B332,MATCH("Impact Rating",'RAID Log'!$1:$1,0)),"")))</f>
        <v/>
      </c>
      <c r="H332" s="85" t="str">
        <f>IF($B332="","",IF(IFERROR(INDEX('RAID Log'!$1:$1048576,$B332,MATCH("Initial Probability",'RAID Log'!$1:$1,0)),"")="","",IFERROR(INDEX('RAID Log'!$1:$1048576,$B332,MATCH("Initial Probability",'RAID Log'!$1:$1,0)),"")))</f>
        <v/>
      </c>
      <c r="I332" s="86" t="str">
        <f t="shared" si="15"/>
        <v/>
      </c>
      <c r="J332" s="85" t="str">
        <f t="shared" si="16"/>
        <v/>
      </c>
      <c r="K332" s="86" t="str">
        <f t="shared" si="17"/>
        <v/>
      </c>
      <c r="L332" s="85" t="str">
        <f>IF($B332="","",IF(IFERROR(INDEX('RAID Log'!$1:$1048576,$B332,MATCH("Status",'RAID Log'!$1:$1,0)),"")="","",IFERROR(INDEX('RAID Log'!$1:$1048576,$B332,MATCH("Status",'RAID Log'!$1:$1,0)),"")))</f>
        <v/>
      </c>
      <c r="M332" s="85" t="str">
        <f>IF($B332="","",IF(IFERROR(INDEX('RAID Log'!$1:$1048576,$B332,MATCH("RAID Owner",'RAID Log'!$1:$1,0)),"")="","",IFERROR(INDEX('RAID Log'!$1:$1048576,$B332,MATCH("RAID Owner",'RAID Log'!$1:$1,0)),"")))</f>
        <v/>
      </c>
      <c r="N332" s="87" t="str">
        <f>IF($B332="","",IF(IFERROR(INDEX('RAID Log'!$1:$1048576,$B332,MATCH("Date Raised",'RAID Log'!$1:$1,0)),"")="","",IFERROR(INDEX('RAID Log'!$1:$1048576,$B332,MATCH("Date Raised",'RAID Log'!$1:$1,0)),"")))</f>
        <v/>
      </c>
      <c r="O332" s="87" t="str">
        <f>IF($B332="","",IF(IFERROR(INDEX('RAID Log'!$1:$1048576,$B332,MATCH("Closed Date",'RAID Log'!$1:$1,0)),"")="","",IFERROR(INDEX('RAID Log'!$1:$1048576,$B332,MATCH("Closed Date",'RAID Log'!$1:$1,0)),"")))</f>
        <v/>
      </c>
      <c r="P332" s="85" t="str">
        <f>IF($B332="","",IF(IFERROR(INDEX('RAID Log'!$1:$1048576,$B332,MATCH("Mitigation Strategy",'RAID Log'!$1:$1,0)),"")="","",IFERROR(INDEX('RAID Log'!$1:$1048576,$B332,MATCH("Mitigation Strategy",'RAID Log'!$1:$1,0)),"")))</f>
        <v/>
      </c>
      <c r="Q332" s="88" t="str">
        <f>IF($B332="","",IF(IFERROR(INDEX('RAID Log'!$1:$1048576,$B332,MATCH("RAID Response/Plan",'RAID Log'!$1:$1,0)),"")="","",IFERROR(INDEX('RAID Log'!$1:$1048576,$B332,MATCH("RAID Response/Plan",'RAID Log'!$1:$1,0)),"")))</f>
        <v/>
      </c>
    </row>
    <row r="333" spans="1:17" ht="14.25" customHeight="1">
      <c r="A333" s="82" t="str">
        <f>IF($B333="","",IF(IFERROR(INDEX('RAID Log'!$1:$1048576,$B333,MATCH("RAID ID",'RAID Log'!$1:$1,0)),"")="","",IFERROR(INDEX('RAID Log'!$1:$1048576,$B333,MATCH("RAID ID",'RAID Log'!$1:$1,0)),"")))</f>
        <v/>
      </c>
      <c r="B333" s="83" t="str">
        <f>IFERROR(MATCH(ROW()-1,'RAID Log'!$S:$S,0),"")</f>
        <v/>
      </c>
      <c r="C333" s="84" t="str">
        <f>IF($B333="","",IF(IFERROR(INDEX('RAID Log'!$1:$1048576,$B333,MATCH("Description",'RAID Log'!$1:$1,0)),"")="","",IFERROR(INDEX('RAID Log'!$1:$1048576,$B333,MATCH("Description",'RAID Log'!$1:$1,0)),"")))</f>
        <v/>
      </c>
      <c r="D333" s="84" t="str">
        <f>IF($B333="","",IF(IFERROR(INDEX('RAID Log'!$1:$1048576,$B333,MATCH("Impact/Effect of the RAID",'RAID Log'!$1:$1,0)),"")="","",IFERROR(INDEX('RAID Log'!$1:$1048576,$B333,MATCH("Impact/Effect of the RAID",'RAID Log'!$1:$1,0)),"")))</f>
        <v/>
      </c>
      <c r="E333" s="85" t="str">
        <f>IF($B333="","",IF(IFERROR(INDEX('RAID Log'!$1:$1048576,$B333,MATCH("Impact Area",'RAID Log'!$1:$1,0)),"")="","",IFERROR(INDEX('RAID Log'!$1:$1048576,$B333,MATCH("Impact Area",'RAID Log'!$1:$1,0)),"")))</f>
        <v/>
      </c>
      <c r="F333" s="85" t="str">
        <f>IF($B333="","",IF(IFERROR(INDEX('RAID Log'!$1:$1048576,$B333,MATCH("Impact Area",'RAID Log'!$1:$1,0)),"")="","",IFERROR(INDEX('RAID Log'!$1:$1048576,$B333,MATCH("Impact Area",'RAID Log'!$1:$1,0)),"")))</f>
        <v/>
      </c>
      <c r="G333" s="85" t="str">
        <f>IF($B333="","",IF(IFERROR(INDEX('RAID Log'!$1:$1048576,$B333,MATCH("Impact Rating",'RAID Log'!$1:$1,0)),"")="","",IFERROR(INDEX('RAID Log'!$1:$1048576,$B333,MATCH("Impact Rating",'RAID Log'!$1:$1,0)),"")))</f>
        <v/>
      </c>
      <c r="H333" s="85" t="str">
        <f>IF($B333="","",IF(IFERROR(INDEX('RAID Log'!$1:$1048576,$B333,MATCH("Initial Probability",'RAID Log'!$1:$1,0)),"")="","",IFERROR(INDEX('RAID Log'!$1:$1048576,$B333,MATCH("Initial Probability",'RAID Log'!$1:$1,0)),"")))</f>
        <v/>
      </c>
      <c r="I333" s="86" t="str">
        <f t="shared" si="15"/>
        <v/>
      </c>
      <c r="J333" s="85" t="str">
        <f t="shared" si="16"/>
        <v/>
      </c>
      <c r="K333" s="86" t="str">
        <f t="shared" si="17"/>
        <v/>
      </c>
      <c r="L333" s="85" t="str">
        <f>IF($B333="","",IF(IFERROR(INDEX('RAID Log'!$1:$1048576,$B333,MATCH("Status",'RAID Log'!$1:$1,0)),"")="","",IFERROR(INDEX('RAID Log'!$1:$1048576,$B333,MATCH("Status",'RAID Log'!$1:$1,0)),"")))</f>
        <v/>
      </c>
      <c r="M333" s="85" t="str">
        <f>IF($B333="","",IF(IFERROR(INDEX('RAID Log'!$1:$1048576,$B333,MATCH("RAID Owner",'RAID Log'!$1:$1,0)),"")="","",IFERROR(INDEX('RAID Log'!$1:$1048576,$B333,MATCH("RAID Owner",'RAID Log'!$1:$1,0)),"")))</f>
        <v/>
      </c>
      <c r="N333" s="87" t="str">
        <f>IF($B333="","",IF(IFERROR(INDEX('RAID Log'!$1:$1048576,$B333,MATCH("Date Raised",'RAID Log'!$1:$1,0)),"")="","",IFERROR(INDEX('RAID Log'!$1:$1048576,$B333,MATCH("Date Raised",'RAID Log'!$1:$1,0)),"")))</f>
        <v/>
      </c>
      <c r="O333" s="87" t="str">
        <f>IF($B333="","",IF(IFERROR(INDEX('RAID Log'!$1:$1048576,$B333,MATCH("Closed Date",'RAID Log'!$1:$1,0)),"")="","",IFERROR(INDEX('RAID Log'!$1:$1048576,$B333,MATCH("Closed Date",'RAID Log'!$1:$1,0)),"")))</f>
        <v/>
      </c>
      <c r="P333" s="85" t="str">
        <f>IF($B333="","",IF(IFERROR(INDEX('RAID Log'!$1:$1048576,$B333,MATCH("Mitigation Strategy",'RAID Log'!$1:$1,0)),"")="","",IFERROR(INDEX('RAID Log'!$1:$1048576,$B333,MATCH("Mitigation Strategy",'RAID Log'!$1:$1,0)),"")))</f>
        <v/>
      </c>
      <c r="Q333" s="88" t="str">
        <f>IF($B333="","",IF(IFERROR(INDEX('RAID Log'!$1:$1048576,$B333,MATCH("RAID Response/Plan",'RAID Log'!$1:$1,0)),"")="","",IFERROR(INDEX('RAID Log'!$1:$1048576,$B333,MATCH("RAID Response/Plan",'RAID Log'!$1:$1,0)),"")))</f>
        <v/>
      </c>
    </row>
    <row r="334" spans="1:17" ht="14.25" customHeight="1">
      <c r="A334" s="82" t="str">
        <f>IF($B334="","",IF(IFERROR(INDEX('RAID Log'!$1:$1048576,$B334,MATCH("RAID ID",'RAID Log'!$1:$1,0)),"")="","",IFERROR(INDEX('RAID Log'!$1:$1048576,$B334,MATCH("RAID ID",'RAID Log'!$1:$1,0)),"")))</f>
        <v/>
      </c>
      <c r="B334" s="83" t="str">
        <f>IFERROR(MATCH(ROW()-1,'RAID Log'!$S:$S,0),"")</f>
        <v/>
      </c>
      <c r="C334" s="84" t="str">
        <f>IF($B334="","",IF(IFERROR(INDEX('RAID Log'!$1:$1048576,$B334,MATCH("Description",'RAID Log'!$1:$1,0)),"")="","",IFERROR(INDEX('RAID Log'!$1:$1048576,$B334,MATCH("Description",'RAID Log'!$1:$1,0)),"")))</f>
        <v/>
      </c>
      <c r="D334" s="84" t="str">
        <f>IF($B334="","",IF(IFERROR(INDEX('RAID Log'!$1:$1048576,$B334,MATCH("Impact/Effect of the RAID",'RAID Log'!$1:$1,0)),"")="","",IFERROR(INDEX('RAID Log'!$1:$1048576,$B334,MATCH("Impact/Effect of the RAID",'RAID Log'!$1:$1,0)),"")))</f>
        <v/>
      </c>
      <c r="E334" s="85" t="str">
        <f>IF($B334="","",IF(IFERROR(INDEX('RAID Log'!$1:$1048576,$B334,MATCH("Impact Area",'RAID Log'!$1:$1,0)),"")="","",IFERROR(INDEX('RAID Log'!$1:$1048576,$B334,MATCH("Impact Area",'RAID Log'!$1:$1,0)),"")))</f>
        <v/>
      </c>
      <c r="F334" s="85" t="str">
        <f>IF($B334="","",IF(IFERROR(INDEX('RAID Log'!$1:$1048576,$B334,MATCH("Impact Area",'RAID Log'!$1:$1,0)),"")="","",IFERROR(INDEX('RAID Log'!$1:$1048576,$B334,MATCH("Impact Area",'RAID Log'!$1:$1,0)),"")))</f>
        <v/>
      </c>
      <c r="G334" s="85" t="str">
        <f>IF($B334="","",IF(IFERROR(INDEX('RAID Log'!$1:$1048576,$B334,MATCH("Impact Rating",'RAID Log'!$1:$1,0)),"")="","",IFERROR(INDEX('RAID Log'!$1:$1048576,$B334,MATCH("Impact Rating",'RAID Log'!$1:$1,0)),"")))</f>
        <v/>
      </c>
      <c r="H334" s="85" t="str">
        <f>IF($B334="","",IF(IFERROR(INDEX('RAID Log'!$1:$1048576,$B334,MATCH("Initial Probability",'RAID Log'!$1:$1,0)),"")="","",IFERROR(INDEX('RAID Log'!$1:$1048576,$B334,MATCH("Initial Probability",'RAID Log'!$1:$1,0)),"")))</f>
        <v/>
      </c>
      <c r="I334" s="86" t="str">
        <f t="shared" si="15"/>
        <v/>
      </c>
      <c r="J334" s="85" t="str">
        <f t="shared" si="16"/>
        <v/>
      </c>
      <c r="K334" s="86" t="str">
        <f t="shared" si="17"/>
        <v/>
      </c>
      <c r="L334" s="85" t="str">
        <f>IF($B334="","",IF(IFERROR(INDEX('RAID Log'!$1:$1048576,$B334,MATCH("Status",'RAID Log'!$1:$1,0)),"")="","",IFERROR(INDEX('RAID Log'!$1:$1048576,$B334,MATCH("Status",'RAID Log'!$1:$1,0)),"")))</f>
        <v/>
      </c>
      <c r="M334" s="85" t="str">
        <f>IF($B334="","",IF(IFERROR(INDEX('RAID Log'!$1:$1048576,$B334,MATCH("RAID Owner",'RAID Log'!$1:$1,0)),"")="","",IFERROR(INDEX('RAID Log'!$1:$1048576,$B334,MATCH("RAID Owner",'RAID Log'!$1:$1,0)),"")))</f>
        <v/>
      </c>
      <c r="N334" s="87" t="str">
        <f>IF($B334="","",IF(IFERROR(INDEX('RAID Log'!$1:$1048576,$B334,MATCH("Date Raised",'RAID Log'!$1:$1,0)),"")="","",IFERROR(INDEX('RAID Log'!$1:$1048576,$B334,MATCH("Date Raised",'RAID Log'!$1:$1,0)),"")))</f>
        <v/>
      </c>
      <c r="O334" s="87" t="str">
        <f>IF($B334="","",IF(IFERROR(INDEX('RAID Log'!$1:$1048576,$B334,MATCH("Closed Date",'RAID Log'!$1:$1,0)),"")="","",IFERROR(INDEX('RAID Log'!$1:$1048576,$B334,MATCH("Closed Date",'RAID Log'!$1:$1,0)),"")))</f>
        <v/>
      </c>
      <c r="P334" s="85" t="str">
        <f>IF($B334="","",IF(IFERROR(INDEX('RAID Log'!$1:$1048576,$B334,MATCH("Mitigation Strategy",'RAID Log'!$1:$1,0)),"")="","",IFERROR(INDEX('RAID Log'!$1:$1048576,$B334,MATCH("Mitigation Strategy",'RAID Log'!$1:$1,0)),"")))</f>
        <v/>
      </c>
      <c r="Q334" s="88" t="str">
        <f>IF($B334="","",IF(IFERROR(INDEX('RAID Log'!$1:$1048576,$B334,MATCH("RAID Response/Plan",'RAID Log'!$1:$1,0)),"")="","",IFERROR(INDEX('RAID Log'!$1:$1048576,$B334,MATCH("RAID Response/Plan",'RAID Log'!$1:$1,0)),"")))</f>
        <v/>
      </c>
    </row>
    <row r="335" spans="1:17" ht="14.25" customHeight="1">
      <c r="A335" s="82" t="str">
        <f>IF($B335="","",IF(IFERROR(INDEX('RAID Log'!$1:$1048576,$B335,MATCH("RAID ID",'RAID Log'!$1:$1,0)),"")="","",IFERROR(INDEX('RAID Log'!$1:$1048576,$B335,MATCH("RAID ID",'RAID Log'!$1:$1,0)),"")))</f>
        <v/>
      </c>
      <c r="B335" s="83" t="str">
        <f>IFERROR(MATCH(ROW()-1,'RAID Log'!$S:$S,0),"")</f>
        <v/>
      </c>
      <c r="C335" s="84" t="str">
        <f>IF($B335="","",IF(IFERROR(INDEX('RAID Log'!$1:$1048576,$B335,MATCH("Description",'RAID Log'!$1:$1,0)),"")="","",IFERROR(INDEX('RAID Log'!$1:$1048576,$B335,MATCH("Description",'RAID Log'!$1:$1,0)),"")))</f>
        <v/>
      </c>
      <c r="D335" s="84" t="str">
        <f>IF($B335="","",IF(IFERROR(INDEX('RAID Log'!$1:$1048576,$B335,MATCH("Impact/Effect of the RAID",'RAID Log'!$1:$1,0)),"")="","",IFERROR(INDEX('RAID Log'!$1:$1048576,$B335,MATCH("Impact/Effect of the RAID",'RAID Log'!$1:$1,0)),"")))</f>
        <v/>
      </c>
      <c r="E335" s="85" t="str">
        <f>IF($B335="","",IF(IFERROR(INDEX('RAID Log'!$1:$1048576,$B335,MATCH("Impact Area",'RAID Log'!$1:$1,0)),"")="","",IFERROR(INDEX('RAID Log'!$1:$1048576,$B335,MATCH("Impact Area",'RAID Log'!$1:$1,0)),"")))</f>
        <v/>
      </c>
      <c r="F335" s="85" t="str">
        <f>IF($B335="","",IF(IFERROR(INDEX('RAID Log'!$1:$1048576,$B335,MATCH("Impact Area",'RAID Log'!$1:$1,0)),"")="","",IFERROR(INDEX('RAID Log'!$1:$1048576,$B335,MATCH("Impact Area",'RAID Log'!$1:$1,0)),"")))</f>
        <v/>
      </c>
      <c r="G335" s="85" t="str">
        <f>IF($B335="","",IF(IFERROR(INDEX('RAID Log'!$1:$1048576,$B335,MATCH("Impact Rating",'RAID Log'!$1:$1,0)),"")="","",IFERROR(INDEX('RAID Log'!$1:$1048576,$B335,MATCH("Impact Rating",'RAID Log'!$1:$1,0)),"")))</f>
        <v/>
      </c>
      <c r="H335" s="85" t="str">
        <f>IF($B335="","",IF(IFERROR(INDEX('RAID Log'!$1:$1048576,$B335,MATCH("Initial Probability",'RAID Log'!$1:$1,0)),"")="","",IFERROR(INDEX('RAID Log'!$1:$1048576,$B335,MATCH("Initial Probability",'RAID Log'!$1:$1,0)),"")))</f>
        <v/>
      </c>
      <c r="I335" s="86" t="str">
        <f t="shared" si="15"/>
        <v/>
      </c>
      <c r="J335" s="85" t="str">
        <f t="shared" si="16"/>
        <v/>
      </c>
      <c r="K335" s="86" t="str">
        <f t="shared" si="17"/>
        <v/>
      </c>
      <c r="L335" s="85" t="str">
        <f>IF($B335="","",IF(IFERROR(INDEX('RAID Log'!$1:$1048576,$B335,MATCH("Status",'RAID Log'!$1:$1,0)),"")="","",IFERROR(INDEX('RAID Log'!$1:$1048576,$B335,MATCH("Status",'RAID Log'!$1:$1,0)),"")))</f>
        <v/>
      </c>
      <c r="M335" s="85" t="str">
        <f>IF($B335="","",IF(IFERROR(INDEX('RAID Log'!$1:$1048576,$B335,MATCH("RAID Owner",'RAID Log'!$1:$1,0)),"")="","",IFERROR(INDEX('RAID Log'!$1:$1048576,$B335,MATCH("RAID Owner",'RAID Log'!$1:$1,0)),"")))</f>
        <v/>
      </c>
      <c r="N335" s="87" t="str">
        <f>IF($B335="","",IF(IFERROR(INDEX('RAID Log'!$1:$1048576,$B335,MATCH("Date Raised",'RAID Log'!$1:$1,0)),"")="","",IFERROR(INDEX('RAID Log'!$1:$1048576,$B335,MATCH("Date Raised",'RAID Log'!$1:$1,0)),"")))</f>
        <v/>
      </c>
      <c r="O335" s="87" t="str">
        <f>IF($B335="","",IF(IFERROR(INDEX('RAID Log'!$1:$1048576,$B335,MATCH("Closed Date",'RAID Log'!$1:$1,0)),"")="","",IFERROR(INDEX('RAID Log'!$1:$1048576,$B335,MATCH("Closed Date",'RAID Log'!$1:$1,0)),"")))</f>
        <v/>
      </c>
      <c r="P335" s="85" t="str">
        <f>IF($B335="","",IF(IFERROR(INDEX('RAID Log'!$1:$1048576,$B335,MATCH("Mitigation Strategy",'RAID Log'!$1:$1,0)),"")="","",IFERROR(INDEX('RAID Log'!$1:$1048576,$B335,MATCH("Mitigation Strategy",'RAID Log'!$1:$1,0)),"")))</f>
        <v/>
      </c>
      <c r="Q335" s="88" t="str">
        <f>IF($B335="","",IF(IFERROR(INDEX('RAID Log'!$1:$1048576,$B335,MATCH("RAID Response/Plan",'RAID Log'!$1:$1,0)),"")="","",IFERROR(INDEX('RAID Log'!$1:$1048576,$B335,MATCH("RAID Response/Plan",'RAID Log'!$1:$1,0)),"")))</f>
        <v/>
      </c>
    </row>
    <row r="336" spans="1:17" ht="14.25" customHeight="1">
      <c r="A336" s="82" t="str">
        <f>IF($B336="","",IF(IFERROR(INDEX('RAID Log'!$1:$1048576,$B336,MATCH("RAID ID",'RAID Log'!$1:$1,0)),"")="","",IFERROR(INDEX('RAID Log'!$1:$1048576,$B336,MATCH("RAID ID",'RAID Log'!$1:$1,0)),"")))</f>
        <v/>
      </c>
      <c r="B336" s="83" t="str">
        <f>IFERROR(MATCH(ROW()-1,'RAID Log'!$S:$S,0),"")</f>
        <v/>
      </c>
      <c r="C336" s="84" t="str">
        <f>IF($B336="","",IF(IFERROR(INDEX('RAID Log'!$1:$1048576,$B336,MATCH("Description",'RAID Log'!$1:$1,0)),"")="","",IFERROR(INDEX('RAID Log'!$1:$1048576,$B336,MATCH("Description",'RAID Log'!$1:$1,0)),"")))</f>
        <v/>
      </c>
      <c r="D336" s="84" t="str">
        <f>IF($B336="","",IF(IFERROR(INDEX('RAID Log'!$1:$1048576,$B336,MATCH("Impact/Effect of the RAID",'RAID Log'!$1:$1,0)),"")="","",IFERROR(INDEX('RAID Log'!$1:$1048576,$B336,MATCH("Impact/Effect of the RAID",'RAID Log'!$1:$1,0)),"")))</f>
        <v/>
      </c>
      <c r="E336" s="85" t="str">
        <f>IF($B336="","",IF(IFERROR(INDEX('RAID Log'!$1:$1048576,$B336,MATCH("Impact Area",'RAID Log'!$1:$1,0)),"")="","",IFERROR(INDEX('RAID Log'!$1:$1048576,$B336,MATCH("Impact Area",'RAID Log'!$1:$1,0)),"")))</f>
        <v/>
      </c>
      <c r="F336" s="85" t="str">
        <f>IF($B336="","",IF(IFERROR(INDEX('RAID Log'!$1:$1048576,$B336,MATCH("Impact Area",'RAID Log'!$1:$1,0)),"")="","",IFERROR(INDEX('RAID Log'!$1:$1048576,$B336,MATCH("Impact Area",'RAID Log'!$1:$1,0)),"")))</f>
        <v/>
      </c>
      <c r="G336" s="85" t="str">
        <f>IF($B336="","",IF(IFERROR(INDEX('RAID Log'!$1:$1048576,$B336,MATCH("Impact Rating",'RAID Log'!$1:$1,0)),"")="","",IFERROR(INDEX('RAID Log'!$1:$1048576,$B336,MATCH("Impact Rating",'RAID Log'!$1:$1,0)),"")))</f>
        <v/>
      </c>
      <c r="H336" s="85" t="str">
        <f>IF($B336="","",IF(IFERROR(INDEX('RAID Log'!$1:$1048576,$B336,MATCH("Initial Probability",'RAID Log'!$1:$1,0)),"")="","",IFERROR(INDEX('RAID Log'!$1:$1048576,$B336,MATCH("Initial Probability",'RAID Log'!$1:$1,0)),"")))</f>
        <v/>
      </c>
      <c r="I336" s="86" t="str">
        <f t="shared" si="15"/>
        <v/>
      </c>
      <c r="J336" s="85" t="str">
        <f t="shared" si="16"/>
        <v/>
      </c>
      <c r="K336" s="86" t="str">
        <f t="shared" si="17"/>
        <v/>
      </c>
      <c r="L336" s="85" t="str">
        <f>IF($B336="","",IF(IFERROR(INDEX('RAID Log'!$1:$1048576,$B336,MATCH("Status",'RAID Log'!$1:$1,0)),"")="","",IFERROR(INDEX('RAID Log'!$1:$1048576,$B336,MATCH("Status",'RAID Log'!$1:$1,0)),"")))</f>
        <v/>
      </c>
      <c r="M336" s="85" t="str">
        <f>IF($B336="","",IF(IFERROR(INDEX('RAID Log'!$1:$1048576,$B336,MATCH("RAID Owner",'RAID Log'!$1:$1,0)),"")="","",IFERROR(INDEX('RAID Log'!$1:$1048576,$B336,MATCH("RAID Owner",'RAID Log'!$1:$1,0)),"")))</f>
        <v/>
      </c>
      <c r="N336" s="87" t="str">
        <f>IF($B336="","",IF(IFERROR(INDEX('RAID Log'!$1:$1048576,$B336,MATCH("Date Raised",'RAID Log'!$1:$1,0)),"")="","",IFERROR(INDEX('RAID Log'!$1:$1048576,$B336,MATCH("Date Raised",'RAID Log'!$1:$1,0)),"")))</f>
        <v/>
      </c>
      <c r="O336" s="87" t="str">
        <f>IF($B336="","",IF(IFERROR(INDEX('RAID Log'!$1:$1048576,$B336,MATCH("Closed Date",'RAID Log'!$1:$1,0)),"")="","",IFERROR(INDEX('RAID Log'!$1:$1048576,$B336,MATCH("Closed Date",'RAID Log'!$1:$1,0)),"")))</f>
        <v/>
      </c>
      <c r="P336" s="85" t="str">
        <f>IF($B336="","",IF(IFERROR(INDEX('RAID Log'!$1:$1048576,$B336,MATCH("Mitigation Strategy",'RAID Log'!$1:$1,0)),"")="","",IFERROR(INDEX('RAID Log'!$1:$1048576,$B336,MATCH("Mitigation Strategy",'RAID Log'!$1:$1,0)),"")))</f>
        <v/>
      </c>
      <c r="Q336" s="88" t="str">
        <f>IF($B336="","",IF(IFERROR(INDEX('RAID Log'!$1:$1048576,$B336,MATCH("RAID Response/Plan",'RAID Log'!$1:$1,0)),"")="","",IFERROR(INDEX('RAID Log'!$1:$1048576,$B336,MATCH("RAID Response/Plan",'RAID Log'!$1:$1,0)),"")))</f>
        <v/>
      </c>
    </row>
    <row r="337" spans="1:17" ht="14.25" customHeight="1">
      <c r="A337" s="82" t="str">
        <f>IF($B337="","",IF(IFERROR(INDEX('RAID Log'!$1:$1048576,$B337,MATCH("RAID ID",'RAID Log'!$1:$1,0)),"")="","",IFERROR(INDEX('RAID Log'!$1:$1048576,$B337,MATCH("RAID ID",'RAID Log'!$1:$1,0)),"")))</f>
        <v/>
      </c>
      <c r="B337" s="83" t="str">
        <f>IFERROR(MATCH(ROW()-1,'RAID Log'!$S:$S,0),"")</f>
        <v/>
      </c>
      <c r="C337" s="84" t="str">
        <f>IF($B337="","",IF(IFERROR(INDEX('RAID Log'!$1:$1048576,$B337,MATCH("Description",'RAID Log'!$1:$1,0)),"")="","",IFERROR(INDEX('RAID Log'!$1:$1048576,$B337,MATCH("Description",'RAID Log'!$1:$1,0)),"")))</f>
        <v/>
      </c>
      <c r="D337" s="84" t="str">
        <f>IF($B337="","",IF(IFERROR(INDEX('RAID Log'!$1:$1048576,$B337,MATCH("Impact/Effect of the RAID",'RAID Log'!$1:$1,0)),"")="","",IFERROR(INDEX('RAID Log'!$1:$1048576,$B337,MATCH("Impact/Effect of the RAID",'RAID Log'!$1:$1,0)),"")))</f>
        <v/>
      </c>
      <c r="E337" s="85" t="str">
        <f>IF($B337="","",IF(IFERROR(INDEX('RAID Log'!$1:$1048576,$B337,MATCH("Impact Area",'RAID Log'!$1:$1,0)),"")="","",IFERROR(INDEX('RAID Log'!$1:$1048576,$B337,MATCH("Impact Area",'RAID Log'!$1:$1,0)),"")))</f>
        <v/>
      </c>
      <c r="F337" s="85" t="str">
        <f>IF($B337="","",IF(IFERROR(INDEX('RAID Log'!$1:$1048576,$B337,MATCH("Impact Area",'RAID Log'!$1:$1,0)),"")="","",IFERROR(INDEX('RAID Log'!$1:$1048576,$B337,MATCH("Impact Area",'RAID Log'!$1:$1,0)),"")))</f>
        <v/>
      </c>
      <c r="G337" s="85" t="str">
        <f>IF($B337="","",IF(IFERROR(INDEX('RAID Log'!$1:$1048576,$B337,MATCH("Impact Rating",'RAID Log'!$1:$1,0)),"")="","",IFERROR(INDEX('RAID Log'!$1:$1048576,$B337,MATCH("Impact Rating",'RAID Log'!$1:$1,0)),"")))</f>
        <v/>
      </c>
      <c r="H337" s="85" t="str">
        <f>IF($B337="","",IF(IFERROR(INDEX('RAID Log'!$1:$1048576,$B337,MATCH("Initial Probability",'RAID Log'!$1:$1,0)),"")="","",IFERROR(INDEX('RAID Log'!$1:$1048576,$B337,MATCH("Initial Probability",'RAID Log'!$1:$1,0)),"")))</f>
        <v/>
      </c>
      <c r="I337" s="86" t="str">
        <f t="shared" si="15"/>
        <v/>
      </c>
      <c r="J337" s="85" t="str">
        <f t="shared" si="16"/>
        <v/>
      </c>
      <c r="K337" s="86" t="str">
        <f t="shared" si="17"/>
        <v/>
      </c>
      <c r="L337" s="85" t="str">
        <f>IF($B337="","",IF(IFERROR(INDEX('RAID Log'!$1:$1048576,$B337,MATCH("Status",'RAID Log'!$1:$1,0)),"")="","",IFERROR(INDEX('RAID Log'!$1:$1048576,$B337,MATCH("Status",'RAID Log'!$1:$1,0)),"")))</f>
        <v/>
      </c>
      <c r="M337" s="85" t="str">
        <f>IF($B337="","",IF(IFERROR(INDEX('RAID Log'!$1:$1048576,$B337,MATCH("RAID Owner",'RAID Log'!$1:$1,0)),"")="","",IFERROR(INDEX('RAID Log'!$1:$1048576,$B337,MATCH("RAID Owner",'RAID Log'!$1:$1,0)),"")))</f>
        <v/>
      </c>
      <c r="N337" s="87" t="str">
        <f>IF($B337="","",IF(IFERROR(INDEX('RAID Log'!$1:$1048576,$B337,MATCH("Date Raised",'RAID Log'!$1:$1,0)),"")="","",IFERROR(INDEX('RAID Log'!$1:$1048576,$B337,MATCH("Date Raised",'RAID Log'!$1:$1,0)),"")))</f>
        <v/>
      </c>
      <c r="O337" s="87" t="str">
        <f>IF($B337="","",IF(IFERROR(INDEX('RAID Log'!$1:$1048576,$B337,MATCH("Closed Date",'RAID Log'!$1:$1,0)),"")="","",IFERROR(INDEX('RAID Log'!$1:$1048576,$B337,MATCH("Closed Date",'RAID Log'!$1:$1,0)),"")))</f>
        <v/>
      </c>
      <c r="P337" s="85" t="str">
        <f>IF($B337="","",IF(IFERROR(INDEX('RAID Log'!$1:$1048576,$B337,MATCH("Mitigation Strategy",'RAID Log'!$1:$1,0)),"")="","",IFERROR(INDEX('RAID Log'!$1:$1048576,$B337,MATCH("Mitigation Strategy",'RAID Log'!$1:$1,0)),"")))</f>
        <v/>
      </c>
      <c r="Q337" s="88" t="str">
        <f>IF($B337="","",IF(IFERROR(INDEX('RAID Log'!$1:$1048576,$B337,MATCH("RAID Response/Plan",'RAID Log'!$1:$1,0)),"")="","",IFERROR(INDEX('RAID Log'!$1:$1048576,$B337,MATCH("RAID Response/Plan",'RAID Log'!$1:$1,0)),"")))</f>
        <v/>
      </c>
    </row>
    <row r="338" spans="1:17" ht="14.25" customHeight="1">
      <c r="A338" s="82" t="str">
        <f>IF($B338="","",IF(IFERROR(INDEX('RAID Log'!$1:$1048576,$B338,MATCH("RAID ID",'RAID Log'!$1:$1,0)),"")="","",IFERROR(INDEX('RAID Log'!$1:$1048576,$B338,MATCH("RAID ID",'RAID Log'!$1:$1,0)),"")))</f>
        <v/>
      </c>
      <c r="B338" s="83" t="str">
        <f>IFERROR(MATCH(ROW()-1,'RAID Log'!$S:$S,0),"")</f>
        <v/>
      </c>
      <c r="C338" s="84" t="str">
        <f>IF($B338="","",IF(IFERROR(INDEX('RAID Log'!$1:$1048576,$B338,MATCH("Description",'RAID Log'!$1:$1,0)),"")="","",IFERROR(INDEX('RAID Log'!$1:$1048576,$B338,MATCH("Description",'RAID Log'!$1:$1,0)),"")))</f>
        <v/>
      </c>
      <c r="D338" s="84" t="str">
        <f>IF($B338="","",IF(IFERROR(INDEX('RAID Log'!$1:$1048576,$B338,MATCH("Impact/Effect of the RAID",'RAID Log'!$1:$1,0)),"")="","",IFERROR(INDEX('RAID Log'!$1:$1048576,$B338,MATCH("Impact/Effect of the RAID",'RAID Log'!$1:$1,0)),"")))</f>
        <v/>
      </c>
      <c r="E338" s="85" t="str">
        <f>IF($B338="","",IF(IFERROR(INDEX('RAID Log'!$1:$1048576,$B338,MATCH("Impact Area",'RAID Log'!$1:$1,0)),"")="","",IFERROR(INDEX('RAID Log'!$1:$1048576,$B338,MATCH("Impact Area",'RAID Log'!$1:$1,0)),"")))</f>
        <v/>
      </c>
      <c r="F338" s="85" t="str">
        <f>IF($B338="","",IF(IFERROR(INDEX('RAID Log'!$1:$1048576,$B338,MATCH("Impact Area",'RAID Log'!$1:$1,0)),"")="","",IFERROR(INDEX('RAID Log'!$1:$1048576,$B338,MATCH("Impact Area",'RAID Log'!$1:$1,0)),"")))</f>
        <v/>
      </c>
      <c r="G338" s="85" t="str">
        <f>IF($B338="","",IF(IFERROR(INDEX('RAID Log'!$1:$1048576,$B338,MATCH("Impact Rating",'RAID Log'!$1:$1,0)),"")="","",IFERROR(INDEX('RAID Log'!$1:$1048576,$B338,MATCH("Impact Rating",'RAID Log'!$1:$1,0)),"")))</f>
        <v/>
      </c>
      <c r="H338" s="85" t="str">
        <f>IF($B338="","",IF(IFERROR(INDEX('RAID Log'!$1:$1048576,$B338,MATCH("Initial Probability",'RAID Log'!$1:$1,0)),"")="","",IFERROR(INDEX('RAID Log'!$1:$1048576,$B338,MATCH("Initial Probability",'RAID Log'!$1:$1,0)),"")))</f>
        <v/>
      </c>
      <c r="I338" s="86" t="str">
        <f t="shared" si="15"/>
        <v/>
      </c>
      <c r="J338" s="85" t="str">
        <f t="shared" si="16"/>
        <v/>
      </c>
      <c r="K338" s="86" t="str">
        <f t="shared" si="17"/>
        <v/>
      </c>
      <c r="L338" s="85" t="str">
        <f>IF($B338="","",IF(IFERROR(INDEX('RAID Log'!$1:$1048576,$B338,MATCH("Status",'RAID Log'!$1:$1,0)),"")="","",IFERROR(INDEX('RAID Log'!$1:$1048576,$B338,MATCH("Status",'RAID Log'!$1:$1,0)),"")))</f>
        <v/>
      </c>
      <c r="M338" s="85" t="str">
        <f>IF($B338="","",IF(IFERROR(INDEX('RAID Log'!$1:$1048576,$B338,MATCH("RAID Owner",'RAID Log'!$1:$1,0)),"")="","",IFERROR(INDEX('RAID Log'!$1:$1048576,$B338,MATCH("RAID Owner",'RAID Log'!$1:$1,0)),"")))</f>
        <v/>
      </c>
      <c r="N338" s="87" t="str">
        <f>IF($B338="","",IF(IFERROR(INDEX('RAID Log'!$1:$1048576,$B338,MATCH("Date Raised",'RAID Log'!$1:$1,0)),"")="","",IFERROR(INDEX('RAID Log'!$1:$1048576,$B338,MATCH("Date Raised",'RAID Log'!$1:$1,0)),"")))</f>
        <v/>
      </c>
      <c r="O338" s="87" t="str">
        <f>IF($B338="","",IF(IFERROR(INDEX('RAID Log'!$1:$1048576,$B338,MATCH("Closed Date",'RAID Log'!$1:$1,0)),"")="","",IFERROR(INDEX('RAID Log'!$1:$1048576,$B338,MATCH("Closed Date",'RAID Log'!$1:$1,0)),"")))</f>
        <v/>
      </c>
      <c r="P338" s="85" t="str">
        <f>IF($B338="","",IF(IFERROR(INDEX('RAID Log'!$1:$1048576,$B338,MATCH("Mitigation Strategy",'RAID Log'!$1:$1,0)),"")="","",IFERROR(INDEX('RAID Log'!$1:$1048576,$B338,MATCH("Mitigation Strategy",'RAID Log'!$1:$1,0)),"")))</f>
        <v/>
      </c>
      <c r="Q338" s="88" t="str">
        <f>IF($B338="","",IF(IFERROR(INDEX('RAID Log'!$1:$1048576,$B338,MATCH("RAID Response/Plan",'RAID Log'!$1:$1,0)),"")="","",IFERROR(INDEX('RAID Log'!$1:$1048576,$B338,MATCH("RAID Response/Plan",'RAID Log'!$1:$1,0)),"")))</f>
        <v/>
      </c>
    </row>
    <row r="339" spans="1:17" ht="14.25" customHeight="1">
      <c r="A339" s="82" t="str">
        <f>IF($B339="","",IF(IFERROR(INDEX('RAID Log'!$1:$1048576,$B339,MATCH("RAID ID",'RAID Log'!$1:$1,0)),"")="","",IFERROR(INDEX('RAID Log'!$1:$1048576,$B339,MATCH("RAID ID",'RAID Log'!$1:$1,0)),"")))</f>
        <v/>
      </c>
      <c r="B339" s="83" t="str">
        <f>IFERROR(MATCH(ROW()-1,'RAID Log'!$S:$S,0),"")</f>
        <v/>
      </c>
      <c r="C339" s="84" t="str">
        <f>IF($B339="","",IF(IFERROR(INDEX('RAID Log'!$1:$1048576,$B339,MATCH("Description",'RAID Log'!$1:$1,0)),"")="","",IFERROR(INDEX('RAID Log'!$1:$1048576,$B339,MATCH("Description",'RAID Log'!$1:$1,0)),"")))</f>
        <v/>
      </c>
      <c r="D339" s="84" t="str">
        <f>IF($B339="","",IF(IFERROR(INDEX('RAID Log'!$1:$1048576,$B339,MATCH("Impact/Effect of the RAID",'RAID Log'!$1:$1,0)),"")="","",IFERROR(INDEX('RAID Log'!$1:$1048576,$B339,MATCH("Impact/Effect of the RAID",'RAID Log'!$1:$1,0)),"")))</f>
        <v/>
      </c>
      <c r="E339" s="85" t="str">
        <f>IF($B339="","",IF(IFERROR(INDEX('RAID Log'!$1:$1048576,$B339,MATCH("Impact Area",'RAID Log'!$1:$1,0)),"")="","",IFERROR(INDEX('RAID Log'!$1:$1048576,$B339,MATCH("Impact Area",'RAID Log'!$1:$1,0)),"")))</f>
        <v/>
      </c>
      <c r="F339" s="85" t="str">
        <f>IF($B339="","",IF(IFERROR(INDEX('RAID Log'!$1:$1048576,$B339,MATCH("Impact Area",'RAID Log'!$1:$1,0)),"")="","",IFERROR(INDEX('RAID Log'!$1:$1048576,$B339,MATCH("Impact Area",'RAID Log'!$1:$1,0)),"")))</f>
        <v/>
      </c>
      <c r="G339" s="85" t="str">
        <f>IF($B339="","",IF(IFERROR(INDEX('RAID Log'!$1:$1048576,$B339,MATCH("Impact Rating",'RAID Log'!$1:$1,0)),"")="","",IFERROR(INDEX('RAID Log'!$1:$1048576,$B339,MATCH("Impact Rating",'RAID Log'!$1:$1,0)),"")))</f>
        <v/>
      </c>
      <c r="H339" s="85" t="str">
        <f>IF($B339="","",IF(IFERROR(INDEX('RAID Log'!$1:$1048576,$B339,MATCH("Initial Probability",'RAID Log'!$1:$1,0)),"")="","",IFERROR(INDEX('RAID Log'!$1:$1048576,$B339,MATCH("Initial Probability",'RAID Log'!$1:$1,0)),"")))</f>
        <v/>
      </c>
      <c r="I339" s="86" t="str">
        <f t="shared" si="15"/>
        <v/>
      </c>
      <c r="J339" s="85" t="str">
        <f t="shared" si="16"/>
        <v/>
      </c>
      <c r="K339" s="86" t="str">
        <f t="shared" si="17"/>
        <v/>
      </c>
      <c r="L339" s="85" t="str">
        <f>IF($B339="","",IF(IFERROR(INDEX('RAID Log'!$1:$1048576,$B339,MATCH("Status",'RAID Log'!$1:$1,0)),"")="","",IFERROR(INDEX('RAID Log'!$1:$1048576,$B339,MATCH("Status",'RAID Log'!$1:$1,0)),"")))</f>
        <v/>
      </c>
      <c r="M339" s="85" t="str">
        <f>IF($B339="","",IF(IFERROR(INDEX('RAID Log'!$1:$1048576,$B339,MATCH("RAID Owner",'RAID Log'!$1:$1,0)),"")="","",IFERROR(INDEX('RAID Log'!$1:$1048576,$B339,MATCH("RAID Owner",'RAID Log'!$1:$1,0)),"")))</f>
        <v/>
      </c>
      <c r="N339" s="87" t="str">
        <f>IF($B339="","",IF(IFERROR(INDEX('RAID Log'!$1:$1048576,$B339,MATCH("Date Raised",'RAID Log'!$1:$1,0)),"")="","",IFERROR(INDEX('RAID Log'!$1:$1048576,$B339,MATCH("Date Raised",'RAID Log'!$1:$1,0)),"")))</f>
        <v/>
      </c>
      <c r="O339" s="87" t="str">
        <f>IF($B339="","",IF(IFERROR(INDEX('RAID Log'!$1:$1048576,$B339,MATCH("Closed Date",'RAID Log'!$1:$1,0)),"")="","",IFERROR(INDEX('RAID Log'!$1:$1048576,$B339,MATCH("Closed Date",'RAID Log'!$1:$1,0)),"")))</f>
        <v/>
      </c>
      <c r="P339" s="85" t="str">
        <f>IF($B339="","",IF(IFERROR(INDEX('RAID Log'!$1:$1048576,$B339,MATCH("Mitigation Strategy",'RAID Log'!$1:$1,0)),"")="","",IFERROR(INDEX('RAID Log'!$1:$1048576,$B339,MATCH("Mitigation Strategy",'RAID Log'!$1:$1,0)),"")))</f>
        <v/>
      </c>
      <c r="Q339" s="88" t="str">
        <f>IF($B339="","",IF(IFERROR(INDEX('RAID Log'!$1:$1048576,$B339,MATCH("RAID Response/Plan",'RAID Log'!$1:$1,0)),"")="","",IFERROR(INDEX('RAID Log'!$1:$1048576,$B339,MATCH("RAID Response/Plan",'RAID Log'!$1:$1,0)),"")))</f>
        <v/>
      </c>
    </row>
    <row r="340" spans="1:17" ht="14.25" customHeight="1">
      <c r="A340" s="82" t="str">
        <f>IF($B340="","",IF(IFERROR(INDEX('RAID Log'!$1:$1048576,$B340,MATCH("RAID ID",'RAID Log'!$1:$1,0)),"")="","",IFERROR(INDEX('RAID Log'!$1:$1048576,$B340,MATCH("RAID ID",'RAID Log'!$1:$1,0)),"")))</f>
        <v/>
      </c>
      <c r="B340" s="83" t="str">
        <f>IFERROR(MATCH(ROW()-1,'RAID Log'!$S:$S,0),"")</f>
        <v/>
      </c>
      <c r="C340" s="84" t="str">
        <f>IF($B340="","",IF(IFERROR(INDEX('RAID Log'!$1:$1048576,$B340,MATCH("Description",'RAID Log'!$1:$1,0)),"")="","",IFERROR(INDEX('RAID Log'!$1:$1048576,$B340,MATCH("Description",'RAID Log'!$1:$1,0)),"")))</f>
        <v/>
      </c>
      <c r="D340" s="84" t="str">
        <f>IF($B340="","",IF(IFERROR(INDEX('RAID Log'!$1:$1048576,$B340,MATCH("Impact/Effect of the RAID",'RAID Log'!$1:$1,0)),"")="","",IFERROR(INDEX('RAID Log'!$1:$1048576,$B340,MATCH("Impact/Effect of the RAID",'RAID Log'!$1:$1,0)),"")))</f>
        <v/>
      </c>
      <c r="E340" s="85" t="str">
        <f>IF($B340="","",IF(IFERROR(INDEX('RAID Log'!$1:$1048576,$B340,MATCH("Impact Area",'RAID Log'!$1:$1,0)),"")="","",IFERROR(INDEX('RAID Log'!$1:$1048576,$B340,MATCH("Impact Area",'RAID Log'!$1:$1,0)),"")))</f>
        <v/>
      </c>
      <c r="F340" s="85" t="str">
        <f>IF($B340="","",IF(IFERROR(INDEX('RAID Log'!$1:$1048576,$B340,MATCH("Impact Area",'RAID Log'!$1:$1,0)),"")="","",IFERROR(INDEX('RAID Log'!$1:$1048576,$B340,MATCH("Impact Area",'RAID Log'!$1:$1,0)),"")))</f>
        <v/>
      </c>
      <c r="G340" s="85" t="str">
        <f>IF($B340="","",IF(IFERROR(INDEX('RAID Log'!$1:$1048576,$B340,MATCH("Impact Rating",'RAID Log'!$1:$1,0)),"")="","",IFERROR(INDEX('RAID Log'!$1:$1048576,$B340,MATCH("Impact Rating",'RAID Log'!$1:$1,0)),"")))</f>
        <v/>
      </c>
      <c r="H340" s="85" t="str">
        <f>IF($B340="","",IF(IFERROR(INDEX('RAID Log'!$1:$1048576,$B340,MATCH("Initial Probability",'RAID Log'!$1:$1,0)),"")="","",IFERROR(INDEX('RAID Log'!$1:$1048576,$B340,MATCH("Initial Probability",'RAID Log'!$1:$1,0)),"")))</f>
        <v/>
      </c>
      <c r="I340" s="86" t="str">
        <f t="shared" si="15"/>
        <v/>
      </c>
      <c r="J340" s="85" t="str">
        <f t="shared" si="16"/>
        <v/>
      </c>
      <c r="K340" s="86" t="str">
        <f t="shared" si="17"/>
        <v/>
      </c>
      <c r="L340" s="85" t="str">
        <f>IF($B340="","",IF(IFERROR(INDEX('RAID Log'!$1:$1048576,$B340,MATCH("Status",'RAID Log'!$1:$1,0)),"")="","",IFERROR(INDEX('RAID Log'!$1:$1048576,$B340,MATCH("Status",'RAID Log'!$1:$1,0)),"")))</f>
        <v/>
      </c>
      <c r="M340" s="85" t="str">
        <f>IF($B340="","",IF(IFERROR(INDEX('RAID Log'!$1:$1048576,$B340,MATCH("RAID Owner",'RAID Log'!$1:$1,0)),"")="","",IFERROR(INDEX('RAID Log'!$1:$1048576,$B340,MATCH("RAID Owner",'RAID Log'!$1:$1,0)),"")))</f>
        <v/>
      </c>
      <c r="N340" s="87" t="str">
        <f>IF($B340="","",IF(IFERROR(INDEX('RAID Log'!$1:$1048576,$B340,MATCH("Date Raised",'RAID Log'!$1:$1,0)),"")="","",IFERROR(INDEX('RAID Log'!$1:$1048576,$B340,MATCH("Date Raised",'RAID Log'!$1:$1,0)),"")))</f>
        <v/>
      </c>
      <c r="O340" s="87" t="str">
        <f>IF($B340="","",IF(IFERROR(INDEX('RAID Log'!$1:$1048576,$B340,MATCH("Closed Date",'RAID Log'!$1:$1,0)),"")="","",IFERROR(INDEX('RAID Log'!$1:$1048576,$B340,MATCH("Closed Date",'RAID Log'!$1:$1,0)),"")))</f>
        <v/>
      </c>
      <c r="P340" s="85" t="str">
        <f>IF($B340="","",IF(IFERROR(INDEX('RAID Log'!$1:$1048576,$B340,MATCH("Mitigation Strategy",'RAID Log'!$1:$1,0)),"")="","",IFERROR(INDEX('RAID Log'!$1:$1048576,$B340,MATCH("Mitigation Strategy",'RAID Log'!$1:$1,0)),"")))</f>
        <v/>
      </c>
      <c r="Q340" s="88" t="str">
        <f>IF($B340="","",IF(IFERROR(INDEX('RAID Log'!$1:$1048576,$B340,MATCH("RAID Response/Plan",'RAID Log'!$1:$1,0)),"")="","",IFERROR(INDEX('RAID Log'!$1:$1048576,$B340,MATCH("RAID Response/Plan",'RAID Log'!$1:$1,0)),"")))</f>
        <v/>
      </c>
    </row>
    <row r="341" spans="1:17" ht="14.25" customHeight="1">
      <c r="A341" s="82" t="str">
        <f>IF($B341="","",IF(IFERROR(INDEX('RAID Log'!$1:$1048576,$B341,MATCH("RAID ID",'RAID Log'!$1:$1,0)),"")="","",IFERROR(INDEX('RAID Log'!$1:$1048576,$B341,MATCH("RAID ID",'RAID Log'!$1:$1,0)),"")))</f>
        <v/>
      </c>
      <c r="B341" s="83" t="str">
        <f>IFERROR(MATCH(ROW()-1,'RAID Log'!$S:$S,0),"")</f>
        <v/>
      </c>
      <c r="C341" s="84" t="str">
        <f>IF($B341="","",IF(IFERROR(INDEX('RAID Log'!$1:$1048576,$B341,MATCH("Description",'RAID Log'!$1:$1,0)),"")="","",IFERROR(INDEX('RAID Log'!$1:$1048576,$B341,MATCH("Description",'RAID Log'!$1:$1,0)),"")))</f>
        <v/>
      </c>
      <c r="D341" s="84" t="str">
        <f>IF($B341="","",IF(IFERROR(INDEX('RAID Log'!$1:$1048576,$B341,MATCH("Impact/Effect of the RAID",'RAID Log'!$1:$1,0)),"")="","",IFERROR(INDEX('RAID Log'!$1:$1048576,$B341,MATCH("Impact/Effect of the RAID",'RAID Log'!$1:$1,0)),"")))</f>
        <v/>
      </c>
      <c r="E341" s="85" t="str">
        <f>IF($B341="","",IF(IFERROR(INDEX('RAID Log'!$1:$1048576,$B341,MATCH("Impact Area",'RAID Log'!$1:$1,0)),"")="","",IFERROR(INDEX('RAID Log'!$1:$1048576,$B341,MATCH("Impact Area",'RAID Log'!$1:$1,0)),"")))</f>
        <v/>
      </c>
      <c r="F341" s="85" t="str">
        <f>IF($B341="","",IF(IFERROR(INDEX('RAID Log'!$1:$1048576,$B341,MATCH("Impact Area",'RAID Log'!$1:$1,0)),"")="","",IFERROR(INDEX('RAID Log'!$1:$1048576,$B341,MATCH("Impact Area",'RAID Log'!$1:$1,0)),"")))</f>
        <v/>
      </c>
      <c r="G341" s="85" t="str">
        <f>IF($B341="","",IF(IFERROR(INDEX('RAID Log'!$1:$1048576,$B341,MATCH("Impact Rating",'RAID Log'!$1:$1,0)),"")="","",IFERROR(INDEX('RAID Log'!$1:$1048576,$B341,MATCH("Impact Rating",'RAID Log'!$1:$1,0)),"")))</f>
        <v/>
      </c>
      <c r="H341" s="85" t="str">
        <f>IF($B341="","",IF(IFERROR(INDEX('RAID Log'!$1:$1048576,$B341,MATCH("Initial Probability",'RAID Log'!$1:$1,0)),"")="","",IFERROR(INDEX('RAID Log'!$1:$1048576,$B341,MATCH("Initial Probability",'RAID Log'!$1:$1,0)),"")))</f>
        <v/>
      </c>
      <c r="I341" s="86" t="str">
        <f t="shared" si="15"/>
        <v/>
      </c>
      <c r="J341" s="85" t="str">
        <f t="shared" si="16"/>
        <v/>
      </c>
      <c r="K341" s="86" t="str">
        <f t="shared" si="17"/>
        <v/>
      </c>
      <c r="L341" s="85" t="str">
        <f>IF($B341="","",IF(IFERROR(INDEX('RAID Log'!$1:$1048576,$B341,MATCH("Status",'RAID Log'!$1:$1,0)),"")="","",IFERROR(INDEX('RAID Log'!$1:$1048576,$B341,MATCH("Status",'RAID Log'!$1:$1,0)),"")))</f>
        <v/>
      </c>
      <c r="M341" s="85" t="str">
        <f>IF($B341="","",IF(IFERROR(INDEX('RAID Log'!$1:$1048576,$B341,MATCH("RAID Owner",'RAID Log'!$1:$1,0)),"")="","",IFERROR(INDEX('RAID Log'!$1:$1048576,$B341,MATCH("RAID Owner",'RAID Log'!$1:$1,0)),"")))</f>
        <v/>
      </c>
      <c r="N341" s="87" t="str">
        <f>IF($B341="","",IF(IFERROR(INDEX('RAID Log'!$1:$1048576,$B341,MATCH("Date Raised",'RAID Log'!$1:$1,0)),"")="","",IFERROR(INDEX('RAID Log'!$1:$1048576,$B341,MATCH("Date Raised",'RAID Log'!$1:$1,0)),"")))</f>
        <v/>
      </c>
      <c r="O341" s="87" t="str">
        <f>IF($B341="","",IF(IFERROR(INDEX('RAID Log'!$1:$1048576,$B341,MATCH("Closed Date",'RAID Log'!$1:$1,0)),"")="","",IFERROR(INDEX('RAID Log'!$1:$1048576,$B341,MATCH("Closed Date",'RAID Log'!$1:$1,0)),"")))</f>
        <v/>
      </c>
      <c r="P341" s="85" t="str">
        <f>IF($B341="","",IF(IFERROR(INDEX('RAID Log'!$1:$1048576,$B341,MATCH("Mitigation Strategy",'RAID Log'!$1:$1,0)),"")="","",IFERROR(INDEX('RAID Log'!$1:$1048576,$B341,MATCH("Mitigation Strategy",'RAID Log'!$1:$1,0)),"")))</f>
        <v/>
      </c>
      <c r="Q341" s="88" t="str">
        <f>IF($B341="","",IF(IFERROR(INDEX('RAID Log'!$1:$1048576,$B341,MATCH("RAID Response/Plan",'RAID Log'!$1:$1,0)),"")="","",IFERROR(INDEX('RAID Log'!$1:$1048576,$B341,MATCH("RAID Response/Plan",'RAID Log'!$1:$1,0)),"")))</f>
        <v/>
      </c>
    </row>
    <row r="342" spans="1:17" ht="14.25" customHeight="1">
      <c r="A342" s="82" t="str">
        <f>IF($B342="","",IF(IFERROR(INDEX('RAID Log'!$1:$1048576,$B342,MATCH("RAID ID",'RAID Log'!$1:$1,0)),"")="","",IFERROR(INDEX('RAID Log'!$1:$1048576,$B342,MATCH("RAID ID",'RAID Log'!$1:$1,0)),"")))</f>
        <v/>
      </c>
      <c r="B342" s="83" t="str">
        <f>IFERROR(MATCH(ROW()-1,'RAID Log'!$S:$S,0),"")</f>
        <v/>
      </c>
      <c r="C342" s="84" t="str">
        <f>IF($B342="","",IF(IFERROR(INDEX('RAID Log'!$1:$1048576,$B342,MATCH("Description",'RAID Log'!$1:$1,0)),"")="","",IFERROR(INDEX('RAID Log'!$1:$1048576,$B342,MATCH("Description",'RAID Log'!$1:$1,0)),"")))</f>
        <v/>
      </c>
      <c r="D342" s="84" t="str">
        <f>IF($B342="","",IF(IFERROR(INDEX('RAID Log'!$1:$1048576,$B342,MATCH("Impact/Effect of the RAID",'RAID Log'!$1:$1,0)),"")="","",IFERROR(INDEX('RAID Log'!$1:$1048576,$B342,MATCH("Impact/Effect of the RAID",'RAID Log'!$1:$1,0)),"")))</f>
        <v/>
      </c>
      <c r="E342" s="85" t="str">
        <f>IF($B342="","",IF(IFERROR(INDEX('RAID Log'!$1:$1048576,$B342,MATCH("Impact Area",'RAID Log'!$1:$1,0)),"")="","",IFERROR(INDEX('RAID Log'!$1:$1048576,$B342,MATCH("Impact Area",'RAID Log'!$1:$1,0)),"")))</f>
        <v/>
      </c>
      <c r="F342" s="85" t="str">
        <f>IF($B342="","",IF(IFERROR(INDEX('RAID Log'!$1:$1048576,$B342,MATCH("Impact Area",'RAID Log'!$1:$1,0)),"")="","",IFERROR(INDEX('RAID Log'!$1:$1048576,$B342,MATCH("Impact Area",'RAID Log'!$1:$1,0)),"")))</f>
        <v/>
      </c>
      <c r="G342" s="85" t="str">
        <f>IF($B342="","",IF(IFERROR(INDEX('RAID Log'!$1:$1048576,$B342,MATCH("Impact Rating",'RAID Log'!$1:$1,0)),"")="","",IFERROR(INDEX('RAID Log'!$1:$1048576,$B342,MATCH("Impact Rating",'RAID Log'!$1:$1,0)),"")))</f>
        <v/>
      </c>
      <c r="H342" s="85" t="str">
        <f>IF($B342="","",IF(IFERROR(INDEX('RAID Log'!$1:$1048576,$B342,MATCH("Initial Probability",'RAID Log'!$1:$1,0)),"")="","",IFERROR(INDEX('RAID Log'!$1:$1048576,$B342,MATCH("Initial Probability",'RAID Log'!$1:$1,0)),"")))</f>
        <v/>
      </c>
      <c r="I342" s="86" t="str">
        <f t="shared" si="15"/>
        <v/>
      </c>
      <c r="J342" s="85" t="str">
        <f t="shared" si="16"/>
        <v/>
      </c>
      <c r="K342" s="86" t="str">
        <f t="shared" si="17"/>
        <v/>
      </c>
      <c r="L342" s="85" t="str">
        <f>IF($B342="","",IF(IFERROR(INDEX('RAID Log'!$1:$1048576,$B342,MATCH("Status",'RAID Log'!$1:$1,0)),"")="","",IFERROR(INDEX('RAID Log'!$1:$1048576,$B342,MATCH("Status",'RAID Log'!$1:$1,0)),"")))</f>
        <v/>
      </c>
      <c r="M342" s="85" t="str">
        <f>IF($B342="","",IF(IFERROR(INDEX('RAID Log'!$1:$1048576,$B342,MATCH("RAID Owner",'RAID Log'!$1:$1,0)),"")="","",IFERROR(INDEX('RAID Log'!$1:$1048576,$B342,MATCH("RAID Owner",'RAID Log'!$1:$1,0)),"")))</f>
        <v/>
      </c>
      <c r="N342" s="87" t="str">
        <f>IF($B342="","",IF(IFERROR(INDEX('RAID Log'!$1:$1048576,$B342,MATCH("Date Raised",'RAID Log'!$1:$1,0)),"")="","",IFERROR(INDEX('RAID Log'!$1:$1048576,$B342,MATCH("Date Raised",'RAID Log'!$1:$1,0)),"")))</f>
        <v/>
      </c>
      <c r="O342" s="87" t="str">
        <f>IF($B342="","",IF(IFERROR(INDEX('RAID Log'!$1:$1048576,$B342,MATCH("Closed Date",'RAID Log'!$1:$1,0)),"")="","",IFERROR(INDEX('RAID Log'!$1:$1048576,$B342,MATCH("Closed Date",'RAID Log'!$1:$1,0)),"")))</f>
        <v/>
      </c>
      <c r="P342" s="85" t="str">
        <f>IF($B342="","",IF(IFERROR(INDEX('RAID Log'!$1:$1048576,$B342,MATCH("Mitigation Strategy",'RAID Log'!$1:$1,0)),"")="","",IFERROR(INDEX('RAID Log'!$1:$1048576,$B342,MATCH("Mitigation Strategy",'RAID Log'!$1:$1,0)),"")))</f>
        <v/>
      </c>
      <c r="Q342" s="88" t="str">
        <f>IF($B342="","",IF(IFERROR(INDEX('RAID Log'!$1:$1048576,$B342,MATCH("RAID Response/Plan",'RAID Log'!$1:$1,0)),"")="","",IFERROR(INDEX('RAID Log'!$1:$1048576,$B342,MATCH("RAID Response/Plan",'RAID Log'!$1:$1,0)),"")))</f>
        <v/>
      </c>
    </row>
    <row r="343" spans="1:17" ht="14.25" customHeight="1">
      <c r="A343" s="82" t="str">
        <f>IF($B343="","",IF(IFERROR(INDEX('RAID Log'!$1:$1048576,$B343,MATCH("RAID ID",'RAID Log'!$1:$1,0)),"")="","",IFERROR(INDEX('RAID Log'!$1:$1048576,$B343,MATCH("RAID ID",'RAID Log'!$1:$1,0)),"")))</f>
        <v/>
      </c>
      <c r="B343" s="83" t="str">
        <f>IFERROR(MATCH(ROW()-1,'RAID Log'!$S:$S,0),"")</f>
        <v/>
      </c>
      <c r="C343" s="84" t="str">
        <f>IF($B343="","",IF(IFERROR(INDEX('RAID Log'!$1:$1048576,$B343,MATCH("Description",'RAID Log'!$1:$1,0)),"")="","",IFERROR(INDEX('RAID Log'!$1:$1048576,$B343,MATCH("Description",'RAID Log'!$1:$1,0)),"")))</f>
        <v/>
      </c>
      <c r="D343" s="84" t="str">
        <f>IF($B343="","",IF(IFERROR(INDEX('RAID Log'!$1:$1048576,$B343,MATCH("Impact/Effect of the RAID",'RAID Log'!$1:$1,0)),"")="","",IFERROR(INDEX('RAID Log'!$1:$1048576,$B343,MATCH("Impact/Effect of the RAID",'RAID Log'!$1:$1,0)),"")))</f>
        <v/>
      </c>
      <c r="E343" s="85" t="str">
        <f>IF($B343="","",IF(IFERROR(INDEX('RAID Log'!$1:$1048576,$B343,MATCH("Impact Area",'RAID Log'!$1:$1,0)),"")="","",IFERROR(INDEX('RAID Log'!$1:$1048576,$B343,MATCH("Impact Area",'RAID Log'!$1:$1,0)),"")))</f>
        <v/>
      </c>
      <c r="F343" s="85" t="str">
        <f>IF($B343="","",IF(IFERROR(INDEX('RAID Log'!$1:$1048576,$B343,MATCH("Impact Area",'RAID Log'!$1:$1,0)),"")="","",IFERROR(INDEX('RAID Log'!$1:$1048576,$B343,MATCH("Impact Area",'RAID Log'!$1:$1,0)),"")))</f>
        <v/>
      </c>
      <c r="G343" s="85" t="str">
        <f>IF($B343="","",IF(IFERROR(INDEX('RAID Log'!$1:$1048576,$B343,MATCH("Impact Rating",'RAID Log'!$1:$1,0)),"")="","",IFERROR(INDEX('RAID Log'!$1:$1048576,$B343,MATCH("Impact Rating",'RAID Log'!$1:$1,0)),"")))</f>
        <v/>
      </c>
      <c r="H343" s="85" t="str">
        <f>IF($B343="","",IF(IFERROR(INDEX('RAID Log'!$1:$1048576,$B343,MATCH("Initial Probability",'RAID Log'!$1:$1,0)),"")="","",IFERROR(INDEX('RAID Log'!$1:$1048576,$B343,MATCH("Initial Probability",'RAID Log'!$1:$1,0)),"")))</f>
        <v/>
      </c>
      <c r="I343" s="86" t="str">
        <f t="shared" si="15"/>
        <v/>
      </c>
      <c r="J343" s="85" t="str">
        <f t="shared" si="16"/>
        <v/>
      </c>
      <c r="K343" s="86" t="str">
        <f t="shared" si="17"/>
        <v/>
      </c>
      <c r="L343" s="85" t="str">
        <f>IF($B343="","",IF(IFERROR(INDEX('RAID Log'!$1:$1048576,$B343,MATCH("Status",'RAID Log'!$1:$1,0)),"")="","",IFERROR(INDEX('RAID Log'!$1:$1048576,$B343,MATCH("Status",'RAID Log'!$1:$1,0)),"")))</f>
        <v/>
      </c>
      <c r="M343" s="85" t="str">
        <f>IF($B343="","",IF(IFERROR(INDEX('RAID Log'!$1:$1048576,$B343,MATCH("RAID Owner",'RAID Log'!$1:$1,0)),"")="","",IFERROR(INDEX('RAID Log'!$1:$1048576,$B343,MATCH("RAID Owner",'RAID Log'!$1:$1,0)),"")))</f>
        <v/>
      </c>
      <c r="N343" s="87" t="str">
        <f>IF($B343="","",IF(IFERROR(INDEX('RAID Log'!$1:$1048576,$B343,MATCH("Date Raised",'RAID Log'!$1:$1,0)),"")="","",IFERROR(INDEX('RAID Log'!$1:$1048576,$B343,MATCH("Date Raised",'RAID Log'!$1:$1,0)),"")))</f>
        <v/>
      </c>
      <c r="O343" s="87" t="str">
        <f>IF($B343="","",IF(IFERROR(INDEX('RAID Log'!$1:$1048576,$B343,MATCH("Closed Date",'RAID Log'!$1:$1,0)),"")="","",IFERROR(INDEX('RAID Log'!$1:$1048576,$B343,MATCH("Closed Date",'RAID Log'!$1:$1,0)),"")))</f>
        <v/>
      </c>
      <c r="P343" s="85" t="str">
        <f>IF($B343="","",IF(IFERROR(INDEX('RAID Log'!$1:$1048576,$B343,MATCH("Mitigation Strategy",'RAID Log'!$1:$1,0)),"")="","",IFERROR(INDEX('RAID Log'!$1:$1048576,$B343,MATCH("Mitigation Strategy",'RAID Log'!$1:$1,0)),"")))</f>
        <v/>
      </c>
      <c r="Q343" s="88" t="str">
        <f>IF($B343="","",IF(IFERROR(INDEX('RAID Log'!$1:$1048576,$B343,MATCH("RAID Response/Plan",'RAID Log'!$1:$1,0)),"")="","",IFERROR(INDEX('RAID Log'!$1:$1048576,$B343,MATCH("RAID Response/Plan",'RAID Log'!$1:$1,0)),"")))</f>
        <v/>
      </c>
    </row>
    <row r="344" spans="1:17" ht="14.25" customHeight="1">
      <c r="A344" s="82" t="str">
        <f>IF($B344="","",IF(IFERROR(INDEX('RAID Log'!$1:$1048576,$B344,MATCH("RAID ID",'RAID Log'!$1:$1,0)),"")="","",IFERROR(INDEX('RAID Log'!$1:$1048576,$B344,MATCH("RAID ID",'RAID Log'!$1:$1,0)),"")))</f>
        <v/>
      </c>
      <c r="B344" s="83" t="str">
        <f>IFERROR(MATCH(ROW()-1,'RAID Log'!$S:$S,0),"")</f>
        <v/>
      </c>
      <c r="C344" s="84" t="str">
        <f>IF($B344="","",IF(IFERROR(INDEX('RAID Log'!$1:$1048576,$B344,MATCH("Description",'RAID Log'!$1:$1,0)),"")="","",IFERROR(INDEX('RAID Log'!$1:$1048576,$B344,MATCH("Description",'RAID Log'!$1:$1,0)),"")))</f>
        <v/>
      </c>
      <c r="D344" s="84" t="str">
        <f>IF($B344="","",IF(IFERROR(INDEX('RAID Log'!$1:$1048576,$B344,MATCH("Impact/Effect of the RAID",'RAID Log'!$1:$1,0)),"")="","",IFERROR(INDEX('RAID Log'!$1:$1048576,$B344,MATCH("Impact/Effect of the RAID",'RAID Log'!$1:$1,0)),"")))</f>
        <v/>
      </c>
      <c r="E344" s="85" t="str">
        <f>IF($B344="","",IF(IFERROR(INDEX('RAID Log'!$1:$1048576,$B344,MATCH("Impact Area",'RAID Log'!$1:$1,0)),"")="","",IFERROR(INDEX('RAID Log'!$1:$1048576,$B344,MATCH("Impact Area",'RAID Log'!$1:$1,0)),"")))</f>
        <v/>
      </c>
      <c r="F344" s="85" t="str">
        <f>IF($B344="","",IF(IFERROR(INDEX('RAID Log'!$1:$1048576,$B344,MATCH("Impact Area",'RAID Log'!$1:$1,0)),"")="","",IFERROR(INDEX('RAID Log'!$1:$1048576,$B344,MATCH("Impact Area",'RAID Log'!$1:$1,0)),"")))</f>
        <v/>
      </c>
      <c r="G344" s="85" t="str">
        <f>IF($B344="","",IF(IFERROR(INDEX('RAID Log'!$1:$1048576,$B344,MATCH("Impact Rating",'RAID Log'!$1:$1,0)),"")="","",IFERROR(INDEX('RAID Log'!$1:$1048576,$B344,MATCH("Impact Rating",'RAID Log'!$1:$1,0)),"")))</f>
        <v/>
      </c>
      <c r="H344" s="85" t="str">
        <f>IF($B344="","",IF(IFERROR(INDEX('RAID Log'!$1:$1048576,$B344,MATCH("Initial Probability",'RAID Log'!$1:$1,0)),"")="","",IFERROR(INDEX('RAID Log'!$1:$1048576,$B344,MATCH("Initial Probability",'RAID Log'!$1:$1,0)),"")))</f>
        <v/>
      </c>
      <c r="I344" s="86" t="str">
        <f t="shared" si="15"/>
        <v/>
      </c>
      <c r="J344" s="85" t="str">
        <f t="shared" si="16"/>
        <v/>
      </c>
      <c r="K344" s="86" t="str">
        <f t="shared" si="17"/>
        <v/>
      </c>
      <c r="L344" s="85" t="str">
        <f>IF($B344="","",IF(IFERROR(INDEX('RAID Log'!$1:$1048576,$B344,MATCH("Status",'RAID Log'!$1:$1,0)),"")="","",IFERROR(INDEX('RAID Log'!$1:$1048576,$B344,MATCH("Status",'RAID Log'!$1:$1,0)),"")))</f>
        <v/>
      </c>
      <c r="M344" s="85" t="str">
        <f>IF($B344="","",IF(IFERROR(INDEX('RAID Log'!$1:$1048576,$B344,MATCH("RAID Owner",'RAID Log'!$1:$1,0)),"")="","",IFERROR(INDEX('RAID Log'!$1:$1048576,$B344,MATCH("RAID Owner",'RAID Log'!$1:$1,0)),"")))</f>
        <v/>
      </c>
      <c r="N344" s="87" t="str">
        <f>IF($B344="","",IF(IFERROR(INDEX('RAID Log'!$1:$1048576,$B344,MATCH("Date Raised",'RAID Log'!$1:$1,0)),"")="","",IFERROR(INDEX('RAID Log'!$1:$1048576,$B344,MATCH("Date Raised",'RAID Log'!$1:$1,0)),"")))</f>
        <v/>
      </c>
      <c r="O344" s="87" t="str">
        <f>IF($B344="","",IF(IFERROR(INDEX('RAID Log'!$1:$1048576,$B344,MATCH("Closed Date",'RAID Log'!$1:$1,0)),"")="","",IFERROR(INDEX('RAID Log'!$1:$1048576,$B344,MATCH("Closed Date",'RAID Log'!$1:$1,0)),"")))</f>
        <v/>
      </c>
      <c r="P344" s="85" t="str">
        <f>IF($B344="","",IF(IFERROR(INDEX('RAID Log'!$1:$1048576,$B344,MATCH("Mitigation Strategy",'RAID Log'!$1:$1,0)),"")="","",IFERROR(INDEX('RAID Log'!$1:$1048576,$B344,MATCH("Mitigation Strategy",'RAID Log'!$1:$1,0)),"")))</f>
        <v/>
      </c>
      <c r="Q344" s="88" t="str">
        <f>IF($B344="","",IF(IFERROR(INDEX('RAID Log'!$1:$1048576,$B344,MATCH("RAID Response/Plan",'RAID Log'!$1:$1,0)),"")="","",IFERROR(INDEX('RAID Log'!$1:$1048576,$B344,MATCH("RAID Response/Plan",'RAID Log'!$1:$1,0)),"")))</f>
        <v/>
      </c>
    </row>
    <row r="345" spans="1:17" ht="14.25" customHeight="1">
      <c r="A345" s="82" t="str">
        <f>IF($B345="","",IF(IFERROR(INDEX('RAID Log'!$1:$1048576,$B345,MATCH("RAID ID",'RAID Log'!$1:$1,0)),"")="","",IFERROR(INDEX('RAID Log'!$1:$1048576,$B345,MATCH("RAID ID",'RAID Log'!$1:$1,0)),"")))</f>
        <v/>
      </c>
      <c r="B345" s="83" t="str">
        <f>IFERROR(MATCH(ROW()-1,'RAID Log'!$S:$S,0),"")</f>
        <v/>
      </c>
      <c r="C345" s="84" t="str">
        <f>IF($B345="","",IF(IFERROR(INDEX('RAID Log'!$1:$1048576,$B345,MATCH("Description",'RAID Log'!$1:$1,0)),"")="","",IFERROR(INDEX('RAID Log'!$1:$1048576,$B345,MATCH("Description",'RAID Log'!$1:$1,0)),"")))</f>
        <v/>
      </c>
      <c r="D345" s="84" t="str">
        <f>IF($B345="","",IF(IFERROR(INDEX('RAID Log'!$1:$1048576,$B345,MATCH("Impact/Effect of the RAID",'RAID Log'!$1:$1,0)),"")="","",IFERROR(INDEX('RAID Log'!$1:$1048576,$B345,MATCH("Impact/Effect of the RAID",'RAID Log'!$1:$1,0)),"")))</f>
        <v/>
      </c>
      <c r="E345" s="85" t="str">
        <f>IF($B345="","",IF(IFERROR(INDEX('RAID Log'!$1:$1048576,$B345,MATCH("Impact Area",'RAID Log'!$1:$1,0)),"")="","",IFERROR(INDEX('RAID Log'!$1:$1048576,$B345,MATCH("Impact Area",'RAID Log'!$1:$1,0)),"")))</f>
        <v/>
      </c>
      <c r="F345" s="85" t="str">
        <f>IF($B345="","",IF(IFERROR(INDEX('RAID Log'!$1:$1048576,$B345,MATCH("Impact Area",'RAID Log'!$1:$1,0)),"")="","",IFERROR(INDEX('RAID Log'!$1:$1048576,$B345,MATCH("Impact Area",'RAID Log'!$1:$1,0)),"")))</f>
        <v/>
      </c>
      <c r="G345" s="85" t="str">
        <f>IF($B345="","",IF(IFERROR(INDEX('RAID Log'!$1:$1048576,$B345,MATCH("Impact Rating",'RAID Log'!$1:$1,0)),"")="","",IFERROR(INDEX('RAID Log'!$1:$1048576,$B345,MATCH("Impact Rating",'RAID Log'!$1:$1,0)),"")))</f>
        <v/>
      </c>
      <c r="H345" s="85" t="str">
        <f>IF($B345="","",IF(IFERROR(INDEX('RAID Log'!$1:$1048576,$B345,MATCH("Initial Probability",'RAID Log'!$1:$1,0)),"")="","",IFERROR(INDEX('RAID Log'!$1:$1048576,$B345,MATCH("Initial Probability",'RAID Log'!$1:$1,0)),"")))</f>
        <v/>
      </c>
      <c r="I345" s="86" t="str">
        <f t="shared" si="15"/>
        <v/>
      </c>
      <c r="J345" s="85" t="str">
        <f t="shared" si="16"/>
        <v/>
      </c>
      <c r="K345" s="86" t="str">
        <f t="shared" si="17"/>
        <v/>
      </c>
      <c r="L345" s="85" t="str">
        <f>IF($B345="","",IF(IFERROR(INDEX('RAID Log'!$1:$1048576,$B345,MATCH("Status",'RAID Log'!$1:$1,0)),"")="","",IFERROR(INDEX('RAID Log'!$1:$1048576,$B345,MATCH("Status",'RAID Log'!$1:$1,0)),"")))</f>
        <v/>
      </c>
      <c r="M345" s="85" t="str">
        <f>IF($B345="","",IF(IFERROR(INDEX('RAID Log'!$1:$1048576,$B345,MATCH("RAID Owner",'RAID Log'!$1:$1,0)),"")="","",IFERROR(INDEX('RAID Log'!$1:$1048576,$B345,MATCH("RAID Owner",'RAID Log'!$1:$1,0)),"")))</f>
        <v/>
      </c>
      <c r="N345" s="87" t="str">
        <f>IF($B345="","",IF(IFERROR(INDEX('RAID Log'!$1:$1048576,$B345,MATCH("Date Raised",'RAID Log'!$1:$1,0)),"")="","",IFERROR(INDEX('RAID Log'!$1:$1048576,$B345,MATCH("Date Raised",'RAID Log'!$1:$1,0)),"")))</f>
        <v/>
      </c>
      <c r="O345" s="87" t="str">
        <f>IF($B345="","",IF(IFERROR(INDEX('RAID Log'!$1:$1048576,$B345,MATCH("Closed Date",'RAID Log'!$1:$1,0)),"")="","",IFERROR(INDEX('RAID Log'!$1:$1048576,$B345,MATCH("Closed Date",'RAID Log'!$1:$1,0)),"")))</f>
        <v/>
      </c>
      <c r="P345" s="85" t="str">
        <f>IF($B345="","",IF(IFERROR(INDEX('RAID Log'!$1:$1048576,$B345,MATCH("Mitigation Strategy",'RAID Log'!$1:$1,0)),"")="","",IFERROR(INDEX('RAID Log'!$1:$1048576,$B345,MATCH("Mitigation Strategy",'RAID Log'!$1:$1,0)),"")))</f>
        <v/>
      </c>
      <c r="Q345" s="88" t="str">
        <f>IF($B345="","",IF(IFERROR(INDEX('RAID Log'!$1:$1048576,$B345,MATCH("RAID Response/Plan",'RAID Log'!$1:$1,0)),"")="","",IFERROR(INDEX('RAID Log'!$1:$1048576,$B345,MATCH("RAID Response/Plan",'RAID Log'!$1:$1,0)),"")))</f>
        <v/>
      </c>
    </row>
    <row r="346" spans="1:17" ht="14.25" customHeight="1">
      <c r="A346" s="82" t="str">
        <f>IF($B346="","",IF(IFERROR(INDEX('RAID Log'!$1:$1048576,$B346,MATCH("RAID ID",'RAID Log'!$1:$1,0)),"")="","",IFERROR(INDEX('RAID Log'!$1:$1048576,$B346,MATCH("RAID ID",'RAID Log'!$1:$1,0)),"")))</f>
        <v/>
      </c>
      <c r="B346" s="83" t="str">
        <f>IFERROR(MATCH(ROW()-1,'RAID Log'!$S:$S,0),"")</f>
        <v/>
      </c>
      <c r="C346" s="84" t="str">
        <f>IF($B346="","",IF(IFERROR(INDEX('RAID Log'!$1:$1048576,$B346,MATCH("Description",'RAID Log'!$1:$1,0)),"")="","",IFERROR(INDEX('RAID Log'!$1:$1048576,$B346,MATCH("Description",'RAID Log'!$1:$1,0)),"")))</f>
        <v/>
      </c>
      <c r="D346" s="84" t="str">
        <f>IF($B346="","",IF(IFERROR(INDEX('RAID Log'!$1:$1048576,$B346,MATCH("Impact/Effect of the RAID",'RAID Log'!$1:$1,0)),"")="","",IFERROR(INDEX('RAID Log'!$1:$1048576,$B346,MATCH("Impact/Effect of the RAID",'RAID Log'!$1:$1,0)),"")))</f>
        <v/>
      </c>
      <c r="E346" s="85" t="str">
        <f>IF($B346="","",IF(IFERROR(INDEX('RAID Log'!$1:$1048576,$B346,MATCH("Impact Area",'RAID Log'!$1:$1,0)),"")="","",IFERROR(INDEX('RAID Log'!$1:$1048576,$B346,MATCH("Impact Area",'RAID Log'!$1:$1,0)),"")))</f>
        <v/>
      </c>
      <c r="F346" s="85" t="str">
        <f>IF($B346="","",IF(IFERROR(INDEX('RAID Log'!$1:$1048576,$B346,MATCH("Impact Area",'RAID Log'!$1:$1,0)),"")="","",IFERROR(INDEX('RAID Log'!$1:$1048576,$B346,MATCH("Impact Area",'RAID Log'!$1:$1,0)),"")))</f>
        <v/>
      </c>
      <c r="G346" s="85" t="str">
        <f>IF($B346="","",IF(IFERROR(INDEX('RAID Log'!$1:$1048576,$B346,MATCH("Impact Rating",'RAID Log'!$1:$1,0)),"")="","",IFERROR(INDEX('RAID Log'!$1:$1048576,$B346,MATCH("Impact Rating",'RAID Log'!$1:$1,0)),"")))</f>
        <v/>
      </c>
      <c r="H346" s="85" t="str">
        <f>IF($B346="","",IF(IFERROR(INDEX('RAID Log'!$1:$1048576,$B346,MATCH("Initial Probability",'RAID Log'!$1:$1,0)),"")="","",IFERROR(INDEX('RAID Log'!$1:$1048576,$B346,MATCH("Initial Probability",'RAID Log'!$1:$1,0)),"")))</f>
        <v/>
      </c>
      <c r="I346" s="86" t="str">
        <f t="shared" si="15"/>
        <v/>
      </c>
      <c r="J346" s="85" t="str">
        <f t="shared" si="16"/>
        <v/>
      </c>
      <c r="K346" s="86" t="str">
        <f t="shared" si="17"/>
        <v/>
      </c>
      <c r="L346" s="85" t="str">
        <f>IF($B346="","",IF(IFERROR(INDEX('RAID Log'!$1:$1048576,$B346,MATCH("Status",'RAID Log'!$1:$1,0)),"")="","",IFERROR(INDEX('RAID Log'!$1:$1048576,$B346,MATCH("Status",'RAID Log'!$1:$1,0)),"")))</f>
        <v/>
      </c>
      <c r="M346" s="85" t="str">
        <f>IF($B346="","",IF(IFERROR(INDEX('RAID Log'!$1:$1048576,$B346,MATCH("RAID Owner",'RAID Log'!$1:$1,0)),"")="","",IFERROR(INDEX('RAID Log'!$1:$1048576,$B346,MATCH("RAID Owner",'RAID Log'!$1:$1,0)),"")))</f>
        <v/>
      </c>
      <c r="N346" s="87" t="str">
        <f>IF($B346="","",IF(IFERROR(INDEX('RAID Log'!$1:$1048576,$B346,MATCH("Date Raised",'RAID Log'!$1:$1,0)),"")="","",IFERROR(INDEX('RAID Log'!$1:$1048576,$B346,MATCH("Date Raised",'RAID Log'!$1:$1,0)),"")))</f>
        <v/>
      </c>
      <c r="O346" s="87" t="str">
        <f>IF($B346="","",IF(IFERROR(INDEX('RAID Log'!$1:$1048576,$B346,MATCH("Closed Date",'RAID Log'!$1:$1,0)),"")="","",IFERROR(INDEX('RAID Log'!$1:$1048576,$B346,MATCH("Closed Date",'RAID Log'!$1:$1,0)),"")))</f>
        <v/>
      </c>
      <c r="P346" s="85" t="str">
        <f>IF($B346="","",IF(IFERROR(INDEX('RAID Log'!$1:$1048576,$B346,MATCH("Mitigation Strategy",'RAID Log'!$1:$1,0)),"")="","",IFERROR(INDEX('RAID Log'!$1:$1048576,$B346,MATCH("Mitigation Strategy",'RAID Log'!$1:$1,0)),"")))</f>
        <v/>
      </c>
      <c r="Q346" s="88" t="str">
        <f>IF($B346="","",IF(IFERROR(INDEX('RAID Log'!$1:$1048576,$B346,MATCH("RAID Response/Plan",'RAID Log'!$1:$1,0)),"")="","",IFERROR(INDEX('RAID Log'!$1:$1048576,$B346,MATCH("RAID Response/Plan",'RAID Log'!$1:$1,0)),"")))</f>
        <v/>
      </c>
    </row>
    <row r="347" spans="1:17" ht="14.25" customHeight="1">
      <c r="A347" s="82" t="str">
        <f>IF($B347="","",IF(IFERROR(INDEX('RAID Log'!$1:$1048576,$B347,MATCH("RAID ID",'RAID Log'!$1:$1,0)),"")="","",IFERROR(INDEX('RAID Log'!$1:$1048576,$B347,MATCH("RAID ID",'RAID Log'!$1:$1,0)),"")))</f>
        <v/>
      </c>
      <c r="B347" s="83" t="str">
        <f>IFERROR(MATCH(ROW()-1,'RAID Log'!$S:$S,0),"")</f>
        <v/>
      </c>
      <c r="C347" s="84" t="str">
        <f>IF($B347="","",IF(IFERROR(INDEX('RAID Log'!$1:$1048576,$B347,MATCH("Description",'RAID Log'!$1:$1,0)),"")="","",IFERROR(INDEX('RAID Log'!$1:$1048576,$B347,MATCH("Description",'RAID Log'!$1:$1,0)),"")))</f>
        <v/>
      </c>
      <c r="D347" s="84" t="str">
        <f>IF($B347="","",IF(IFERROR(INDEX('RAID Log'!$1:$1048576,$B347,MATCH("Impact/Effect of the RAID",'RAID Log'!$1:$1,0)),"")="","",IFERROR(INDEX('RAID Log'!$1:$1048576,$B347,MATCH("Impact/Effect of the RAID",'RAID Log'!$1:$1,0)),"")))</f>
        <v/>
      </c>
      <c r="E347" s="85" t="str">
        <f>IF($B347="","",IF(IFERROR(INDEX('RAID Log'!$1:$1048576,$B347,MATCH("Impact Area",'RAID Log'!$1:$1,0)),"")="","",IFERROR(INDEX('RAID Log'!$1:$1048576,$B347,MATCH("Impact Area",'RAID Log'!$1:$1,0)),"")))</f>
        <v/>
      </c>
      <c r="F347" s="85" t="str">
        <f>IF($B347="","",IF(IFERROR(INDEX('RAID Log'!$1:$1048576,$B347,MATCH("Impact Area",'RAID Log'!$1:$1,0)),"")="","",IFERROR(INDEX('RAID Log'!$1:$1048576,$B347,MATCH("Impact Area",'RAID Log'!$1:$1,0)),"")))</f>
        <v/>
      </c>
      <c r="G347" s="85" t="str">
        <f>IF($B347="","",IF(IFERROR(INDEX('RAID Log'!$1:$1048576,$B347,MATCH("Impact Rating",'RAID Log'!$1:$1,0)),"")="","",IFERROR(INDEX('RAID Log'!$1:$1048576,$B347,MATCH("Impact Rating",'RAID Log'!$1:$1,0)),"")))</f>
        <v/>
      </c>
      <c r="H347" s="85" t="str">
        <f>IF($B347="","",IF(IFERROR(INDEX('RAID Log'!$1:$1048576,$B347,MATCH("Initial Probability",'RAID Log'!$1:$1,0)),"")="","",IFERROR(INDEX('RAID Log'!$1:$1048576,$B347,MATCH("Initial Probability",'RAID Log'!$1:$1,0)),"")))</f>
        <v/>
      </c>
      <c r="I347" s="86" t="str">
        <f t="shared" si="15"/>
        <v/>
      </c>
      <c r="J347" s="85" t="str">
        <f t="shared" si="16"/>
        <v/>
      </c>
      <c r="K347" s="86" t="str">
        <f t="shared" si="17"/>
        <v/>
      </c>
      <c r="L347" s="85" t="str">
        <f>IF($B347="","",IF(IFERROR(INDEX('RAID Log'!$1:$1048576,$B347,MATCH("Status",'RAID Log'!$1:$1,0)),"")="","",IFERROR(INDEX('RAID Log'!$1:$1048576,$B347,MATCH("Status",'RAID Log'!$1:$1,0)),"")))</f>
        <v/>
      </c>
      <c r="M347" s="85" t="str">
        <f>IF($B347="","",IF(IFERROR(INDEX('RAID Log'!$1:$1048576,$B347,MATCH("RAID Owner",'RAID Log'!$1:$1,0)),"")="","",IFERROR(INDEX('RAID Log'!$1:$1048576,$B347,MATCH("RAID Owner",'RAID Log'!$1:$1,0)),"")))</f>
        <v/>
      </c>
      <c r="N347" s="87" t="str">
        <f>IF($B347="","",IF(IFERROR(INDEX('RAID Log'!$1:$1048576,$B347,MATCH("Date Raised",'RAID Log'!$1:$1,0)),"")="","",IFERROR(INDEX('RAID Log'!$1:$1048576,$B347,MATCH("Date Raised",'RAID Log'!$1:$1,0)),"")))</f>
        <v/>
      </c>
      <c r="O347" s="87" t="str">
        <f>IF($B347="","",IF(IFERROR(INDEX('RAID Log'!$1:$1048576,$B347,MATCH("Closed Date",'RAID Log'!$1:$1,0)),"")="","",IFERROR(INDEX('RAID Log'!$1:$1048576,$B347,MATCH("Closed Date",'RAID Log'!$1:$1,0)),"")))</f>
        <v/>
      </c>
      <c r="P347" s="85" t="str">
        <f>IF($B347="","",IF(IFERROR(INDEX('RAID Log'!$1:$1048576,$B347,MATCH("Mitigation Strategy",'RAID Log'!$1:$1,0)),"")="","",IFERROR(INDEX('RAID Log'!$1:$1048576,$B347,MATCH("Mitigation Strategy",'RAID Log'!$1:$1,0)),"")))</f>
        <v/>
      </c>
      <c r="Q347" s="88" t="str">
        <f>IF($B347="","",IF(IFERROR(INDEX('RAID Log'!$1:$1048576,$B347,MATCH("RAID Response/Plan",'RAID Log'!$1:$1,0)),"")="","",IFERROR(INDEX('RAID Log'!$1:$1048576,$B347,MATCH("RAID Response/Plan",'RAID Log'!$1:$1,0)),"")))</f>
        <v/>
      </c>
    </row>
    <row r="348" spans="1:17" ht="14.25" customHeight="1">
      <c r="A348" s="82" t="str">
        <f>IF($B348="","",IF(IFERROR(INDEX('RAID Log'!$1:$1048576,$B348,MATCH("RAID ID",'RAID Log'!$1:$1,0)),"")="","",IFERROR(INDEX('RAID Log'!$1:$1048576,$B348,MATCH("RAID ID",'RAID Log'!$1:$1,0)),"")))</f>
        <v/>
      </c>
      <c r="B348" s="83" t="str">
        <f>IFERROR(MATCH(ROW()-1,'RAID Log'!$S:$S,0),"")</f>
        <v/>
      </c>
      <c r="C348" s="84" t="str">
        <f>IF($B348="","",IF(IFERROR(INDEX('RAID Log'!$1:$1048576,$B348,MATCH("Description",'RAID Log'!$1:$1,0)),"")="","",IFERROR(INDEX('RAID Log'!$1:$1048576,$B348,MATCH("Description",'RAID Log'!$1:$1,0)),"")))</f>
        <v/>
      </c>
      <c r="D348" s="84" t="str">
        <f>IF($B348="","",IF(IFERROR(INDEX('RAID Log'!$1:$1048576,$B348,MATCH("Impact/Effect of the RAID",'RAID Log'!$1:$1,0)),"")="","",IFERROR(INDEX('RAID Log'!$1:$1048576,$B348,MATCH("Impact/Effect of the RAID",'RAID Log'!$1:$1,0)),"")))</f>
        <v/>
      </c>
      <c r="E348" s="85" t="str">
        <f>IF($B348="","",IF(IFERROR(INDEX('RAID Log'!$1:$1048576,$B348,MATCH("Impact Area",'RAID Log'!$1:$1,0)),"")="","",IFERROR(INDEX('RAID Log'!$1:$1048576,$B348,MATCH("Impact Area",'RAID Log'!$1:$1,0)),"")))</f>
        <v/>
      </c>
      <c r="F348" s="85" t="str">
        <f>IF($B348="","",IF(IFERROR(INDEX('RAID Log'!$1:$1048576,$B348,MATCH("Impact Area",'RAID Log'!$1:$1,0)),"")="","",IFERROR(INDEX('RAID Log'!$1:$1048576,$B348,MATCH("Impact Area",'RAID Log'!$1:$1,0)),"")))</f>
        <v/>
      </c>
      <c r="G348" s="85" t="str">
        <f>IF($B348="","",IF(IFERROR(INDEX('RAID Log'!$1:$1048576,$B348,MATCH("Impact Rating",'RAID Log'!$1:$1,0)),"")="","",IFERROR(INDEX('RAID Log'!$1:$1048576,$B348,MATCH("Impact Rating",'RAID Log'!$1:$1,0)),"")))</f>
        <v/>
      </c>
      <c r="H348" s="85" t="str">
        <f>IF($B348="","",IF(IFERROR(INDEX('RAID Log'!$1:$1048576,$B348,MATCH("Initial Probability",'RAID Log'!$1:$1,0)),"")="","",IFERROR(INDEX('RAID Log'!$1:$1048576,$B348,MATCH("Initial Probability",'RAID Log'!$1:$1,0)),"")))</f>
        <v/>
      </c>
      <c r="I348" s="86" t="str">
        <f t="shared" si="15"/>
        <v/>
      </c>
      <c r="J348" s="85" t="str">
        <f t="shared" si="16"/>
        <v/>
      </c>
      <c r="K348" s="86" t="str">
        <f t="shared" si="17"/>
        <v/>
      </c>
      <c r="L348" s="85" t="str">
        <f>IF($B348="","",IF(IFERROR(INDEX('RAID Log'!$1:$1048576,$B348,MATCH("Status",'RAID Log'!$1:$1,0)),"")="","",IFERROR(INDEX('RAID Log'!$1:$1048576,$B348,MATCH("Status",'RAID Log'!$1:$1,0)),"")))</f>
        <v/>
      </c>
      <c r="M348" s="85" t="str">
        <f>IF($B348="","",IF(IFERROR(INDEX('RAID Log'!$1:$1048576,$B348,MATCH("RAID Owner",'RAID Log'!$1:$1,0)),"")="","",IFERROR(INDEX('RAID Log'!$1:$1048576,$B348,MATCH("RAID Owner",'RAID Log'!$1:$1,0)),"")))</f>
        <v/>
      </c>
      <c r="N348" s="87" t="str">
        <f>IF($B348="","",IF(IFERROR(INDEX('RAID Log'!$1:$1048576,$B348,MATCH("Date Raised",'RAID Log'!$1:$1,0)),"")="","",IFERROR(INDEX('RAID Log'!$1:$1048576,$B348,MATCH("Date Raised",'RAID Log'!$1:$1,0)),"")))</f>
        <v/>
      </c>
      <c r="O348" s="87" t="str">
        <f>IF($B348="","",IF(IFERROR(INDEX('RAID Log'!$1:$1048576,$B348,MATCH("Closed Date",'RAID Log'!$1:$1,0)),"")="","",IFERROR(INDEX('RAID Log'!$1:$1048576,$B348,MATCH("Closed Date",'RAID Log'!$1:$1,0)),"")))</f>
        <v/>
      </c>
      <c r="P348" s="85" t="str">
        <f>IF($B348="","",IF(IFERROR(INDEX('RAID Log'!$1:$1048576,$B348,MATCH("Mitigation Strategy",'RAID Log'!$1:$1,0)),"")="","",IFERROR(INDEX('RAID Log'!$1:$1048576,$B348,MATCH("Mitigation Strategy",'RAID Log'!$1:$1,0)),"")))</f>
        <v/>
      </c>
      <c r="Q348" s="88" t="str">
        <f>IF($B348="","",IF(IFERROR(INDEX('RAID Log'!$1:$1048576,$B348,MATCH("RAID Response/Plan",'RAID Log'!$1:$1,0)),"")="","",IFERROR(INDEX('RAID Log'!$1:$1048576,$B348,MATCH("RAID Response/Plan",'RAID Log'!$1:$1,0)),"")))</f>
        <v/>
      </c>
    </row>
    <row r="349" spans="1:17" ht="14.25" customHeight="1">
      <c r="A349" s="82" t="str">
        <f>IF($B349="","",IF(IFERROR(INDEX('RAID Log'!$1:$1048576,$B349,MATCH("RAID ID",'RAID Log'!$1:$1,0)),"")="","",IFERROR(INDEX('RAID Log'!$1:$1048576,$B349,MATCH("RAID ID",'RAID Log'!$1:$1,0)),"")))</f>
        <v/>
      </c>
      <c r="B349" s="83" t="str">
        <f>IFERROR(MATCH(ROW()-1,'RAID Log'!$S:$S,0),"")</f>
        <v/>
      </c>
      <c r="C349" s="84" t="str">
        <f>IF($B349="","",IF(IFERROR(INDEX('RAID Log'!$1:$1048576,$B349,MATCH("Description",'RAID Log'!$1:$1,0)),"")="","",IFERROR(INDEX('RAID Log'!$1:$1048576,$B349,MATCH("Description",'RAID Log'!$1:$1,0)),"")))</f>
        <v/>
      </c>
      <c r="D349" s="84" t="str">
        <f>IF($B349="","",IF(IFERROR(INDEX('RAID Log'!$1:$1048576,$B349,MATCH("Impact/Effect of the RAID",'RAID Log'!$1:$1,0)),"")="","",IFERROR(INDEX('RAID Log'!$1:$1048576,$B349,MATCH("Impact/Effect of the RAID",'RAID Log'!$1:$1,0)),"")))</f>
        <v/>
      </c>
      <c r="E349" s="85" t="str">
        <f>IF($B349="","",IF(IFERROR(INDEX('RAID Log'!$1:$1048576,$B349,MATCH("Impact Area",'RAID Log'!$1:$1,0)),"")="","",IFERROR(INDEX('RAID Log'!$1:$1048576,$B349,MATCH("Impact Area",'RAID Log'!$1:$1,0)),"")))</f>
        <v/>
      </c>
      <c r="F349" s="85" t="str">
        <f>IF($B349="","",IF(IFERROR(INDEX('RAID Log'!$1:$1048576,$B349,MATCH("Impact Area",'RAID Log'!$1:$1,0)),"")="","",IFERROR(INDEX('RAID Log'!$1:$1048576,$B349,MATCH("Impact Area",'RAID Log'!$1:$1,0)),"")))</f>
        <v/>
      </c>
      <c r="G349" s="85" t="str">
        <f>IF($B349="","",IF(IFERROR(INDEX('RAID Log'!$1:$1048576,$B349,MATCH("Impact Rating",'RAID Log'!$1:$1,0)),"")="","",IFERROR(INDEX('RAID Log'!$1:$1048576,$B349,MATCH("Impact Rating",'RAID Log'!$1:$1,0)),"")))</f>
        <v/>
      </c>
      <c r="H349" s="85" t="str">
        <f>IF($B349="","",IF(IFERROR(INDEX('RAID Log'!$1:$1048576,$B349,MATCH("Initial Probability",'RAID Log'!$1:$1,0)),"")="","",IFERROR(INDEX('RAID Log'!$1:$1048576,$B349,MATCH("Initial Probability",'RAID Log'!$1:$1,0)),"")))</f>
        <v/>
      </c>
      <c r="I349" s="86" t="str">
        <f t="shared" si="15"/>
        <v/>
      </c>
      <c r="J349" s="85" t="str">
        <f t="shared" si="16"/>
        <v/>
      </c>
      <c r="K349" s="86" t="str">
        <f t="shared" si="17"/>
        <v/>
      </c>
      <c r="L349" s="85" t="str">
        <f>IF($B349="","",IF(IFERROR(INDEX('RAID Log'!$1:$1048576,$B349,MATCH("Status",'RAID Log'!$1:$1,0)),"")="","",IFERROR(INDEX('RAID Log'!$1:$1048576,$B349,MATCH("Status",'RAID Log'!$1:$1,0)),"")))</f>
        <v/>
      </c>
      <c r="M349" s="85" t="str">
        <f>IF($B349="","",IF(IFERROR(INDEX('RAID Log'!$1:$1048576,$B349,MATCH("RAID Owner",'RAID Log'!$1:$1,0)),"")="","",IFERROR(INDEX('RAID Log'!$1:$1048576,$B349,MATCH("RAID Owner",'RAID Log'!$1:$1,0)),"")))</f>
        <v/>
      </c>
      <c r="N349" s="87" t="str">
        <f>IF($B349="","",IF(IFERROR(INDEX('RAID Log'!$1:$1048576,$B349,MATCH("Date Raised",'RAID Log'!$1:$1,0)),"")="","",IFERROR(INDEX('RAID Log'!$1:$1048576,$B349,MATCH("Date Raised",'RAID Log'!$1:$1,0)),"")))</f>
        <v/>
      </c>
      <c r="O349" s="87" t="str">
        <f>IF($B349="","",IF(IFERROR(INDEX('RAID Log'!$1:$1048576,$B349,MATCH("Closed Date",'RAID Log'!$1:$1,0)),"")="","",IFERROR(INDEX('RAID Log'!$1:$1048576,$B349,MATCH("Closed Date",'RAID Log'!$1:$1,0)),"")))</f>
        <v/>
      </c>
      <c r="P349" s="85" t="str">
        <f>IF($B349="","",IF(IFERROR(INDEX('RAID Log'!$1:$1048576,$B349,MATCH("Mitigation Strategy",'RAID Log'!$1:$1,0)),"")="","",IFERROR(INDEX('RAID Log'!$1:$1048576,$B349,MATCH("Mitigation Strategy",'RAID Log'!$1:$1,0)),"")))</f>
        <v/>
      </c>
      <c r="Q349" s="88" t="str">
        <f>IF($B349="","",IF(IFERROR(INDEX('RAID Log'!$1:$1048576,$B349,MATCH("RAID Response/Plan",'RAID Log'!$1:$1,0)),"")="","",IFERROR(INDEX('RAID Log'!$1:$1048576,$B349,MATCH("RAID Response/Plan",'RAID Log'!$1:$1,0)),"")))</f>
        <v/>
      </c>
    </row>
    <row r="350" spans="1:17" ht="14.25" customHeight="1">
      <c r="A350" s="82" t="str">
        <f>IF($B350="","",IF(IFERROR(INDEX('RAID Log'!$1:$1048576,$B350,MATCH("RAID ID",'RAID Log'!$1:$1,0)),"")="","",IFERROR(INDEX('RAID Log'!$1:$1048576,$B350,MATCH("RAID ID",'RAID Log'!$1:$1,0)),"")))</f>
        <v/>
      </c>
      <c r="B350" s="83" t="str">
        <f>IFERROR(MATCH(ROW()-1,'RAID Log'!$S:$S,0),"")</f>
        <v/>
      </c>
      <c r="C350" s="84" t="str">
        <f>IF($B350="","",IF(IFERROR(INDEX('RAID Log'!$1:$1048576,$B350,MATCH("Description",'RAID Log'!$1:$1,0)),"")="","",IFERROR(INDEX('RAID Log'!$1:$1048576,$B350,MATCH("Description",'RAID Log'!$1:$1,0)),"")))</f>
        <v/>
      </c>
      <c r="D350" s="84" t="str">
        <f>IF($B350="","",IF(IFERROR(INDEX('RAID Log'!$1:$1048576,$B350,MATCH("Impact/Effect of the RAID",'RAID Log'!$1:$1,0)),"")="","",IFERROR(INDEX('RAID Log'!$1:$1048576,$B350,MATCH("Impact/Effect of the RAID",'RAID Log'!$1:$1,0)),"")))</f>
        <v/>
      </c>
      <c r="E350" s="85" t="str">
        <f>IF($B350="","",IF(IFERROR(INDEX('RAID Log'!$1:$1048576,$B350,MATCH("Impact Area",'RAID Log'!$1:$1,0)),"")="","",IFERROR(INDEX('RAID Log'!$1:$1048576,$B350,MATCH("Impact Area",'RAID Log'!$1:$1,0)),"")))</f>
        <v/>
      </c>
      <c r="F350" s="85" t="str">
        <f>IF($B350="","",IF(IFERROR(INDEX('RAID Log'!$1:$1048576,$B350,MATCH("Impact Area",'RAID Log'!$1:$1,0)),"")="","",IFERROR(INDEX('RAID Log'!$1:$1048576,$B350,MATCH("Impact Area",'RAID Log'!$1:$1,0)),"")))</f>
        <v/>
      </c>
      <c r="G350" s="85" t="str">
        <f>IF($B350="","",IF(IFERROR(INDEX('RAID Log'!$1:$1048576,$B350,MATCH("Impact Rating",'RAID Log'!$1:$1,0)),"")="","",IFERROR(INDEX('RAID Log'!$1:$1048576,$B350,MATCH("Impact Rating",'RAID Log'!$1:$1,0)),"")))</f>
        <v/>
      </c>
      <c r="H350" s="85" t="str">
        <f>IF($B350="","",IF(IFERROR(INDEX('RAID Log'!$1:$1048576,$B350,MATCH("Initial Probability",'RAID Log'!$1:$1,0)),"")="","",IFERROR(INDEX('RAID Log'!$1:$1048576,$B350,MATCH("Initial Probability",'RAID Log'!$1:$1,0)),"")))</f>
        <v/>
      </c>
      <c r="I350" s="86" t="str">
        <f t="shared" si="15"/>
        <v/>
      </c>
      <c r="J350" s="85" t="str">
        <f t="shared" si="16"/>
        <v/>
      </c>
      <c r="K350" s="86" t="str">
        <f t="shared" si="17"/>
        <v/>
      </c>
      <c r="L350" s="85" t="str">
        <f>IF($B350="","",IF(IFERROR(INDEX('RAID Log'!$1:$1048576,$B350,MATCH("Status",'RAID Log'!$1:$1,0)),"")="","",IFERROR(INDEX('RAID Log'!$1:$1048576,$B350,MATCH("Status",'RAID Log'!$1:$1,0)),"")))</f>
        <v/>
      </c>
      <c r="M350" s="85" t="str">
        <f>IF($B350="","",IF(IFERROR(INDEX('RAID Log'!$1:$1048576,$B350,MATCH("RAID Owner",'RAID Log'!$1:$1,0)),"")="","",IFERROR(INDEX('RAID Log'!$1:$1048576,$B350,MATCH("RAID Owner",'RAID Log'!$1:$1,0)),"")))</f>
        <v/>
      </c>
      <c r="N350" s="87" t="str">
        <f>IF($B350="","",IF(IFERROR(INDEX('RAID Log'!$1:$1048576,$B350,MATCH("Date Raised",'RAID Log'!$1:$1,0)),"")="","",IFERROR(INDEX('RAID Log'!$1:$1048576,$B350,MATCH("Date Raised",'RAID Log'!$1:$1,0)),"")))</f>
        <v/>
      </c>
      <c r="O350" s="87" t="str">
        <f>IF($B350="","",IF(IFERROR(INDEX('RAID Log'!$1:$1048576,$B350,MATCH("Closed Date",'RAID Log'!$1:$1,0)),"")="","",IFERROR(INDEX('RAID Log'!$1:$1048576,$B350,MATCH("Closed Date",'RAID Log'!$1:$1,0)),"")))</f>
        <v/>
      </c>
      <c r="P350" s="85" t="str">
        <f>IF($B350="","",IF(IFERROR(INDEX('RAID Log'!$1:$1048576,$B350,MATCH("Mitigation Strategy",'RAID Log'!$1:$1,0)),"")="","",IFERROR(INDEX('RAID Log'!$1:$1048576,$B350,MATCH("Mitigation Strategy",'RAID Log'!$1:$1,0)),"")))</f>
        <v/>
      </c>
      <c r="Q350" s="88" t="str">
        <f>IF($B350="","",IF(IFERROR(INDEX('RAID Log'!$1:$1048576,$B350,MATCH("RAID Response/Plan",'RAID Log'!$1:$1,0)),"")="","",IFERROR(INDEX('RAID Log'!$1:$1048576,$B350,MATCH("RAID Response/Plan",'RAID Log'!$1:$1,0)),"")))</f>
        <v/>
      </c>
    </row>
    <row r="351" spans="1:17" ht="14.25" customHeight="1">
      <c r="A351" s="82" t="str">
        <f>IF($B351="","",IF(IFERROR(INDEX('RAID Log'!$1:$1048576,$B351,MATCH("RAID ID",'RAID Log'!$1:$1,0)),"")="","",IFERROR(INDEX('RAID Log'!$1:$1048576,$B351,MATCH("RAID ID",'RAID Log'!$1:$1,0)),"")))</f>
        <v/>
      </c>
      <c r="B351" s="83" t="str">
        <f>IFERROR(MATCH(ROW()-1,'RAID Log'!$S:$S,0),"")</f>
        <v/>
      </c>
      <c r="C351" s="84" t="str">
        <f>IF($B351="","",IF(IFERROR(INDEX('RAID Log'!$1:$1048576,$B351,MATCH("Description",'RAID Log'!$1:$1,0)),"")="","",IFERROR(INDEX('RAID Log'!$1:$1048576,$B351,MATCH("Description",'RAID Log'!$1:$1,0)),"")))</f>
        <v/>
      </c>
      <c r="D351" s="84" t="str">
        <f>IF($B351="","",IF(IFERROR(INDEX('RAID Log'!$1:$1048576,$B351,MATCH("Impact/Effect of the RAID",'RAID Log'!$1:$1,0)),"")="","",IFERROR(INDEX('RAID Log'!$1:$1048576,$B351,MATCH("Impact/Effect of the RAID",'RAID Log'!$1:$1,0)),"")))</f>
        <v/>
      </c>
      <c r="E351" s="85" t="str">
        <f>IF($B351="","",IF(IFERROR(INDEX('RAID Log'!$1:$1048576,$B351,MATCH("Impact Area",'RAID Log'!$1:$1,0)),"")="","",IFERROR(INDEX('RAID Log'!$1:$1048576,$B351,MATCH("Impact Area",'RAID Log'!$1:$1,0)),"")))</f>
        <v/>
      </c>
      <c r="F351" s="85" t="str">
        <f>IF($B351="","",IF(IFERROR(INDEX('RAID Log'!$1:$1048576,$B351,MATCH("Impact Area",'RAID Log'!$1:$1,0)),"")="","",IFERROR(INDEX('RAID Log'!$1:$1048576,$B351,MATCH("Impact Area",'RAID Log'!$1:$1,0)),"")))</f>
        <v/>
      </c>
      <c r="G351" s="85" t="str">
        <f>IF($B351="","",IF(IFERROR(INDEX('RAID Log'!$1:$1048576,$B351,MATCH("Impact Rating",'RAID Log'!$1:$1,0)),"")="","",IFERROR(INDEX('RAID Log'!$1:$1048576,$B351,MATCH("Impact Rating",'RAID Log'!$1:$1,0)),"")))</f>
        <v/>
      </c>
      <c r="H351" s="85" t="str">
        <f>IF($B351="","",IF(IFERROR(INDEX('RAID Log'!$1:$1048576,$B351,MATCH("Initial Probability",'RAID Log'!$1:$1,0)),"")="","",IFERROR(INDEX('RAID Log'!$1:$1048576,$B351,MATCH("Initial Probability",'RAID Log'!$1:$1,0)),"")))</f>
        <v/>
      </c>
      <c r="I351" s="86" t="str">
        <f t="shared" si="15"/>
        <v/>
      </c>
      <c r="J351" s="85" t="str">
        <f t="shared" si="16"/>
        <v/>
      </c>
      <c r="K351" s="86" t="str">
        <f t="shared" si="17"/>
        <v/>
      </c>
      <c r="L351" s="85" t="str">
        <f>IF($B351="","",IF(IFERROR(INDEX('RAID Log'!$1:$1048576,$B351,MATCH("Status",'RAID Log'!$1:$1,0)),"")="","",IFERROR(INDEX('RAID Log'!$1:$1048576,$B351,MATCH("Status",'RAID Log'!$1:$1,0)),"")))</f>
        <v/>
      </c>
      <c r="M351" s="85" t="str">
        <f>IF($B351="","",IF(IFERROR(INDEX('RAID Log'!$1:$1048576,$B351,MATCH("RAID Owner",'RAID Log'!$1:$1,0)),"")="","",IFERROR(INDEX('RAID Log'!$1:$1048576,$B351,MATCH("RAID Owner",'RAID Log'!$1:$1,0)),"")))</f>
        <v/>
      </c>
      <c r="N351" s="87" t="str">
        <f>IF($B351="","",IF(IFERROR(INDEX('RAID Log'!$1:$1048576,$B351,MATCH("Date Raised",'RAID Log'!$1:$1,0)),"")="","",IFERROR(INDEX('RAID Log'!$1:$1048576,$B351,MATCH("Date Raised",'RAID Log'!$1:$1,0)),"")))</f>
        <v/>
      </c>
      <c r="O351" s="87" t="str">
        <f>IF($B351="","",IF(IFERROR(INDEX('RAID Log'!$1:$1048576,$B351,MATCH("Closed Date",'RAID Log'!$1:$1,0)),"")="","",IFERROR(INDEX('RAID Log'!$1:$1048576,$B351,MATCH("Closed Date",'RAID Log'!$1:$1,0)),"")))</f>
        <v/>
      </c>
      <c r="P351" s="85" t="str">
        <f>IF($B351="","",IF(IFERROR(INDEX('RAID Log'!$1:$1048576,$B351,MATCH("Mitigation Strategy",'RAID Log'!$1:$1,0)),"")="","",IFERROR(INDEX('RAID Log'!$1:$1048576,$B351,MATCH("Mitigation Strategy",'RAID Log'!$1:$1,0)),"")))</f>
        <v/>
      </c>
      <c r="Q351" s="88" t="str">
        <f>IF($B351="","",IF(IFERROR(INDEX('RAID Log'!$1:$1048576,$B351,MATCH("RAID Response/Plan",'RAID Log'!$1:$1,0)),"")="","",IFERROR(INDEX('RAID Log'!$1:$1048576,$B351,MATCH("RAID Response/Plan",'RAID Log'!$1:$1,0)),"")))</f>
        <v/>
      </c>
    </row>
    <row r="352" spans="1:17" ht="14.25" customHeight="1">
      <c r="A352" s="82" t="str">
        <f>IF($B352="","",IF(IFERROR(INDEX('RAID Log'!$1:$1048576,$B352,MATCH("RAID ID",'RAID Log'!$1:$1,0)),"")="","",IFERROR(INDEX('RAID Log'!$1:$1048576,$B352,MATCH("RAID ID",'RAID Log'!$1:$1,0)),"")))</f>
        <v/>
      </c>
      <c r="B352" s="83" t="str">
        <f>IFERROR(MATCH(ROW()-1,'RAID Log'!$S:$S,0),"")</f>
        <v/>
      </c>
      <c r="C352" s="84" t="str">
        <f>IF($B352="","",IF(IFERROR(INDEX('RAID Log'!$1:$1048576,$B352,MATCH("Description",'RAID Log'!$1:$1,0)),"")="","",IFERROR(INDEX('RAID Log'!$1:$1048576,$B352,MATCH("Description",'RAID Log'!$1:$1,0)),"")))</f>
        <v/>
      </c>
      <c r="D352" s="84" t="str">
        <f>IF($B352="","",IF(IFERROR(INDEX('RAID Log'!$1:$1048576,$B352,MATCH("Impact/Effect of the RAID",'RAID Log'!$1:$1,0)),"")="","",IFERROR(INDEX('RAID Log'!$1:$1048576,$B352,MATCH("Impact/Effect of the RAID",'RAID Log'!$1:$1,0)),"")))</f>
        <v/>
      </c>
      <c r="E352" s="85" t="str">
        <f>IF($B352="","",IF(IFERROR(INDEX('RAID Log'!$1:$1048576,$B352,MATCH("Impact Area",'RAID Log'!$1:$1,0)),"")="","",IFERROR(INDEX('RAID Log'!$1:$1048576,$B352,MATCH("Impact Area",'RAID Log'!$1:$1,0)),"")))</f>
        <v/>
      </c>
      <c r="F352" s="85" t="str">
        <f>IF($B352="","",IF(IFERROR(INDEX('RAID Log'!$1:$1048576,$B352,MATCH("Impact Area",'RAID Log'!$1:$1,0)),"")="","",IFERROR(INDEX('RAID Log'!$1:$1048576,$B352,MATCH("Impact Area",'RAID Log'!$1:$1,0)),"")))</f>
        <v/>
      </c>
      <c r="G352" s="85" t="str">
        <f>IF($B352="","",IF(IFERROR(INDEX('RAID Log'!$1:$1048576,$B352,MATCH("Impact Rating",'RAID Log'!$1:$1,0)),"")="","",IFERROR(INDEX('RAID Log'!$1:$1048576,$B352,MATCH("Impact Rating",'RAID Log'!$1:$1,0)),"")))</f>
        <v/>
      </c>
      <c r="H352" s="85" t="str">
        <f>IF($B352="","",IF(IFERROR(INDEX('RAID Log'!$1:$1048576,$B352,MATCH("Initial Probability",'RAID Log'!$1:$1,0)),"")="","",IFERROR(INDEX('RAID Log'!$1:$1048576,$B352,MATCH("Initial Probability",'RAID Log'!$1:$1,0)),"")))</f>
        <v/>
      </c>
      <c r="I352" s="86" t="str">
        <f t="shared" si="15"/>
        <v/>
      </c>
      <c r="J352" s="85" t="str">
        <f t="shared" si="16"/>
        <v/>
      </c>
      <c r="K352" s="86" t="str">
        <f t="shared" si="17"/>
        <v/>
      </c>
      <c r="L352" s="85" t="str">
        <f>IF($B352="","",IF(IFERROR(INDEX('RAID Log'!$1:$1048576,$B352,MATCH("Status",'RAID Log'!$1:$1,0)),"")="","",IFERROR(INDEX('RAID Log'!$1:$1048576,$B352,MATCH("Status",'RAID Log'!$1:$1,0)),"")))</f>
        <v/>
      </c>
      <c r="M352" s="85" t="str">
        <f>IF($B352="","",IF(IFERROR(INDEX('RAID Log'!$1:$1048576,$B352,MATCH("RAID Owner",'RAID Log'!$1:$1,0)),"")="","",IFERROR(INDEX('RAID Log'!$1:$1048576,$B352,MATCH("RAID Owner",'RAID Log'!$1:$1,0)),"")))</f>
        <v/>
      </c>
      <c r="N352" s="87" t="str">
        <f>IF($B352="","",IF(IFERROR(INDEX('RAID Log'!$1:$1048576,$B352,MATCH("Date Raised",'RAID Log'!$1:$1,0)),"")="","",IFERROR(INDEX('RAID Log'!$1:$1048576,$B352,MATCH("Date Raised",'RAID Log'!$1:$1,0)),"")))</f>
        <v/>
      </c>
      <c r="O352" s="87" t="str">
        <f>IF($B352="","",IF(IFERROR(INDEX('RAID Log'!$1:$1048576,$B352,MATCH("Closed Date",'RAID Log'!$1:$1,0)),"")="","",IFERROR(INDEX('RAID Log'!$1:$1048576,$B352,MATCH("Closed Date",'RAID Log'!$1:$1,0)),"")))</f>
        <v/>
      </c>
      <c r="P352" s="85" t="str">
        <f>IF($B352="","",IF(IFERROR(INDEX('RAID Log'!$1:$1048576,$B352,MATCH("Mitigation Strategy",'RAID Log'!$1:$1,0)),"")="","",IFERROR(INDEX('RAID Log'!$1:$1048576,$B352,MATCH("Mitigation Strategy",'RAID Log'!$1:$1,0)),"")))</f>
        <v/>
      </c>
      <c r="Q352" s="88" t="str">
        <f>IF($B352="","",IF(IFERROR(INDEX('RAID Log'!$1:$1048576,$B352,MATCH("RAID Response/Plan",'RAID Log'!$1:$1,0)),"")="","",IFERROR(INDEX('RAID Log'!$1:$1048576,$B352,MATCH("RAID Response/Plan",'RAID Log'!$1:$1,0)),"")))</f>
        <v/>
      </c>
    </row>
    <row r="353" spans="1:17" ht="14.25" customHeight="1">
      <c r="A353" s="82" t="str">
        <f>IF($B353="","",IF(IFERROR(INDEX('RAID Log'!$1:$1048576,$B353,MATCH("RAID ID",'RAID Log'!$1:$1,0)),"")="","",IFERROR(INDEX('RAID Log'!$1:$1048576,$B353,MATCH("RAID ID",'RAID Log'!$1:$1,0)),"")))</f>
        <v/>
      </c>
      <c r="B353" s="83" t="str">
        <f>IFERROR(MATCH(ROW()-1,'RAID Log'!$S:$S,0),"")</f>
        <v/>
      </c>
      <c r="C353" s="84" t="str">
        <f>IF($B353="","",IF(IFERROR(INDEX('RAID Log'!$1:$1048576,$B353,MATCH("Description",'RAID Log'!$1:$1,0)),"")="","",IFERROR(INDEX('RAID Log'!$1:$1048576,$B353,MATCH("Description",'RAID Log'!$1:$1,0)),"")))</f>
        <v/>
      </c>
      <c r="D353" s="84" t="str">
        <f>IF($B353="","",IF(IFERROR(INDEX('RAID Log'!$1:$1048576,$B353,MATCH("Impact/Effect of the RAID",'RAID Log'!$1:$1,0)),"")="","",IFERROR(INDEX('RAID Log'!$1:$1048576,$B353,MATCH("Impact/Effect of the RAID",'RAID Log'!$1:$1,0)),"")))</f>
        <v/>
      </c>
      <c r="E353" s="85" t="str">
        <f>IF($B353="","",IF(IFERROR(INDEX('RAID Log'!$1:$1048576,$B353,MATCH("Impact Area",'RAID Log'!$1:$1,0)),"")="","",IFERROR(INDEX('RAID Log'!$1:$1048576,$B353,MATCH("Impact Area",'RAID Log'!$1:$1,0)),"")))</f>
        <v/>
      </c>
      <c r="F353" s="85" t="str">
        <f>IF($B353="","",IF(IFERROR(INDEX('RAID Log'!$1:$1048576,$B353,MATCH("Impact Area",'RAID Log'!$1:$1,0)),"")="","",IFERROR(INDEX('RAID Log'!$1:$1048576,$B353,MATCH("Impact Area",'RAID Log'!$1:$1,0)),"")))</f>
        <v/>
      </c>
      <c r="G353" s="85" t="str">
        <f>IF($B353="","",IF(IFERROR(INDEX('RAID Log'!$1:$1048576,$B353,MATCH("Impact Rating",'RAID Log'!$1:$1,0)),"")="","",IFERROR(INDEX('RAID Log'!$1:$1048576,$B353,MATCH("Impact Rating",'RAID Log'!$1:$1,0)),"")))</f>
        <v/>
      </c>
      <c r="H353" s="85" t="str">
        <f>IF($B353="","",IF(IFERROR(INDEX('RAID Log'!$1:$1048576,$B353,MATCH("Initial Probability",'RAID Log'!$1:$1,0)),"")="","",IFERROR(INDEX('RAID Log'!$1:$1048576,$B353,MATCH("Initial Probability",'RAID Log'!$1:$1,0)),"")))</f>
        <v/>
      </c>
      <c r="I353" s="86" t="str">
        <f t="shared" si="15"/>
        <v/>
      </c>
      <c r="J353" s="85" t="str">
        <f t="shared" si="16"/>
        <v/>
      </c>
      <c r="K353" s="86" t="str">
        <f t="shared" si="17"/>
        <v/>
      </c>
      <c r="L353" s="85" t="str">
        <f>IF($B353="","",IF(IFERROR(INDEX('RAID Log'!$1:$1048576,$B353,MATCH("Status",'RAID Log'!$1:$1,0)),"")="","",IFERROR(INDEX('RAID Log'!$1:$1048576,$B353,MATCH("Status",'RAID Log'!$1:$1,0)),"")))</f>
        <v/>
      </c>
      <c r="M353" s="85" t="str">
        <f>IF($B353="","",IF(IFERROR(INDEX('RAID Log'!$1:$1048576,$B353,MATCH("RAID Owner",'RAID Log'!$1:$1,0)),"")="","",IFERROR(INDEX('RAID Log'!$1:$1048576,$B353,MATCH("RAID Owner",'RAID Log'!$1:$1,0)),"")))</f>
        <v/>
      </c>
      <c r="N353" s="87" t="str">
        <f>IF($B353="","",IF(IFERROR(INDEX('RAID Log'!$1:$1048576,$B353,MATCH("Date Raised",'RAID Log'!$1:$1,0)),"")="","",IFERROR(INDEX('RAID Log'!$1:$1048576,$B353,MATCH("Date Raised",'RAID Log'!$1:$1,0)),"")))</f>
        <v/>
      </c>
      <c r="O353" s="87" t="str">
        <f>IF($B353="","",IF(IFERROR(INDEX('RAID Log'!$1:$1048576,$B353,MATCH("Closed Date",'RAID Log'!$1:$1,0)),"")="","",IFERROR(INDEX('RAID Log'!$1:$1048576,$B353,MATCH("Closed Date",'RAID Log'!$1:$1,0)),"")))</f>
        <v/>
      </c>
      <c r="P353" s="85" t="str">
        <f>IF($B353="","",IF(IFERROR(INDEX('RAID Log'!$1:$1048576,$B353,MATCH("Mitigation Strategy",'RAID Log'!$1:$1,0)),"")="","",IFERROR(INDEX('RAID Log'!$1:$1048576,$B353,MATCH("Mitigation Strategy",'RAID Log'!$1:$1,0)),"")))</f>
        <v/>
      </c>
      <c r="Q353" s="88" t="str">
        <f>IF($B353="","",IF(IFERROR(INDEX('RAID Log'!$1:$1048576,$B353,MATCH("RAID Response/Plan",'RAID Log'!$1:$1,0)),"")="","",IFERROR(INDEX('RAID Log'!$1:$1048576,$B353,MATCH("RAID Response/Plan",'RAID Log'!$1:$1,0)),"")))</f>
        <v/>
      </c>
    </row>
    <row r="354" spans="1:17" ht="14.25" customHeight="1">
      <c r="A354" s="82" t="str">
        <f>IF($B354="","",IF(IFERROR(INDEX('RAID Log'!$1:$1048576,$B354,MATCH("RAID ID",'RAID Log'!$1:$1,0)),"")="","",IFERROR(INDEX('RAID Log'!$1:$1048576,$B354,MATCH("RAID ID",'RAID Log'!$1:$1,0)),"")))</f>
        <v/>
      </c>
      <c r="B354" s="83" t="str">
        <f>IFERROR(MATCH(ROW()-1,'RAID Log'!$S:$S,0),"")</f>
        <v/>
      </c>
      <c r="C354" s="84" t="str">
        <f>IF($B354="","",IF(IFERROR(INDEX('RAID Log'!$1:$1048576,$B354,MATCH("Description",'RAID Log'!$1:$1,0)),"")="","",IFERROR(INDEX('RAID Log'!$1:$1048576,$B354,MATCH("Description",'RAID Log'!$1:$1,0)),"")))</f>
        <v/>
      </c>
      <c r="D354" s="84" t="str">
        <f>IF($B354="","",IF(IFERROR(INDEX('RAID Log'!$1:$1048576,$B354,MATCH("Impact/Effect of the RAID",'RAID Log'!$1:$1,0)),"")="","",IFERROR(INDEX('RAID Log'!$1:$1048576,$B354,MATCH("Impact/Effect of the RAID",'RAID Log'!$1:$1,0)),"")))</f>
        <v/>
      </c>
      <c r="E354" s="85" t="str">
        <f>IF($B354="","",IF(IFERROR(INDEX('RAID Log'!$1:$1048576,$B354,MATCH("Impact Area",'RAID Log'!$1:$1,0)),"")="","",IFERROR(INDEX('RAID Log'!$1:$1048576,$B354,MATCH("Impact Area",'RAID Log'!$1:$1,0)),"")))</f>
        <v/>
      </c>
      <c r="F354" s="85" t="str">
        <f>IF($B354="","",IF(IFERROR(INDEX('RAID Log'!$1:$1048576,$B354,MATCH("Impact Area",'RAID Log'!$1:$1,0)),"")="","",IFERROR(INDEX('RAID Log'!$1:$1048576,$B354,MATCH("Impact Area",'RAID Log'!$1:$1,0)),"")))</f>
        <v/>
      </c>
      <c r="G354" s="85" t="str">
        <f>IF($B354="","",IF(IFERROR(INDEX('RAID Log'!$1:$1048576,$B354,MATCH("Impact Rating",'RAID Log'!$1:$1,0)),"")="","",IFERROR(INDEX('RAID Log'!$1:$1048576,$B354,MATCH("Impact Rating",'RAID Log'!$1:$1,0)),"")))</f>
        <v/>
      </c>
      <c r="H354" s="85" t="str">
        <f>IF($B354="","",IF(IFERROR(INDEX('RAID Log'!$1:$1048576,$B354,MATCH("Initial Probability",'RAID Log'!$1:$1,0)),"")="","",IFERROR(INDEX('RAID Log'!$1:$1048576,$B354,MATCH("Initial Probability",'RAID Log'!$1:$1,0)),"")))</f>
        <v/>
      </c>
      <c r="I354" s="86" t="str">
        <f t="shared" si="15"/>
        <v/>
      </c>
      <c r="J354" s="85" t="str">
        <f t="shared" si="16"/>
        <v/>
      </c>
      <c r="K354" s="86" t="str">
        <f t="shared" si="17"/>
        <v/>
      </c>
      <c r="L354" s="85" t="str">
        <f>IF($B354="","",IF(IFERROR(INDEX('RAID Log'!$1:$1048576,$B354,MATCH("Status",'RAID Log'!$1:$1,0)),"")="","",IFERROR(INDEX('RAID Log'!$1:$1048576,$B354,MATCH("Status",'RAID Log'!$1:$1,0)),"")))</f>
        <v/>
      </c>
      <c r="M354" s="85" t="str">
        <f>IF($B354="","",IF(IFERROR(INDEX('RAID Log'!$1:$1048576,$B354,MATCH("RAID Owner",'RAID Log'!$1:$1,0)),"")="","",IFERROR(INDEX('RAID Log'!$1:$1048576,$B354,MATCH("RAID Owner",'RAID Log'!$1:$1,0)),"")))</f>
        <v/>
      </c>
      <c r="N354" s="87" t="str">
        <f>IF($B354="","",IF(IFERROR(INDEX('RAID Log'!$1:$1048576,$B354,MATCH("Date Raised",'RAID Log'!$1:$1,0)),"")="","",IFERROR(INDEX('RAID Log'!$1:$1048576,$B354,MATCH("Date Raised",'RAID Log'!$1:$1,0)),"")))</f>
        <v/>
      </c>
      <c r="O354" s="87" t="str">
        <f>IF($B354="","",IF(IFERROR(INDEX('RAID Log'!$1:$1048576,$B354,MATCH("Closed Date",'RAID Log'!$1:$1,0)),"")="","",IFERROR(INDEX('RAID Log'!$1:$1048576,$B354,MATCH("Closed Date",'RAID Log'!$1:$1,0)),"")))</f>
        <v/>
      </c>
      <c r="P354" s="85" t="str">
        <f>IF($B354="","",IF(IFERROR(INDEX('RAID Log'!$1:$1048576,$B354,MATCH("Mitigation Strategy",'RAID Log'!$1:$1,0)),"")="","",IFERROR(INDEX('RAID Log'!$1:$1048576,$B354,MATCH("Mitigation Strategy",'RAID Log'!$1:$1,0)),"")))</f>
        <v/>
      </c>
      <c r="Q354" s="88" t="str">
        <f>IF($B354="","",IF(IFERROR(INDEX('RAID Log'!$1:$1048576,$B354,MATCH("RAID Response/Plan",'RAID Log'!$1:$1,0)),"")="","",IFERROR(INDEX('RAID Log'!$1:$1048576,$B354,MATCH("RAID Response/Plan",'RAID Log'!$1:$1,0)),"")))</f>
        <v/>
      </c>
    </row>
    <row r="355" spans="1:17" ht="14.25" customHeight="1">
      <c r="A355" s="82" t="str">
        <f>IF($B355="","",IF(IFERROR(INDEX('RAID Log'!$1:$1048576,$B355,MATCH("RAID ID",'RAID Log'!$1:$1,0)),"")="","",IFERROR(INDEX('RAID Log'!$1:$1048576,$B355,MATCH("RAID ID",'RAID Log'!$1:$1,0)),"")))</f>
        <v/>
      </c>
      <c r="B355" s="83" t="str">
        <f>IFERROR(MATCH(ROW()-1,'RAID Log'!$S:$S,0),"")</f>
        <v/>
      </c>
      <c r="C355" s="84" t="str">
        <f>IF($B355="","",IF(IFERROR(INDEX('RAID Log'!$1:$1048576,$B355,MATCH("Description",'RAID Log'!$1:$1,0)),"")="","",IFERROR(INDEX('RAID Log'!$1:$1048576,$B355,MATCH("Description",'RAID Log'!$1:$1,0)),"")))</f>
        <v/>
      </c>
      <c r="D355" s="84" t="str">
        <f>IF($B355="","",IF(IFERROR(INDEX('RAID Log'!$1:$1048576,$B355,MATCH("Impact/Effect of the RAID",'RAID Log'!$1:$1,0)),"")="","",IFERROR(INDEX('RAID Log'!$1:$1048576,$B355,MATCH("Impact/Effect of the RAID",'RAID Log'!$1:$1,0)),"")))</f>
        <v/>
      </c>
      <c r="E355" s="85" t="str">
        <f>IF($B355="","",IF(IFERROR(INDEX('RAID Log'!$1:$1048576,$B355,MATCH("Impact Area",'RAID Log'!$1:$1,0)),"")="","",IFERROR(INDEX('RAID Log'!$1:$1048576,$B355,MATCH("Impact Area",'RAID Log'!$1:$1,0)),"")))</f>
        <v/>
      </c>
      <c r="F355" s="85" t="str">
        <f>IF($B355="","",IF(IFERROR(INDEX('RAID Log'!$1:$1048576,$B355,MATCH("Impact Area",'RAID Log'!$1:$1,0)),"")="","",IFERROR(INDEX('RAID Log'!$1:$1048576,$B355,MATCH("Impact Area",'RAID Log'!$1:$1,0)),"")))</f>
        <v/>
      </c>
      <c r="G355" s="85" t="str">
        <f>IF($B355="","",IF(IFERROR(INDEX('RAID Log'!$1:$1048576,$B355,MATCH("Impact Rating",'RAID Log'!$1:$1,0)),"")="","",IFERROR(INDEX('RAID Log'!$1:$1048576,$B355,MATCH("Impact Rating",'RAID Log'!$1:$1,0)),"")))</f>
        <v/>
      </c>
      <c r="H355" s="85" t="str">
        <f>IF($B355="","",IF(IFERROR(INDEX('RAID Log'!$1:$1048576,$B355,MATCH("Initial Probability",'RAID Log'!$1:$1,0)),"")="","",IFERROR(INDEX('RAID Log'!$1:$1048576,$B355,MATCH("Initial Probability",'RAID Log'!$1:$1,0)),"")))</f>
        <v/>
      </c>
      <c r="I355" s="86" t="str">
        <f t="shared" si="15"/>
        <v/>
      </c>
      <c r="J355" s="85" t="str">
        <f t="shared" si="16"/>
        <v/>
      </c>
      <c r="K355" s="86" t="str">
        <f t="shared" si="17"/>
        <v/>
      </c>
      <c r="L355" s="85" t="str">
        <f>IF($B355="","",IF(IFERROR(INDEX('RAID Log'!$1:$1048576,$B355,MATCH("Status",'RAID Log'!$1:$1,0)),"")="","",IFERROR(INDEX('RAID Log'!$1:$1048576,$B355,MATCH("Status",'RAID Log'!$1:$1,0)),"")))</f>
        <v/>
      </c>
      <c r="M355" s="85" t="str">
        <f>IF($B355="","",IF(IFERROR(INDEX('RAID Log'!$1:$1048576,$B355,MATCH("RAID Owner",'RAID Log'!$1:$1,0)),"")="","",IFERROR(INDEX('RAID Log'!$1:$1048576,$B355,MATCH("RAID Owner",'RAID Log'!$1:$1,0)),"")))</f>
        <v/>
      </c>
      <c r="N355" s="87" t="str">
        <f>IF($B355="","",IF(IFERROR(INDEX('RAID Log'!$1:$1048576,$B355,MATCH("Date Raised",'RAID Log'!$1:$1,0)),"")="","",IFERROR(INDEX('RAID Log'!$1:$1048576,$B355,MATCH("Date Raised",'RAID Log'!$1:$1,0)),"")))</f>
        <v/>
      </c>
      <c r="O355" s="87" t="str">
        <f>IF($B355="","",IF(IFERROR(INDEX('RAID Log'!$1:$1048576,$B355,MATCH("Closed Date",'RAID Log'!$1:$1,0)),"")="","",IFERROR(INDEX('RAID Log'!$1:$1048576,$B355,MATCH("Closed Date",'RAID Log'!$1:$1,0)),"")))</f>
        <v/>
      </c>
      <c r="P355" s="85" t="str">
        <f>IF($B355="","",IF(IFERROR(INDEX('RAID Log'!$1:$1048576,$B355,MATCH("Mitigation Strategy",'RAID Log'!$1:$1,0)),"")="","",IFERROR(INDEX('RAID Log'!$1:$1048576,$B355,MATCH("Mitigation Strategy",'RAID Log'!$1:$1,0)),"")))</f>
        <v/>
      </c>
      <c r="Q355" s="88" t="str">
        <f>IF($B355="","",IF(IFERROR(INDEX('RAID Log'!$1:$1048576,$B355,MATCH("RAID Response/Plan",'RAID Log'!$1:$1,0)),"")="","",IFERROR(INDEX('RAID Log'!$1:$1048576,$B355,MATCH("RAID Response/Plan",'RAID Log'!$1:$1,0)),"")))</f>
        <v/>
      </c>
    </row>
    <row r="356" spans="1:17" ht="14.25" customHeight="1">
      <c r="A356" s="82" t="str">
        <f>IF($B356="","",IF(IFERROR(INDEX('RAID Log'!$1:$1048576,$B356,MATCH("RAID ID",'RAID Log'!$1:$1,0)),"")="","",IFERROR(INDEX('RAID Log'!$1:$1048576,$B356,MATCH("RAID ID",'RAID Log'!$1:$1,0)),"")))</f>
        <v/>
      </c>
      <c r="B356" s="83" t="str">
        <f>IFERROR(MATCH(ROW()-1,'RAID Log'!$S:$S,0),"")</f>
        <v/>
      </c>
      <c r="C356" s="84" t="str">
        <f>IF($B356="","",IF(IFERROR(INDEX('RAID Log'!$1:$1048576,$B356,MATCH("Description",'RAID Log'!$1:$1,0)),"")="","",IFERROR(INDEX('RAID Log'!$1:$1048576,$B356,MATCH("Description",'RAID Log'!$1:$1,0)),"")))</f>
        <v/>
      </c>
      <c r="D356" s="84" t="str">
        <f>IF($B356="","",IF(IFERROR(INDEX('RAID Log'!$1:$1048576,$B356,MATCH("Impact/Effect of the RAID",'RAID Log'!$1:$1,0)),"")="","",IFERROR(INDEX('RAID Log'!$1:$1048576,$B356,MATCH("Impact/Effect of the RAID",'RAID Log'!$1:$1,0)),"")))</f>
        <v/>
      </c>
      <c r="E356" s="85" t="str">
        <f>IF($B356="","",IF(IFERROR(INDEX('RAID Log'!$1:$1048576,$B356,MATCH("Impact Area",'RAID Log'!$1:$1,0)),"")="","",IFERROR(INDEX('RAID Log'!$1:$1048576,$B356,MATCH("Impact Area",'RAID Log'!$1:$1,0)),"")))</f>
        <v/>
      </c>
      <c r="F356" s="85" t="str">
        <f>IF($B356="","",IF(IFERROR(INDEX('RAID Log'!$1:$1048576,$B356,MATCH("Impact Area",'RAID Log'!$1:$1,0)),"")="","",IFERROR(INDEX('RAID Log'!$1:$1048576,$B356,MATCH("Impact Area",'RAID Log'!$1:$1,0)),"")))</f>
        <v/>
      </c>
      <c r="G356" s="85" t="str">
        <f>IF($B356="","",IF(IFERROR(INDEX('RAID Log'!$1:$1048576,$B356,MATCH("Impact Rating",'RAID Log'!$1:$1,0)),"")="","",IFERROR(INDEX('RAID Log'!$1:$1048576,$B356,MATCH("Impact Rating",'RAID Log'!$1:$1,0)),"")))</f>
        <v/>
      </c>
      <c r="H356" s="85" t="str">
        <f>IF($B356="","",IF(IFERROR(INDEX('RAID Log'!$1:$1048576,$B356,MATCH("Initial Probability",'RAID Log'!$1:$1,0)),"")="","",IFERROR(INDEX('RAID Log'!$1:$1048576,$B356,MATCH("Initial Probability",'RAID Log'!$1:$1,0)),"")))</f>
        <v/>
      </c>
      <c r="I356" s="86" t="str">
        <f t="shared" si="15"/>
        <v/>
      </c>
      <c r="J356" s="85" t="str">
        <f t="shared" si="16"/>
        <v/>
      </c>
      <c r="K356" s="86" t="str">
        <f t="shared" si="17"/>
        <v/>
      </c>
      <c r="L356" s="85" t="str">
        <f>IF($B356="","",IF(IFERROR(INDEX('RAID Log'!$1:$1048576,$B356,MATCH("Status",'RAID Log'!$1:$1,0)),"")="","",IFERROR(INDEX('RAID Log'!$1:$1048576,$B356,MATCH("Status",'RAID Log'!$1:$1,0)),"")))</f>
        <v/>
      </c>
      <c r="M356" s="85" t="str">
        <f>IF($B356="","",IF(IFERROR(INDEX('RAID Log'!$1:$1048576,$B356,MATCH("RAID Owner",'RAID Log'!$1:$1,0)),"")="","",IFERROR(INDEX('RAID Log'!$1:$1048576,$B356,MATCH("RAID Owner",'RAID Log'!$1:$1,0)),"")))</f>
        <v/>
      </c>
      <c r="N356" s="87" t="str">
        <f>IF($B356="","",IF(IFERROR(INDEX('RAID Log'!$1:$1048576,$B356,MATCH("Date Raised",'RAID Log'!$1:$1,0)),"")="","",IFERROR(INDEX('RAID Log'!$1:$1048576,$B356,MATCH("Date Raised",'RAID Log'!$1:$1,0)),"")))</f>
        <v/>
      </c>
      <c r="O356" s="87" t="str">
        <f>IF($B356="","",IF(IFERROR(INDEX('RAID Log'!$1:$1048576,$B356,MATCH("Closed Date",'RAID Log'!$1:$1,0)),"")="","",IFERROR(INDEX('RAID Log'!$1:$1048576,$B356,MATCH("Closed Date",'RAID Log'!$1:$1,0)),"")))</f>
        <v/>
      </c>
      <c r="P356" s="85" t="str">
        <f>IF($B356="","",IF(IFERROR(INDEX('RAID Log'!$1:$1048576,$B356,MATCH("Mitigation Strategy",'RAID Log'!$1:$1,0)),"")="","",IFERROR(INDEX('RAID Log'!$1:$1048576,$B356,MATCH("Mitigation Strategy",'RAID Log'!$1:$1,0)),"")))</f>
        <v/>
      </c>
      <c r="Q356" s="88" t="str">
        <f>IF($B356="","",IF(IFERROR(INDEX('RAID Log'!$1:$1048576,$B356,MATCH("RAID Response/Plan",'RAID Log'!$1:$1,0)),"")="","",IFERROR(INDEX('RAID Log'!$1:$1048576,$B356,MATCH("RAID Response/Plan",'RAID Log'!$1:$1,0)),"")))</f>
        <v/>
      </c>
    </row>
    <row r="357" spans="1:17" ht="14.25" customHeight="1">
      <c r="A357" s="82" t="str">
        <f>IF($B357="","",IF(IFERROR(INDEX('RAID Log'!$1:$1048576,$B357,MATCH("RAID ID",'RAID Log'!$1:$1,0)),"")="","",IFERROR(INDEX('RAID Log'!$1:$1048576,$B357,MATCH("RAID ID",'RAID Log'!$1:$1,0)),"")))</f>
        <v/>
      </c>
      <c r="B357" s="83" t="str">
        <f>IFERROR(MATCH(ROW()-1,'RAID Log'!$S:$S,0),"")</f>
        <v/>
      </c>
      <c r="C357" s="84" t="str">
        <f>IF($B357="","",IF(IFERROR(INDEX('RAID Log'!$1:$1048576,$B357,MATCH("Description",'RAID Log'!$1:$1,0)),"")="","",IFERROR(INDEX('RAID Log'!$1:$1048576,$B357,MATCH("Description",'RAID Log'!$1:$1,0)),"")))</f>
        <v/>
      </c>
      <c r="D357" s="84" t="str">
        <f>IF($B357="","",IF(IFERROR(INDEX('RAID Log'!$1:$1048576,$B357,MATCH("Impact/Effect of the RAID",'RAID Log'!$1:$1,0)),"")="","",IFERROR(INDEX('RAID Log'!$1:$1048576,$B357,MATCH("Impact/Effect of the RAID",'RAID Log'!$1:$1,0)),"")))</f>
        <v/>
      </c>
      <c r="E357" s="85" t="str">
        <f>IF($B357="","",IF(IFERROR(INDEX('RAID Log'!$1:$1048576,$B357,MATCH("Impact Area",'RAID Log'!$1:$1,0)),"")="","",IFERROR(INDEX('RAID Log'!$1:$1048576,$B357,MATCH("Impact Area",'RAID Log'!$1:$1,0)),"")))</f>
        <v/>
      </c>
      <c r="F357" s="85" t="str">
        <f>IF($B357="","",IF(IFERROR(INDEX('RAID Log'!$1:$1048576,$B357,MATCH("Impact Area",'RAID Log'!$1:$1,0)),"")="","",IFERROR(INDEX('RAID Log'!$1:$1048576,$B357,MATCH("Impact Area",'RAID Log'!$1:$1,0)),"")))</f>
        <v/>
      </c>
      <c r="G357" s="85" t="str">
        <f>IF($B357="","",IF(IFERROR(INDEX('RAID Log'!$1:$1048576,$B357,MATCH("Impact Rating",'RAID Log'!$1:$1,0)),"")="","",IFERROR(INDEX('RAID Log'!$1:$1048576,$B357,MATCH("Impact Rating",'RAID Log'!$1:$1,0)),"")))</f>
        <v/>
      </c>
      <c r="H357" s="85" t="str">
        <f>IF($B357="","",IF(IFERROR(INDEX('RAID Log'!$1:$1048576,$B357,MATCH("Initial Probability",'RAID Log'!$1:$1,0)),"")="","",IFERROR(INDEX('RAID Log'!$1:$1048576,$B357,MATCH("Initial Probability",'RAID Log'!$1:$1,0)),"")))</f>
        <v/>
      </c>
      <c r="I357" s="86" t="str">
        <f t="shared" si="15"/>
        <v/>
      </c>
      <c r="J357" s="85" t="str">
        <f t="shared" si="16"/>
        <v/>
      </c>
      <c r="K357" s="86" t="str">
        <f t="shared" si="17"/>
        <v/>
      </c>
      <c r="L357" s="85" t="str">
        <f>IF($B357="","",IF(IFERROR(INDEX('RAID Log'!$1:$1048576,$B357,MATCH("Status",'RAID Log'!$1:$1,0)),"")="","",IFERROR(INDEX('RAID Log'!$1:$1048576,$B357,MATCH("Status",'RAID Log'!$1:$1,0)),"")))</f>
        <v/>
      </c>
      <c r="M357" s="85" t="str">
        <f>IF($B357="","",IF(IFERROR(INDEX('RAID Log'!$1:$1048576,$B357,MATCH("RAID Owner",'RAID Log'!$1:$1,0)),"")="","",IFERROR(INDEX('RAID Log'!$1:$1048576,$B357,MATCH("RAID Owner",'RAID Log'!$1:$1,0)),"")))</f>
        <v/>
      </c>
      <c r="N357" s="87" t="str">
        <f>IF($B357="","",IF(IFERROR(INDEX('RAID Log'!$1:$1048576,$B357,MATCH("Date Raised",'RAID Log'!$1:$1,0)),"")="","",IFERROR(INDEX('RAID Log'!$1:$1048576,$B357,MATCH("Date Raised",'RAID Log'!$1:$1,0)),"")))</f>
        <v/>
      </c>
      <c r="O357" s="87" t="str">
        <f>IF($B357="","",IF(IFERROR(INDEX('RAID Log'!$1:$1048576,$B357,MATCH("Closed Date",'RAID Log'!$1:$1,0)),"")="","",IFERROR(INDEX('RAID Log'!$1:$1048576,$B357,MATCH("Closed Date",'RAID Log'!$1:$1,0)),"")))</f>
        <v/>
      </c>
      <c r="P357" s="85" t="str">
        <f>IF($B357="","",IF(IFERROR(INDEX('RAID Log'!$1:$1048576,$B357,MATCH("Mitigation Strategy",'RAID Log'!$1:$1,0)),"")="","",IFERROR(INDEX('RAID Log'!$1:$1048576,$B357,MATCH("Mitigation Strategy",'RAID Log'!$1:$1,0)),"")))</f>
        <v/>
      </c>
      <c r="Q357" s="88" t="str">
        <f>IF($B357="","",IF(IFERROR(INDEX('RAID Log'!$1:$1048576,$B357,MATCH("RAID Response/Plan",'RAID Log'!$1:$1,0)),"")="","",IFERROR(INDEX('RAID Log'!$1:$1048576,$B357,MATCH("RAID Response/Plan",'RAID Log'!$1:$1,0)),"")))</f>
        <v/>
      </c>
    </row>
    <row r="358" spans="1:17" ht="14.25" customHeight="1">
      <c r="A358" s="82" t="str">
        <f>IF($B358="","",IF(IFERROR(INDEX('RAID Log'!$1:$1048576,$B358,MATCH("RAID ID",'RAID Log'!$1:$1,0)),"")="","",IFERROR(INDEX('RAID Log'!$1:$1048576,$B358,MATCH("RAID ID",'RAID Log'!$1:$1,0)),"")))</f>
        <v/>
      </c>
      <c r="B358" s="83" t="str">
        <f>IFERROR(MATCH(ROW()-1,'RAID Log'!$S:$S,0),"")</f>
        <v/>
      </c>
      <c r="C358" s="84" t="str">
        <f>IF($B358="","",IF(IFERROR(INDEX('RAID Log'!$1:$1048576,$B358,MATCH("Description",'RAID Log'!$1:$1,0)),"")="","",IFERROR(INDEX('RAID Log'!$1:$1048576,$B358,MATCH("Description",'RAID Log'!$1:$1,0)),"")))</f>
        <v/>
      </c>
      <c r="D358" s="84" t="str">
        <f>IF($B358="","",IF(IFERROR(INDEX('RAID Log'!$1:$1048576,$B358,MATCH("Impact/Effect of the RAID",'RAID Log'!$1:$1,0)),"")="","",IFERROR(INDEX('RAID Log'!$1:$1048576,$B358,MATCH("Impact/Effect of the RAID",'RAID Log'!$1:$1,0)),"")))</f>
        <v/>
      </c>
      <c r="E358" s="85" t="str">
        <f>IF($B358="","",IF(IFERROR(INDEX('RAID Log'!$1:$1048576,$B358,MATCH("Impact Area",'RAID Log'!$1:$1,0)),"")="","",IFERROR(INDEX('RAID Log'!$1:$1048576,$B358,MATCH("Impact Area",'RAID Log'!$1:$1,0)),"")))</f>
        <v/>
      </c>
      <c r="F358" s="85" t="str">
        <f>IF($B358="","",IF(IFERROR(INDEX('RAID Log'!$1:$1048576,$B358,MATCH("Impact Area",'RAID Log'!$1:$1,0)),"")="","",IFERROR(INDEX('RAID Log'!$1:$1048576,$B358,MATCH("Impact Area",'RAID Log'!$1:$1,0)),"")))</f>
        <v/>
      </c>
      <c r="G358" s="85" t="str">
        <f>IF($B358="","",IF(IFERROR(INDEX('RAID Log'!$1:$1048576,$B358,MATCH("Impact Rating",'RAID Log'!$1:$1,0)),"")="","",IFERROR(INDEX('RAID Log'!$1:$1048576,$B358,MATCH("Impact Rating",'RAID Log'!$1:$1,0)),"")))</f>
        <v/>
      </c>
      <c r="H358" s="85" t="str">
        <f>IF($B358="","",IF(IFERROR(INDEX('RAID Log'!$1:$1048576,$B358,MATCH("Initial Probability",'RAID Log'!$1:$1,0)),"")="","",IFERROR(INDEX('RAID Log'!$1:$1048576,$B358,MATCH("Initial Probability",'RAID Log'!$1:$1,0)),"")))</f>
        <v/>
      </c>
      <c r="I358" s="86" t="str">
        <f t="shared" si="15"/>
        <v/>
      </c>
      <c r="J358" s="85" t="str">
        <f t="shared" si="16"/>
        <v/>
      </c>
      <c r="K358" s="86" t="str">
        <f t="shared" si="17"/>
        <v/>
      </c>
      <c r="L358" s="85" t="str">
        <f>IF($B358="","",IF(IFERROR(INDEX('RAID Log'!$1:$1048576,$B358,MATCH("Status",'RAID Log'!$1:$1,0)),"")="","",IFERROR(INDEX('RAID Log'!$1:$1048576,$B358,MATCH("Status",'RAID Log'!$1:$1,0)),"")))</f>
        <v/>
      </c>
      <c r="M358" s="85" t="str">
        <f>IF($B358="","",IF(IFERROR(INDEX('RAID Log'!$1:$1048576,$B358,MATCH("RAID Owner",'RAID Log'!$1:$1,0)),"")="","",IFERROR(INDEX('RAID Log'!$1:$1048576,$B358,MATCH("RAID Owner",'RAID Log'!$1:$1,0)),"")))</f>
        <v/>
      </c>
      <c r="N358" s="87" t="str">
        <f>IF($B358="","",IF(IFERROR(INDEX('RAID Log'!$1:$1048576,$B358,MATCH("Date Raised",'RAID Log'!$1:$1,0)),"")="","",IFERROR(INDEX('RAID Log'!$1:$1048576,$B358,MATCH("Date Raised",'RAID Log'!$1:$1,0)),"")))</f>
        <v/>
      </c>
      <c r="O358" s="87" t="str">
        <f>IF($B358="","",IF(IFERROR(INDEX('RAID Log'!$1:$1048576,$B358,MATCH("Closed Date",'RAID Log'!$1:$1,0)),"")="","",IFERROR(INDEX('RAID Log'!$1:$1048576,$B358,MATCH("Closed Date",'RAID Log'!$1:$1,0)),"")))</f>
        <v/>
      </c>
      <c r="P358" s="85" t="str">
        <f>IF($B358="","",IF(IFERROR(INDEX('RAID Log'!$1:$1048576,$B358,MATCH("Mitigation Strategy",'RAID Log'!$1:$1,0)),"")="","",IFERROR(INDEX('RAID Log'!$1:$1048576,$B358,MATCH("Mitigation Strategy",'RAID Log'!$1:$1,0)),"")))</f>
        <v/>
      </c>
      <c r="Q358" s="88" t="str">
        <f>IF($B358="","",IF(IFERROR(INDEX('RAID Log'!$1:$1048576,$B358,MATCH("RAID Response/Plan",'RAID Log'!$1:$1,0)),"")="","",IFERROR(INDEX('RAID Log'!$1:$1048576,$B358,MATCH("RAID Response/Plan",'RAID Log'!$1:$1,0)),"")))</f>
        <v/>
      </c>
    </row>
    <row r="359" spans="1:17" ht="14.25" customHeight="1">
      <c r="A359" s="82" t="str">
        <f>IF($B359="","",IF(IFERROR(INDEX('RAID Log'!$1:$1048576,$B359,MATCH("RAID ID",'RAID Log'!$1:$1,0)),"")="","",IFERROR(INDEX('RAID Log'!$1:$1048576,$B359,MATCH("RAID ID",'RAID Log'!$1:$1,0)),"")))</f>
        <v/>
      </c>
      <c r="B359" s="83" t="str">
        <f>IFERROR(MATCH(ROW()-1,'RAID Log'!$S:$S,0),"")</f>
        <v/>
      </c>
      <c r="C359" s="84" t="str">
        <f>IF($B359="","",IF(IFERROR(INDEX('RAID Log'!$1:$1048576,$B359,MATCH("Description",'RAID Log'!$1:$1,0)),"")="","",IFERROR(INDEX('RAID Log'!$1:$1048576,$B359,MATCH("Description",'RAID Log'!$1:$1,0)),"")))</f>
        <v/>
      </c>
      <c r="D359" s="84" t="str">
        <f>IF($B359="","",IF(IFERROR(INDEX('RAID Log'!$1:$1048576,$B359,MATCH("Impact/Effect of the RAID",'RAID Log'!$1:$1,0)),"")="","",IFERROR(INDEX('RAID Log'!$1:$1048576,$B359,MATCH("Impact/Effect of the RAID",'RAID Log'!$1:$1,0)),"")))</f>
        <v/>
      </c>
      <c r="E359" s="85" t="str">
        <f>IF($B359="","",IF(IFERROR(INDEX('RAID Log'!$1:$1048576,$B359,MATCH("Impact Area",'RAID Log'!$1:$1,0)),"")="","",IFERROR(INDEX('RAID Log'!$1:$1048576,$B359,MATCH("Impact Area",'RAID Log'!$1:$1,0)),"")))</f>
        <v/>
      </c>
      <c r="F359" s="85" t="str">
        <f>IF($B359="","",IF(IFERROR(INDEX('RAID Log'!$1:$1048576,$B359,MATCH("Impact Area",'RAID Log'!$1:$1,0)),"")="","",IFERROR(INDEX('RAID Log'!$1:$1048576,$B359,MATCH("Impact Area",'RAID Log'!$1:$1,0)),"")))</f>
        <v/>
      </c>
      <c r="G359" s="85" t="str">
        <f>IF($B359="","",IF(IFERROR(INDEX('RAID Log'!$1:$1048576,$B359,MATCH("Impact Rating",'RAID Log'!$1:$1,0)),"")="","",IFERROR(INDEX('RAID Log'!$1:$1048576,$B359,MATCH("Impact Rating",'RAID Log'!$1:$1,0)),"")))</f>
        <v/>
      </c>
      <c r="H359" s="85" t="str">
        <f>IF($B359="","",IF(IFERROR(INDEX('RAID Log'!$1:$1048576,$B359,MATCH("Initial Probability",'RAID Log'!$1:$1,0)),"")="","",IFERROR(INDEX('RAID Log'!$1:$1048576,$B359,MATCH("Initial Probability",'RAID Log'!$1:$1,0)),"")))</f>
        <v/>
      </c>
      <c r="I359" s="86" t="str">
        <f t="shared" si="15"/>
        <v/>
      </c>
      <c r="J359" s="85" t="str">
        <f t="shared" si="16"/>
        <v/>
      </c>
      <c r="K359" s="86" t="str">
        <f t="shared" si="17"/>
        <v/>
      </c>
      <c r="L359" s="85" t="str">
        <f>IF($B359="","",IF(IFERROR(INDEX('RAID Log'!$1:$1048576,$B359,MATCH("Status",'RAID Log'!$1:$1,0)),"")="","",IFERROR(INDEX('RAID Log'!$1:$1048576,$B359,MATCH("Status",'RAID Log'!$1:$1,0)),"")))</f>
        <v/>
      </c>
      <c r="M359" s="85" t="str">
        <f>IF($B359="","",IF(IFERROR(INDEX('RAID Log'!$1:$1048576,$B359,MATCH("RAID Owner",'RAID Log'!$1:$1,0)),"")="","",IFERROR(INDEX('RAID Log'!$1:$1048576,$B359,MATCH("RAID Owner",'RAID Log'!$1:$1,0)),"")))</f>
        <v/>
      </c>
      <c r="N359" s="87" t="str">
        <f>IF($B359="","",IF(IFERROR(INDEX('RAID Log'!$1:$1048576,$B359,MATCH("Date Raised",'RAID Log'!$1:$1,0)),"")="","",IFERROR(INDEX('RAID Log'!$1:$1048576,$B359,MATCH("Date Raised",'RAID Log'!$1:$1,0)),"")))</f>
        <v/>
      </c>
      <c r="O359" s="87" t="str">
        <f>IF($B359="","",IF(IFERROR(INDEX('RAID Log'!$1:$1048576,$B359,MATCH("Closed Date",'RAID Log'!$1:$1,0)),"")="","",IFERROR(INDEX('RAID Log'!$1:$1048576,$B359,MATCH("Closed Date",'RAID Log'!$1:$1,0)),"")))</f>
        <v/>
      </c>
      <c r="P359" s="85" t="str">
        <f>IF($B359="","",IF(IFERROR(INDEX('RAID Log'!$1:$1048576,$B359,MATCH("Mitigation Strategy",'RAID Log'!$1:$1,0)),"")="","",IFERROR(INDEX('RAID Log'!$1:$1048576,$B359,MATCH("Mitigation Strategy",'RAID Log'!$1:$1,0)),"")))</f>
        <v/>
      </c>
      <c r="Q359" s="88" t="str">
        <f>IF($B359="","",IF(IFERROR(INDEX('RAID Log'!$1:$1048576,$B359,MATCH("RAID Response/Plan",'RAID Log'!$1:$1,0)),"")="","",IFERROR(INDEX('RAID Log'!$1:$1048576,$B359,MATCH("RAID Response/Plan",'RAID Log'!$1:$1,0)),"")))</f>
        <v/>
      </c>
    </row>
    <row r="360" spans="1:17" ht="14.25" customHeight="1">
      <c r="A360" s="82" t="str">
        <f>IF($B360="","",IF(IFERROR(INDEX('RAID Log'!$1:$1048576,$B360,MATCH("RAID ID",'RAID Log'!$1:$1,0)),"")="","",IFERROR(INDEX('RAID Log'!$1:$1048576,$B360,MATCH("RAID ID",'RAID Log'!$1:$1,0)),"")))</f>
        <v/>
      </c>
      <c r="B360" s="83" t="str">
        <f>IFERROR(MATCH(ROW()-1,'RAID Log'!$S:$S,0),"")</f>
        <v/>
      </c>
      <c r="C360" s="84" t="str">
        <f>IF($B360="","",IF(IFERROR(INDEX('RAID Log'!$1:$1048576,$B360,MATCH("Description",'RAID Log'!$1:$1,0)),"")="","",IFERROR(INDEX('RAID Log'!$1:$1048576,$B360,MATCH("Description",'RAID Log'!$1:$1,0)),"")))</f>
        <v/>
      </c>
      <c r="D360" s="84" t="str">
        <f>IF($B360="","",IF(IFERROR(INDEX('RAID Log'!$1:$1048576,$B360,MATCH("Impact/Effect of the RAID",'RAID Log'!$1:$1,0)),"")="","",IFERROR(INDEX('RAID Log'!$1:$1048576,$B360,MATCH("Impact/Effect of the RAID",'RAID Log'!$1:$1,0)),"")))</f>
        <v/>
      </c>
      <c r="E360" s="85" t="str">
        <f>IF($B360="","",IF(IFERROR(INDEX('RAID Log'!$1:$1048576,$B360,MATCH("Impact Area",'RAID Log'!$1:$1,0)),"")="","",IFERROR(INDEX('RAID Log'!$1:$1048576,$B360,MATCH("Impact Area",'RAID Log'!$1:$1,0)),"")))</f>
        <v/>
      </c>
      <c r="F360" s="85" t="str">
        <f>IF($B360="","",IF(IFERROR(INDEX('RAID Log'!$1:$1048576,$B360,MATCH("Impact Area",'RAID Log'!$1:$1,0)),"")="","",IFERROR(INDEX('RAID Log'!$1:$1048576,$B360,MATCH("Impact Area",'RAID Log'!$1:$1,0)),"")))</f>
        <v/>
      </c>
      <c r="G360" s="85" t="str">
        <f>IF($B360="","",IF(IFERROR(INDEX('RAID Log'!$1:$1048576,$B360,MATCH("Impact Rating",'RAID Log'!$1:$1,0)),"")="","",IFERROR(INDEX('RAID Log'!$1:$1048576,$B360,MATCH("Impact Rating",'RAID Log'!$1:$1,0)),"")))</f>
        <v/>
      </c>
      <c r="H360" s="85" t="str">
        <f>IF($B360="","",IF(IFERROR(INDEX('RAID Log'!$1:$1048576,$B360,MATCH("Initial Probability",'RAID Log'!$1:$1,0)),"")="","",IFERROR(INDEX('RAID Log'!$1:$1048576,$B360,MATCH("Initial Probability",'RAID Log'!$1:$1,0)),"")))</f>
        <v/>
      </c>
      <c r="I360" s="86" t="str">
        <f t="shared" si="15"/>
        <v/>
      </c>
      <c r="J360" s="85" t="str">
        <f t="shared" si="16"/>
        <v/>
      </c>
      <c r="K360" s="86" t="str">
        <f t="shared" si="17"/>
        <v/>
      </c>
      <c r="L360" s="85" t="str">
        <f>IF($B360="","",IF(IFERROR(INDEX('RAID Log'!$1:$1048576,$B360,MATCH("Status",'RAID Log'!$1:$1,0)),"")="","",IFERROR(INDEX('RAID Log'!$1:$1048576,$B360,MATCH("Status",'RAID Log'!$1:$1,0)),"")))</f>
        <v/>
      </c>
      <c r="M360" s="85" t="str">
        <f>IF($B360="","",IF(IFERROR(INDEX('RAID Log'!$1:$1048576,$B360,MATCH("RAID Owner",'RAID Log'!$1:$1,0)),"")="","",IFERROR(INDEX('RAID Log'!$1:$1048576,$B360,MATCH("RAID Owner",'RAID Log'!$1:$1,0)),"")))</f>
        <v/>
      </c>
      <c r="N360" s="87" t="str">
        <f>IF($B360="","",IF(IFERROR(INDEX('RAID Log'!$1:$1048576,$B360,MATCH("Date Raised",'RAID Log'!$1:$1,0)),"")="","",IFERROR(INDEX('RAID Log'!$1:$1048576,$B360,MATCH("Date Raised",'RAID Log'!$1:$1,0)),"")))</f>
        <v/>
      </c>
      <c r="O360" s="87" t="str">
        <f>IF($B360="","",IF(IFERROR(INDEX('RAID Log'!$1:$1048576,$B360,MATCH("Closed Date",'RAID Log'!$1:$1,0)),"")="","",IFERROR(INDEX('RAID Log'!$1:$1048576,$B360,MATCH("Closed Date",'RAID Log'!$1:$1,0)),"")))</f>
        <v/>
      </c>
      <c r="P360" s="85" t="str">
        <f>IF($B360="","",IF(IFERROR(INDEX('RAID Log'!$1:$1048576,$B360,MATCH("Mitigation Strategy",'RAID Log'!$1:$1,0)),"")="","",IFERROR(INDEX('RAID Log'!$1:$1048576,$B360,MATCH("Mitigation Strategy",'RAID Log'!$1:$1,0)),"")))</f>
        <v/>
      </c>
      <c r="Q360" s="88" t="str">
        <f>IF($B360="","",IF(IFERROR(INDEX('RAID Log'!$1:$1048576,$B360,MATCH("RAID Response/Plan",'RAID Log'!$1:$1,0)),"")="","",IFERROR(INDEX('RAID Log'!$1:$1048576,$B360,MATCH("RAID Response/Plan",'RAID Log'!$1:$1,0)),"")))</f>
        <v/>
      </c>
    </row>
    <row r="361" spans="1:17" ht="14.25" customHeight="1">
      <c r="A361" s="82" t="str">
        <f>IF($B361="","",IF(IFERROR(INDEX('RAID Log'!$1:$1048576,$B361,MATCH("RAID ID",'RAID Log'!$1:$1,0)),"")="","",IFERROR(INDEX('RAID Log'!$1:$1048576,$B361,MATCH("RAID ID",'RAID Log'!$1:$1,0)),"")))</f>
        <v/>
      </c>
      <c r="B361" s="83" t="str">
        <f>IFERROR(MATCH(ROW()-1,'RAID Log'!$S:$S,0),"")</f>
        <v/>
      </c>
      <c r="C361" s="84" t="str">
        <f>IF($B361="","",IF(IFERROR(INDEX('RAID Log'!$1:$1048576,$B361,MATCH("Description",'RAID Log'!$1:$1,0)),"")="","",IFERROR(INDEX('RAID Log'!$1:$1048576,$B361,MATCH("Description",'RAID Log'!$1:$1,0)),"")))</f>
        <v/>
      </c>
      <c r="D361" s="84" t="str">
        <f>IF($B361="","",IF(IFERROR(INDEX('RAID Log'!$1:$1048576,$B361,MATCH("Impact/Effect of the RAID",'RAID Log'!$1:$1,0)),"")="","",IFERROR(INDEX('RAID Log'!$1:$1048576,$B361,MATCH("Impact/Effect of the RAID",'RAID Log'!$1:$1,0)),"")))</f>
        <v/>
      </c>
      <c r="E361" s="85" t="str">
        <f>IF($B361="","",IF(IFERROR(INDEX('RAID Log'!$1:$1048576,$B361,MATCH("Impact Area",'RAID Log'!$1:$1,0)),"")="","",IFERROR(INDEX('RAID Log'!$1:$1048576,$B361,MATCH("Impact Area",'RAID Log'!$1:$1,0)),"")))</f>
        <v/>
      </c>
      <c r="F361" s="85" t="str">
        <f>IF($B361="","",IF(IFERROR(INDEX('RAID Log'!$1:$1048576,$B361,MATCH("Impact Area",'RAID Log'!$1:$1,0)),"")="","",IFERROR(INDEX('RAID Log'!$1:$1048576,$B361,MATCH("Impact Area",'RAID Log'!$1:$1,0)),"")))</f>
        <v/>
      </c>
      <c r="G361" s="85" t="str">
        <f>IF($B361="","",IF(IFERROR(INDEX('RAID Log'!$1:$1048576,$B361,MATCH("Impact Rating",'RAID Log'!$1:$1,0)),"")="","",IFERROR(INDEX('RAID Log'!$1:$1048576,$B361,MATCH("Impact Rating",'RAID Log'!$1:$1,0)),"")))</f>
        <v/>
      </c>
      <c r="H361" s="85" t="str">
        <f>IF($B361="","",IF(IFERROR(INDEX('RAID Log'!$1:$1048576,$B361,MATCH("Initial Probability",'RAID Log'!$1:$1,0)),"")="","",IFERROR(INDEX('RAID Log'!$1:$1048576,$B361,MATCH("Initial Probability",'RAID Log'!$1:$1,0)),"")))</f>
        <v/>
      </c>
      <c r="I361" s="86" t="str">
        <f t="shared" si="15"/>
        <v/>
      </c>
      <c r="J361" s="85" t="str">
        <f t="shared" si="16"/>
        <v/>
      </c>
      <c r="K361" s="86" t="str">
        <f t="shared" si="17"/>
        <v/>
      </c>
      <c r="L361" s="85" t="str">
        <f>IF($B361="","",IF(IFERROR(INDEX('RAID Log'!$1:$1048576,$B361,MATCH("Status",'RAID Log'!$1:$1,0)),"")="","",IFERROR(INDEX('RAID Log'!$1:$1048576,$B361,MATCH("Status",'RAID Log'!$1:$1,0)),"")))</f>
        <v/>
      </c>
      <c r="M361" s="85" t="str">
        <f>IF($B361="","",IF(IFERROR(INDEX('RAID Log'!$1:$1048576,$B361,MATCH("RAID Owner",'RAID Log'!$1:$1,0)),"")="","",IFERROR(INDEX('RAID Log'!$1:$1048576,$B361,MATCH("RAID Owner",'RAID Log'!$1:$1,0)),"")))</f>
        <v/>
      </c>
      <c r="N361" s="87" t="str">
        <f>IF($B361="","",IF(IFERROR(INDEX('RAID Log'!$1:$1048576,$B361,MATCH("Date Raised",'RAID Log'!$1:$1,0)),"")="","",IFERROR(INDEX('RAID Log'!$1:$1048576,$B361,MATCH("Date Raised",'RAID Log'!$1:$1,0)),"")))</f>
        <v/>
      </c>
      <c r="O361" s="87" t="str">
        <f>IF($B361="","",IF(IFERROR(INDEX('RAID Log'!$1:$1048576,$B361,MATCH("Closed Date",'RAID Log'!$1:$1,0)),"")="","",IFERROR(INDEX('RAID Log'!$1:$1048576,$B361,MATCH("Closed Date",'RAID Log'!$1:$1,0)),"")))</f>
        <v/>
      </c>
      <c r="P361" s="85" t="str">
        <f>IF($B361="","",IF(IFERROR(INDEX('RAID Log'!$1:$1048576,$B361,MATCH("Mitigation Strategy",'RAID Log'!$1:$1,0)),"")="","",IFERROR(INDEX('RAID Log'!$1:$1048576,$B361,MATCH("Mitigation Strategy",'RAID Log'!$1:$1,0)),"")))</f>
        <v/>
      </c>
      <c r="Q361" s="88" t="str">
        <f>IF($B361="","",IF(IFERROR(INDEX('RAID Log'!$1:$1048576,$B361,MATCH("RAID Response/Plan",'RAID Log'!$1:$1,0)),"")="","",IFERROR(INDEX('RAID Log'!$1:$1048576,$B361,MATCH("RAID Response/Plan",'RAID Log'!$1:$1,0)),"")))</f>
        <v/>
      </c>
    </row>
    <row r="362" spans="1:17" ht="14.25" customHeight="1">
      <c r="A362" s="82" t="str">
        <f>IF($B362="","",IF(IFERROR(INDEX('RAID Log'!$1:$1048576,$B362,MATCH("RAID ID",'RAID Log'!$1:$1,0)),"")="","",IFERROR(INDEX('RAID Log'!$1:$1048576,$B362,MATCH("RAID ID",'RAID Log'!$1:$1,0)),"")))</f>
        <v/>
      </c>
      <c r="B362" s="83" t="str">
        <f>IFERROR(MATCH(ROW()-1,'RAID Log'!$S:$S,0),"")</f>
        <v/>
      </c>
      <c r="C362" s="84" t="str">
        <f>IF($B362="","",IF(IFERROR(INDEX('RAID Log'!$1:$1048576,$B362,MATCH("Description",'RAID Log'!$1:$1,0)),"")="","",IFERROR(INDEX('RAID Log'!$1:$1048576,$B362,MATCH("Description",'RAID Log'!$1:$1,0)),"")))</f>
        <v/>
      </c>
      <c r="D362" s="84" t="str">
        <f>IF($B362="","",IF(IFERROR(INDEX('RAID Log'!$1:$1048576,$B362,MATCH("Impact/Effect of the RAID",'RAID Log'!$1:$1,0)),"")="","",IFERROR(INDEX('RAID Log'!$1:$1048576,$B362,MATCH("Impact/Effect of the RAID",'RAID Log'!$1:$1,0)),"")))</f>
        <v/>
      </c>
      <c r="E362" s="85" t="str">
        <f>IF($B362="","",IF(IFERROR(INDEX('RAID Log'!$1:$1048576,$B362,MATCH("Impact Area",'RAID Log'!$1:$1,0)),"")="","",IFERROR(INDEX('RAID Log'!$1:$1048576,$B362,MATCH("Impact Area",'RAID Log'!$1:$1,0)),"")))</f>
        <v/>
      </c>
      <c r="F362" s="85" t="str">
        <f>IF($B362="","",IF(IFERROR(INDEX('RAID Log'!$1:$1048576,$B362,MATCH("Impact Area",'RAID Log'!$1:$1,0)),"")="","",IFERROR(INDEX('RAID Log'!$1:$1048576,$B362,MATCH("Impact Area",'RAID Log'!$1:$1,0)),"")))</f>
        <v/>
      </c>
      <c r="G362" s="85" t="str">
        <f>IF($B362="","",IF(IFERROR(INDEX('RAID Log'!$1:$1048576,$B362,MATCH("Impact Rating",'RAID Log'!$1:$1,0)),"")="","",IFERROR(INDEX('RAID Log'!$1:$1048576,$B362,MATCH("Impact Rating",'RAID Log'!$1:$1,0)),"")))</f>
        <v/>
      </c>
      <c r="H362" s="85" t="str">
        <f>IF($B362="","",IF(IFERROR(INDEX('RAID Log'!$1:$1048576,$B362,MATCH("Initial Probability",'RAID Log'!$1:$1,0)),"")="","",IFERROR(INDEX('RAID Log'!$1:$1048576,$B362,MATCH("Initial Probability",'RAID Log'!$1:$1,0)),"")))</f>
        <v/>
      </c>
      <c r="I362" s="86" t="str">
        <f t="shared" si="15"/>
        <v/>
      </c>
      <c r="J362" s="85" t="str">
        <f t="shared" si="16"/>
        <v/>
      </c>
      <c r="K362" s="86" t="str">
        <f t="shared" si="17"/>
        <v/>
      </c>
      <c r="L362" s="85" t="str">
        <f>IF($B362="","",IF(IFERROR(INDEX('RAID Log'!$1:$1048576,$B362,MATCH("Status",'RAID Log'!$1:$1,0)),"")="","",IFERROR(INDEX('RAID Log'!$1:$1048576,$B362,MATCH("Status",'RAID Log'!$1:$1,0)),"")))</f>
        <v/>
      </c>
      <c r="M362" s="85" t="str">
        <f>IF($B362="","",IF(IFERROR(INDEX('RAID Log'!$1:$1048576,$B362,MATCH("RAID Owner",'RAID Log'!$1:$1,0)),"")="","",IFERROR(INDEX('RAID Log'!$1:$1048576,$B362,MATCH("RAID Owner",'RAID Log'!$1:$1,0)),"")))</f>
        <v/>
      </c>
      <c r="N362" s="87" t="str">
        <f>IF($B362="","",IF(IFERROR(INDEX('RAID Log'!$1:$1048576,$B362,MATCH("Date Raised",'RAID Log'!$1:$1,0)),"")="","",IFERROR(INDEX('RAID Log'!$1:$1048576,$B362,MATCH("Date Raised",'RAID Log'!$1:$1,0)),"")))</f>
        <v/>
      </c>
      <c r="O362" s="87" t="str">
        <f>IF($B362="","",IF(IFERROR(INDEX('RAID Log'!$1:$1048576,$B362,MATCH("Closed Date",'RAID Log'!$1:$1,0)),"")="","",IFERROR(INDEX('RAID Log'!$1:$1048576,$B362,MATCH("Closed Date",'RAID Log'!$1:$1,0)),"")))</f>
        <v/>
      </c>
      <c r="P362" s="85" t="str">
        <f>IF($B362="","",IF(IFERROR(INDEX('RAID Log'!$1:$1048576,$B362,MATCH("Mitigation Strategy",'RAID Log'!$1:$1,0)),"")="","",IFERROR(INDEX('RAID Log'!$1:$1048576,$B362,MATCH("Mitigation Strategy",'RAID Log'!$1:$1,0)),"")))</f>
        <v/>
      </c>
      <c r="Q362" s="88" t="str">
        <f>IF($B362="","",IF(IFERROR(INDEX('RAID Log'!$1:$1048576,$B362,MATCH("RAID Response/Plan",'RAID Log'!$1:$1,0)),"")="","",IFERROR(INDEX('RAID Log'!$1:$1048576,$B362,MATCH("RAID Response/Plan",'RAID Log'!$1:$1,0)),"")))</f>
        <v/>
      </c>
    </row>
    <row r="363" spans="1:17" ht="14.25" customHeight="1">
      <c r="A363" s="82" t="str">
        <f>IF($B363="","",IF(IFERROR(INDEX('RAID Log'!$1:$1048576,$B363,MATCH("RAID ID",'RAID Log'!$1:$1,0)),"")="","",IFERROR(INDEX('RAID Log'!$1:$1048576,$B363,MATCH("RAID ID",'RAID Log'!$1:$1,0)),"")))</f>
        <v/>
      </c>
      <c r="B363" s="83" t="str">
        <f>IFERROR(MATCH(ROW()-1,'RAID Log'!$S:$S,0),"")</f>
        <v/>
      </c>
      <c r="C363" s="84" t="str">
        <f>IF($B363="","",IF(IFERROR(INDEX('RAID Log'!$1:$1048576,$B363,MATCH("Description",'RAID Log'!$1:$1,0)),"")="","",IFERROR(INDEX('RAID Log'!$1:$1048576,$B363,MATCH("Description",'RAID Log'!$1:$1,0)),"")))</f>
        <v/>
      </c>
      <c r="D363" s="84" t="str">
        <f>IF($B363="","",IF(IFERROR(INDEX('RAID Log'!$1:$1048576,$B363,MATCH("Impact/Effect of the RAID",'RAID Log'!$1:$1,0)),"")="","",IFERROR(INDEX('RAID Log'!$1:$1048576,$B363,MATCH("Impact/Effect of the RAID",'RAID Log'!$1:$1,0)),"")))</f>
        <v/>
      </c>
      <c r="E363" s="85" t="str">
        <f>IF($B363="","",IF(IFERROR(INDEX('RAID Log'!$1:$1048576,$B363,MATCH("Impact Area",'RAID Log'!$1:$1,0)),"")="","",IFERROR(INDEX('RAID Log'!$1:$1048576,$B363,MATCH("Impact Area",'RAID Log'!$1:$1,0)),"")))</f>
        <v/>
      </c>
      <c r="F363" s="85" t="str">
        <f>IF($B363="","",IF(IFERROR(INDEX('RAID Log'!$1:$1048576,$B363,MATCH("Impact Area",'RAID Log'!$1:$1,0)),"")="","",IFERROR(INDEX('RAID Log'!$1:$1048576,$B363,MATCH("Impact Area",'RAID Log'!$1:$1,0)),"")))</f>
        <v/>
      </c>
      <c r="G363" s="85" t="str">
        <f>IF($B363="","",IF(IFERROR(INDEX('RAID Log'!$1:$1048576,$B363,MATCH("Impact Rating",'RAID Log'!$1:$1,0)),"")="","",IFERROR(INDEX('RAID Log'!$1:$1048576,$B363,MATCH("Impact Rating",'RAID Log'!$1:$1,0)),"")))</f>
        <v/>
      </c>
      <c r="H363" s="85" t="str">
        <f>IF($B363="","",IF(IFERROR(INDEX('RAID Log'!$1:$1048576,$B363,MATCH("Initial Probability",'RAID Log'!$1:$1,0)),"")="","",IFERROR(INDEX('RAID Log'!$1:$1048576,$B363,MATCH("Initial Probability",'RAID Log'!$1:$1,0)),"")))</f>
        <v/>
      </c>
      <c r="I363" s="86" t="str">
        <f t="shared" si="15"/>
        <v/>
      </c>
      <c r="J363" s="85" t="str">
        <f t="shared" si="16"/>
        <v/>
      </c>
      <c r="K363" s="86" t="str">
        <f t="shared" si="17"/>
        <v/>
      </c>
      <c r="L363" s="85" t="str">
        <f>IF($B363="","",IF(IFERROR(INDEX('RAID Log'!$1:$1048576,$B363,MATCH("Status",'RAID Log'!$1:$1,0)),"")="","",IFERROR(INDEX('RAID Log'!$1:$1048576,$B363,MATCH("Status",'RAID Log'!$1:$1,0)),"")))</f>
        <v/>
      </c>
      <c r="M363" s="85" t="str">
        <f>IF($B363="","",IF(IFERROR(INDEX('RAID Log'!$1:$1048576,$B363,MATCH("RAID Owner",'RAID Log'!$1:$1,0)),"")="","",IFERROR(INDEX('RAID Log'!$1:$1048576,$B363,MATCH("RAID Owner",'RAID Log'!$1:$1,0)),"")))</f>
        <v/>
      </c>
      <c r="N363" s="87" t="str">
        <f>IF($B363="","",IF(IFERROR(INDEX('RAID Log'!$1:$1048576,$B363,MATCH("Date Raised",'RAID Log'!$1:$1,0)),"")="","",IFERROR(INDEX('RAID Log'!$1:$1048576,$B363,MATCH("Date Raised",'RAID Log'!$1:$1,0)),"")))</f>
        <v/>
      </c>
      <c r="O363" s="87" t="str">
        <f>IF($B363="","",IF(IFERROR(INDEX('RAID Log'!$1:$1048576,$B363,MATCH("Closed Date",'RAID Log'!$1:$1,0)),"")="","",IFERROR(INDEX('RAID Log'!$1:$1048576,$B363,MATCH("Closed Date",'RAID Log'!$1:$1,0)),"")))</f>
        <v/>
      </c>
      <c r="P363" s="85" t="str">
        <f>IF($B363="","",IF(IFERROR(INDEX('RAID Log'!$1:$1048576,$B363,MATCH("Mitigation Strategy",'RAID Log'!$1:$1,0)),"")="","",IFERROR(INDEX('RAID Log'!$1:$1048576,$B363,MATCH("Mitigation Strategy",'RAID Log'!$1:$1,0)),"")))</f>
        <v/>
      </c>
      <c r="Q363" s="88" t="str">
        <f>IF($B363="","",IF(IFERROR(INDEX('RAID Log'!$1:$1048576,$B363,MATCH("RAID Response/Plan",'RAID Log'!$1:$1,0)),"")="","",IFERROR(INDEX('RAID Log'!$1:$1048576,$B363,MATCH("RAID Response/Plan",'RAID Log'!$1:$1,0)),"")))</f>
        <v/>
      </c>
    </row>
    <row r="364" spans="1:17" ht="14.25" customHeight="1">
      <c r="A364" s="82" t="str">
        <f>IF($B364="","",IF(IFERROR(INDEX('RAID Log'!$1:$1048576,$B364,MATCH("RAID ID",'RAID Log'!$1:$1,0)),"")="","",IFERROR(INDEX('RAID Log'!$1:$1048576,$B364,MATCH("RAID ID",'RAID Log'!$1:$1,0)),"")))</f>
        <v/>
      </c>
      <c r="B364" s="83" t="str">
        <f>IFERROR(MATCH(ROW()-1,'RAID Log'!$S:$S,0),"")</f>
        <v/>
      </c>
      <c r="C364" s="84" t="str">
        <f>IF($B364="","",IF(IFERROR(INDEX('RAID Log'!$1:$1048576,$B364,MATCH("Description",'RAID Log'!$1:$1,0)),"")="","",IFERROR(INDEX('RAID Log'!$1:$1048576,$B364,MATCH("Description",'RAID Log'!$1:$1,0)),"")))</f>
        <v/>
      </c>
      <c r="D364" s="84" t="str">
        <f>IF($B364="","",IF(IFERROR(INDEX('RAID Log'!$1:$1048576,$B364,MATCH("Impact/Effect of the RAID",'RAID Log'!$1:$1,0)),"")="","",IFERROR(INDEX('RAID Log'!$1:$1048576,$B364,MATCH("Impact/Effect of the RAID",'RAID Log'!$1:$1,0)),"")))</f>
        <v/>
      </c>
      <c r="E364" s="85" t="str">
        <f>IF($B364="","",IF(IFERROR(INDEX('RAID Log'!$1:$1048576,$B364,MATCH("Impact Area",'RAID Log'!$1:$1,0)),"")="","",IFERROR(INDEX('RAID Log'!$1:$1048576,$B364,MATCH("Impact Area",'RAID Log'!$1:$1,0)),"")))</f>
        <v/>
      </c>
      <c r="F364" s="85" t="str">
        <f>IF($B364="","",IF(IFERROR(INDEX('RAID Log'!$1:$1048576,$B364,MATCH("Impact Area",'RAID Log'!$1:$1,0)),"")="","",IFERROR(INDEX('RAID Log'!$1:$1048576,$B364,MATCH("Impact Area",'RAID Log'!$1:$1,0)),"")))</f>
        <v/>
      </c>
      <c r="G364" s="85" t="str">
        <f>IF($B364="","",IF(IFERROR(INDEX('RAID Log'!$1:$1048576,$B364,MATCH("Impact Rating",'RAID Log'!$1:$1,0)),"")="","",IFERROR(INDEX('RAID Log'!$1:$1048576,$B364,MATCH("Impact Rating",'RAID Log'!$1:$1,0)),"")))</f>
        <v/>
      </c>
      <c r="H364" s="85" t="str">
        <f>IF($B364="","",IF(IFERROR(INDEX('RAID Log'!$1:$1048576,$B364,MATCH("Initial Probability",'RAID Log'!$1:$1,0)),"")="","",IFERROR(INDEX('RAID Log'!$1:$1048576,$B364,MATCH("Initial Probability",'RAID Log'!$1:$1,0)),"")))</f>
        <v/>
      </c>
      <c r="I364" s="86" t="str">
        <f t="shared" si="15"/>
        <v/>
      </c>
      <c r="J364" s="85" t="str">
        <f t="shared" si="16"/>
        <v/>
      </c>
      <c r="K364" s="86" t="str">
        <f t="shared" si="17"/>
        <v/>
      </c>
      <c r="L364" s="85" t="str">
        <f>IF($B364="","",IF(IFERROR(INDEX('RAID Log'!$1:$1048576,$B364,MATCH("Status",'RAID Log'!$1:$1,0)),"")="","",IFERROR(INDEX('RAID Log'!$1:$1048576,$B364,MATCH("Status",'RAID Log'!$1:$1,0)),"")))</f>
        <v/>
      </c>
      <c r="M364" s="85" t="str">
        <f>IF($B364="","",IF(IFERROR(INDEX('RAID Log'!$1:$1048576,$B364,MATCH("RAID Owner",'RAID Log'!$1:$1,0)),"")="","",IFERROR(INDEX('RAID Log'!$1:$1048576,$B364,MATCH("RAID Owner",'RAID Log'!$1:$1,0)),"")))</f>
        <v/>
      </c>
      <c r="N364" s="87" t="str">
        <f>IF($B364="","",IF(IFERROR(INDEX('RAID Log'!$1:$1048576,$B364,MATCH("Date Raised",'RAID Log'!$1:$1,0)),"")="","",IFERROR(INDEX('RAID Log'!$1:$1048576,$B364,MATCH("Date Raised",'RAID Log'!$1:$1,0)),"")))</f>
        <v/>
      </c>
      <c r="O364" s="87" t="str">
        <f>IF($B364="","",IF(IFERROR(INDEX('RAID Log'!$1:$1048576,$B364,MATCH("Closed Date",'RAID Log'!$1:$1,0)),"")="","",IFERROR(INDEX('RAID Log'!$1:$1048576,$B364,MATCH("Closed Date",'RAID Log'!$1:$1,0)),"")))</f>
        <v/>
      </c>
      <c r="P364" s="85" t="str">
        <f>IF($B364="","",IF(IFERROR(INDEX('RAID Log'!$1:$1048576,$B364,MATCH("Mitigation Strategy",'RAID Log'!$1:$1,0)),"")="","",IFERROR(INDEX('RAID Log'!$1:$1048576,$B364,MATCH("Mitigation Strategy",'RAID Log'!$1:$1,0)),"")))</f>
        <v/>
      </c>
      <c r="Q364" s="88" t="str">
        <f>IF($B364="","",IF(IFERROR(INDEX('RAID Log'!$1:$1048576,$B364,MATCH("RAID Response/Plan",'RAID Log'!$1:$1,0)),"")="","",IFERROR(INDEX('RAID Log'!$1:$1048576,$B364,MATCH("RAID Response/Plan",'RAID Log'!$1:$1,0)),"")))</f>
        <v/>
      </c>
    </row>
    <row r="365" spans="1:17" ht="14.25" customHeight="1">
      <c r="A365" s="82" t="str">
        <f>IF($B365="","",IF(IFERROR(INDEX('RAID Log'!$1:$1048576,$B365,MATCH("RAID ID",'RAID Log'!$1:$1,0)),"")="","",IFERROR(INDEX('RAID Log'!$1:$1048576,$B365,MATCH("RAID ID",'RAID Log'!$1:$1,0)),"")))</f>
        <v/>
      </c>
      <c r="B365" s="83" t="str">
        <f>IFERROR(MATCH(ROW()-1,'RAID Log'!$S:$S,0),"")</f>
        <v/>
      </c>
      <c r="C365" s="84" t="str">
        <f>IF($B365="","",IF(IFERROR(INDEX('RAID Log'!$1:$1048576,$B365,MATCH("Description",'RAID Log'!$1:$1,0)),"")="","",IFERROR(INDEX('RAID Log'!$1:$1048576,$B365,MATCH("Description",'RAID Log'!$1:$1,0)),"")))</f>
        <v/>
      </c>
      <c r="D365" s="84" t="str">
        <f>IF($B365="","",IF(IFERROR(INDEX('RAID Log'!$1:$1048576,$B365,MATCH("Impact/Effect of the RAID",'RAID Log'!$1:$1,0)),"")="","",IFERROR(INDEX('RAID Log'!$1:$1048576,$B365,MATCH("Impact/Effect of the RAID",'RAID Log'!$1:$1,0)),"")))</f>
        <v/>
      </c>
      <c r="E365" s="85" t="str">
        <f>IF($B365="","",IF(IFERROR(INDEX('RAID Log'!$1:$1048576,$B365,MATCH("Impact Area",'RAID Log'!$1:$1,0)),"")="","",IFERROR(INDEX('RAID Log'!$1:$1048576,$B365,MATCH("Impact Area",'RAID Log'!$1:$1,0)),"")))</f>
        <v/>
      </c>
      <c r="F365" s="85" t="str">
        <f>IF($B365="","",IF(IFERROR(INDEX('RAID Log'!$1:$1048576,$B365,MATCH("Impact Area",'RAID Log'!$1:$1,0)),"")="","",IFERROR(INDEX('RAID Log'!$1:$1048576,$B365,MATCH("Impact Area",'RAID Log'!$1:$1,0)),"")))</f>
        <v/>
      </c>
      <c r="G365" s="85" t="str">
        <f>IF($B365="","",IF(IFERROR(INDEX('RAID Log'!$1:$1048576,$B365,MATCH("Impact Rating",'RAID Log'!$1:$1,0)),"")="","",IFERROR(INDEX('RAID Log'!$1:$1048576,$B365,MATCH("Impact Rating",'RAID Log'!$1:$1,0)),"")))</f>
        <v/>
      </c>
      <c r="H365" s="85" t="str">
        <f>IF($B365="","",IF(IFERROR(INDEX('RAID Log'!$1:$1048576,$B365,MATCH("Initial Probability",'RAID Log'!$1:$1,0)),"")="","",IFERROR(INDEX('RAID Log'!$1:$1048576,$B365,MATCH("Initial Probability",'RAID Log'!$1:$1,0)),"")))</f>
        <v/>
      </c>
      <c r="I365" s="86" t="str">
        <f t="shared" si="15"/>
        <v/>
      </c>
      <c r="J365" s="85" t="str">
        <f t="shared" si="16"/>
        <v/>
      </c>
      <c r="K365" s="86" t="str">
        <f t="shared" si="17"/>
        <v/>
      </c>
      <c r="L365" s="85" t="str">
        <f>IF($B365="","",IF(IFERROR(INDEX('RAID Log'!$1:$1048576,$B365,MATCH("Status",'RAID Log'!$1:$1,0)),"")="","",IFERROR(INDEX('RAID Log'!$1:$1048576,$B365,MATCH("Status",'RAID Log'!$1:$1,0)),"")))</f>
        <v/>
      </c>
      <c r="M365" s="85" t="str">
        <f>IF($B365="","",IF(IFERROR(INDEX('RAID Log'!$1:$1048576,$B365,MATCH("RAID Owner",'RAID Log'!$1:$1,0)),"")="","",IFERROR(INDEX('RAID Log'!$1:$1048576,$B365,MATCH("RAID Owner",'RAID Log'!$1:$1,0)),"")))</f>
        <v/>
      </c>
      <c r="N365" s="87" t="str">
        <f>IF($B365="","",IF(IFERROR(INDEX('RAID Log'!$1:$1048576,$B365,MATCH("Date Raised",'RAID Log'!$1:$1,0)),"")="","",IFERROR(INDEX('RAID Log'!$1:$1048576,$B365,MATCH("Date Raised",'RAID Log'!$1:$1,0)),"")))</f>
        <v/>
      </c>
      <c r="O365" s="87" t="str">
        <f>IF($B365="","",IF(IFERROR(INDEX('RAID Log'!$1:$1048576,$B365,MATCH("Closed Date",'RAID Log'!$1:$1,0)),"")="","",IFERROR(INDEX('RAID Log'!$1:$1048576,$B365,MATCH("Closed Date",'RAID Log'!$1:$1,0)),"")))</f>
        <v/>
      </c>
      <c r="P365" s="85" t="str">
        <f>IF($B365="","",IF(IFERROR(INDEX('RAID Log'!$1:$1048576,$B365,MATCH("Mitigation Strategy",'RAID Log'!$1:$1,0)),"")="","",IFERROR(INDEX('RAID Log'!$1:$1048576,$B365,MATCH("Mitigation Strategy",'RAID Log'!$1:$1,0)),"")))</f>
        <v/>
      </c>
      <c r="Q365" s="88" t="str">
        <f>IF($B365="","",IF(IFERROR(INDEX('RAID Log'!$1:$1048576,$B365,MATCH("RAID Response/Plan",'RAID Log'!$1:$1,0)),"")="","",IFERROR(INDEX('RAID Log'!$1:$1048576,$B365,MATCH("RAID Response/Plan",'RAID Log'!$1:$1,0)),"")))</f>
        <v/>
      </c>
    </row>
    <row r="366" spans="1:17" ht="14.25" customHeight="1">
      <c r="A366" s="82" t="str">
        <f>IF($B366="","",IF(IFERROR(INDEX('RAID Log'!$1:$1048576,$B366,MATCH("RAID ID",'RAID Log'!$1:$1,0)),"")="","",IFERROR(INDEX('RAID Log'!$1:$1048576,$B366,MATCH("RAID ID",'RAID Log'!$1:$1,0)),"")))</f>
        <v/>
      </c>
      <c r="B366" s="83" t="str">
        <f>IFERROR(MATCH(ROW()-1,'RAID Log'!$S:$S,0),"")</f>
        <v/>
      </c>
      <c r="C366" s="84" t="str">
        <f>IF($B366="","",IF(IFERROR(INDEX('RAID Log'!$1:$1048576,$B366,MATCH("Description",'RAID Log'!$1:$1,0)),"")="","",IFERROR(INDEX('RAID Log'!$1:$1048576,$B366,MATCH("Description",'RAID Log'!$1:$1,0)),"")))</f>
        <v/>
      </c>
      <c r="D366" s="84" t="str">
        <f>IF($B366="","",IF(IFERROR(INDEX('RAID Log'!$1:$1048576,$B366,MATCH("Impact/Effect of the RAID",'RAID Log'!$1:$1,0)),"")="","",IFERROR(INDEX('RAID Log'!$1:$1048576,$B366,MATCH("Impact/Effect of the RAID",'RAID Log'!$1:$1,0)),"")))</f>
        <v/>
      </c>
      <c r="E366" s="85" t="str">
        <f>IF($B366="","",IF(IFERROR(INDEX('RAID Log'!$1:$1048576,$B366,MATCH("Impact Area",'RAID Log'!$1:$1,0)),"")="","",IFERROR(INDEX('RAID Log'!$1:$1048576,$B366,MATCH("Impact Area",'RAID Log'!$1:$1,0)),"")))</f>
        <v/>
      </c>
      <c r="F366" s="85" t="str">
        <f>IF($B366="","",IF(IFERROR(INDEX('RAID Log'!$1:$1048576,$B366,MATCH("Impact Area",'RAID Log'!$1:$1,0)),"")="","",IFERROR(INDEX('RAID Log'!$1:$1048576,$B366,MATCH("Impact Area",'RAID Log'!$1:$1,0)),"")))</f>
        <v/>
      </c>
      <c r="G366" s="85" t="str">
        <f>IF($B366="","",IF(IFERROR(INDEX('RAID Log'!$1:$1048576,$B366,MATCH("Impact Rating",'RAID Log'!$1:$1,0)),"")="","",IFERROR(INDEX('RAID Log'!$1:$1048576,$B366,MATCH("Impact Rating",'RAID Log'!$1:$1,0)),"")))</f>
        <v/>
      </c>
      <c r="H366" s="85" t="str">
        <f>IF($B366="","",IF(IFERROR(INDEX('RAID Log'!$1:$1048576,$B366,MATCH("Initial Probability",'RAID Log'!$1:$1,0)),"")="","",IFERROR(INDEX('RAID Log'!$1:$1048576,$B366,MATCH("Initial Probability",'RAID Log'!$1:$1,0)),"")))</f>
        <v/>
      </c>
      <c r="I366" s="86" t="str">
        <f t="shared" si="15"/>
        <v/>
      </c>
      <c r="J366" s="85" t="str">
        <f t="shared" si="16"/>
        <v/>
      </c>
      <c r="K366" s="86" t="str">
        <f t="shared" si="17"/>
        <v/>
      </c>
      <c r="L366" s="85" t="str">
        <f>IF($B366="","",IF(IFERROR(INDEX('RAID Log'!$1:$1048576,$B366,MATCH("Status",'RAID Log'!$1:$1,0)),"")="","",IFERROR(INDEX('RAID Log'!$1:$1048576,$B366,MATCH("Status",'RAID Log'!$1:$1,0)),"")))</f>
        <v/>
      </c>
      <c r="M366" s="85" t="str">
        <f>IF($B366="","",IF(IFERROR(INDEX('RAID Log'!$1:$1048576,$B366,MATCH("RAID Owner",'RAID Log'!$1:$1,0)),"")="","",IFERROR(INDEX('RAID Log'!$1:$1048576,$B366,MATCH("RAID Owner",'RAID Log'!$1:$1,0)),"")))</f>
        <v/>
      </c>
      <c r="N366" s="87" t="str">
        <f>IF($B366="","",IF(IFERROR(INDEX('RAID Log'!$1:$1048576,$B366,MATCH("Date Raised",'RAID Log'!$1:$1,0)),"")="","",IFERROR(INDEX('RAID Log'!$1:$1048576,$B366,MATCH("Date Raised",'RAID Log'!$1:$1,0)),"")))</f>
        <v/>
      </c>
      <c r="O366" s="87" t="str">
        <f>IF($B366="","",IF(IFERROR(INDEX('RAID Log'!$1:$1048576,$B366,MATCH("Closed Date",'RAID Log'!$1:$1,0)),"")="","",IFERROR(INDEX('RAID Log'!$1:$1048576,$B366,MATCH("Closed Date",'RAID Log'!$1:$1,0)),"")))</f>
        <v/>
      </c>
      <c r="P366" s="85" t="str">
        <f>IF($B366="","",IF(IFERROR(INDEX('RAID Log'!$1:$1048576,$B366,MATCH("Mitigation Strategy",'RAID Log'!$1:$1,0)),"")="","",IFERROR(INDEX('RAID Log'!$1:$1048576,$B366,MATCH("Mitigation Strategy",'RAID Log'!$1:$1,0)),"")))</f>
        <v/>
      </c>
      <c r="Q366" s="88" t="str">
        <f>IF($B366="","",IF(IFERROR(INDEX('RAID Log'!$1:$1048576,$B366,MATCH("RAID Response/Plan",'RAID Log'!$1:$1,0)),"")="","",IFERROR(INDEX('RAID Log'!$1:$1048576,$B366,MATCH("RAID Response/Plan",'RAID Log'!$1:$1,0)),"")))</f>
        <v/>
      </c>
    </row>
    <row r="367" spans="1:17" ht="14.25" customHeight="1">
      <c r="A367" s="82" t="str">
        <f>IF($B367="","",IF(IFERROR(INDEX('RAID Log'!$1:$1048576,$B367,MATCH("RAID ID",'RAID Log'!$1:$1,0)),"")="","",IFERROR(INDEX('RAID Log'!$1:$1048576,$B367,MATCH("RAID ID",'RAID Log'!$1:$1,0)),"")))</f>
        <v/>
      </c>
      <c r="B367" s="83" t="str">
        <f>IFERROR(MATCH(ROW()-1,'RAID Log'!$S:$S,0),"")</f>
        <v/>
      </c>
      <c r="C367" s="84" t="str">
        <f>IF($B367="","",IF(IFERROR(INDEX('RAID Log'!$1:$1048576,$B367,MATCH("Description",'RAID Log'!$1:$1,0)),"")="","",IFERROR(INDEX('RAID Log'!$1:$1048576,$B367,MATCH("Description",'RAID Log'!$1:$1,0)),"")))</f>
        <v/>
      </c>
      <c r="D367" s="84" t="str">
        <f>IF($B367="","",IF(IFERROR(INDEX('RAID Log'!$1:$1048576,$B367,MATCH("Impact/Effect of the RAID",'RAID Log'!$1:$1,0)),"")="","",IFERROR(INDEX('RAID Log'!$1:$1048576,$B367,MATCH("Impact/Effect of the RAID",'RAID Log'!$1:$1,0)),"")))</f>
        <v/>
      </c>
      <c r="E367" s="85" t="str">
        <f>IF($B367="","",IF(IFERROR(INDEX('RAID Log'!$1:$1048576,$B367,MATCH("Impact Area",'RAID Log'!$1:$1,0)),"")="","",IFERROR(INDEX('RAID Log'!$1:$1048576,$B367,MATCH("Impact Area",'RAID Log'!$1:$1,0)),"")))</f>
        <v/>
      </c>
      <c r="F367" s="85" t="str">
        <f>IF($B367="","",IF(IFERROR(INDEX('RAID Log'!$1:$1048576,$B367,MATCH("Impact Area",'RAID Log'!$1:$1,0)),"")="","",IFERROR(INDEX('RAID Log'!$1:$1048576,$B367,MATCH("Impact Area",'RAID Log'!$1:$1,0)),"")))</f>
        <v/>
      </c>
      <c r="G367" s="85" t="str">
        <f>IF($B367="","",IF(IFERROR(INDEX('RAID Log'!$1:$1048576,$B367,MATCH("Impact Rating",'RAID Log'!$1:$1,0)),"")="","",IFERROR(INDEX('RAID Log'!$1:$1048576,$B367,MATCH("Impact Rating",'RAID Log'!$1:$1,0)),"")))</f>
        <v/>
      </c>
      <c r="H367" s="85" t="str">
        <f>IF($B367="","",IF(IFERROR(INDEX('RAID Log'!$1:$1048576,$B367,MATCH("Initial Probability",'RAID Log'!$1:$1,0)),"")="","",IFERROR(INDEX('RAID Log'!$1:$1048576,$B367,MATCH("Initial Probability",'RAID Log'!$1:$1,0)),"")))</f>
        <v/>
      </c>
      <c r="I367" s="86" t="str">
        <f t="shared" si="15"/>
        <v/>
      </c>
      <c r="J367" s="85" t="str">
        <f t="shared" si="16"/>
        <v/>
      </c>
      <c r="K367" s="86" t="str">
        <f t="shared" si="17"/>
        <v/>
      </c>
      <c r="L367" s="85" t="str">
        <f>IF($B367="","",IF(IFERROR(INDEX('RAID Log'!$1:$1048576,$B367,MATCH("Status",'RAID Log'!$1:$1,0)),"")="","",IFERROR(INDEX('RAID Log'!$1:$1048576,$B367,MATCH("Status",'RAID Log'!$1:$1,0)),"")))</f>
        <v/>
      </c>
      <c r="M367" s="85" t="str">
        <f>IF($B367="","",IF(IFERROR(INDEX('RAID Log'!$1:$1048576,$B367,MATCH("RAID Owner",'RAID Log'!$1:$1,0)),"")="","",IFERROR(INDEX('RAID Log'!$1:$1048576,$B367,MATCH("RAID Owner",'RAID Log'!$1:$1,0)),"")))</f>
        <v/>
      </c>
      <c r="N367" s="87" t="str">
        <f>IF($B367="","",IF(IFERROR(INDEX('RAID Log'!$1:$1048576,$B367,MATCH("Date Raised",'RAID Log'!$1:$1,0)),"")="","",IFERROR(INDEX('RAID Log'!$1:$1048576,$B367,MATCH("Date Raised",'RAID Log'!$1:$1,0)),"")))</f>
        <v/>
      </c>
      <c r="O367" s="87" t="str">
        <f>IF($B367="","",IF(IFERROR(INDEX('RAID Log'!$1:$1048576,$B367,MATCH("Closed Date",'RAID Log'!$1:$1,0)),"")="","",IFERROR(INDEX('RAID Log'!$1:$1048576,$B367,MATCH("Closed Date",'RAID Log'!$1:$1,0)),"")))</f>
        <v/>
      </c>
      <c r="P367" s="85" t="str">
        <f>IF($B367="","",IF(IFERROR(INDEX('RAID Log'!$1:$1048576,$B367,MATCH("Mitigation Strategy",'RAID Log'!$1:$1,0)),"")="","",IFERROR(INDEX('RAID Log'!$1:$1048576,$B367,MATCH("Mitigation Strategy",'RAID Log'!$1:$1,0)),"")))</f>
        <v/>
      </c>
      <c r="Q367" s="88" t="str">
        <f>IF($B367="","",IF(IFERROR(INDEX('RAID Log'!$1:$1048576,$B367,MATCH("RAID Response/Plan",'RAID Log'!$1:$1,0)),"")="","",IFERROR(INDEX('RAID Log'!$1:$1048576,$B367,MATCH("RAID Response/Plan",'RAID Log'!$1:$1,0)),"")))</f>
        <v/>
      </c>
    </row>
    <row r="368" spans="1:17" ht="14.25" customHeight="1">
      <c r="A368" s="82" t="str">
        <f>IF($B368="","",IF(IFERROR(INDEX('RAID Log'!$1:$1048576,$B368,MATCH("RAID ID",'RAID Log'!$1:$1,0)),"")="","",IFERROR(INDEX('RAID Log'!$1:$1048576,$B368,MATCH("RAID ID",'RAID Log'!$1:$1,0)),"")))</f>
        <v/>
      </c>
      <c r="B368" s="83" t="str">
        <f>IFERROR(MATCH(ROW()-1,'RAID Log'!$S:$S,0),"")</f>
        <v/>
      </c>
      <c r="C368" s="84" t="str">
        <f>IF($B368="","",IF(IFERROR(INDEX('RAID Log'!$1:$1048576,$B368,MATCH("Description",'RAID Log'!$1:$1,0)),"")="","",IFERROR(INDEX('RAID Log'!$1:$1048576,$B368,MATCH("Description",'RAID Log'!$1:$1,0)),"")))</f>
        <v/>
      </c>
      <c r="D368" s="84" t="str">
        <f>IF($B368="","",IF(IFERROR(INDEX('RAID Log'!$1:$1048576,$B368,MATCH("Impact/Effect of the RAID",'RAID Log'!$1:$1,0)),"")="","",IFERROR(INDEX('RAID Log'!$1:$1048576,$B368,MATCH("Impact/Effect of the RAID",'RAID Log'!$1:$1,0)),"")))</f>
        <v/>
      </c>
      <c r="E368" s="85" t="str">
        <f>IF($B368="","",IF(IFERROR(INDEX('RAID Log'!$1:$1048576,$B368,MATCH("Impact Area",'RAID Log'!$1:$1,0)),"")="","",IFERROR(INDEX('RAID Log'!$1:$1048576,$B368,MATCH("Impact Area",'RAID Log'!$1:$1,0)),"")))</f>
        <v/>
      </c>
      <c r="F368" s="85" t="str">
        <f>IF($B368="","",IF(IFERROR(INDEX('RAID Log'!$1:$1048576,$B368,MATCH("Impact Area",'RAID Log'!$1:$1,0)),"")="","",IFERROR(INDEX('RAID Log'!$1:$1048576,$B368,MATCH("Impact Area",'RAID Log'!$1:$1,0)),"")))</f>
        <v/>
      </c>
      <c r="G368" s="85" t="str">
        <f>IF($B368="","",IF(IFERROR(INDEX('RAID Log'!$1:$1048576,$B368,MATCH("Impact Rating",'RAID Log'!$1:$1,0)),"")="","",IFERROR(INDEX('RAID Log'!$1:$1048576,$B368,MATCH("Impact Rating",'RAID Log'!$1:$1,0)),"")))</f>
        <v/>
      </c>
      <c r="H368" s="85" t="str">
        <f>IF($B368="","",IF(IFERROR(INDEX('RAID Log'!$1:$1048576,$B368,MATCH("Initial Probability",'RAID Log'!$1:$1,0)),"")="","",IFERROR(INDEX('RAID Log'!$1:$1048576,$B368,MATCH("Initial Probability",'RAID Log'!$1:$1,0)),"")))</f>
        <v/>
      </c>
      <c r="I368" s="86" t="str">
        <f t="shared" si="15"/>
        <v/>
      </c>
      <c r="J368" s="85" t="str">
        <f t="shared" si="16"/>
        <v/>
      </c>
      <c r="K368" s="86" t="str">
        <f t="shared" si="17"/>
        <v/>
      </c>
      <c r="L368" s="85" t="str">
        <f>IF($B368="","",IF(IFERROR(INDEX('RAID Log'!$1:$1048576,$B368,MATCH("Status",'RAID Log'!$1:$1,0)),"")="","",IFERROR(INDEX('RAID Log'!$1:$1048576,$B368,MATCH("Status",'RAID Log'!$1:$1,0)),"")))</f>
        <v/>
      </c>
      <c r="M368" s="85" t="str">
        <f>IF($B368="","",IF(IFERROR(INDEX('RAID Log'!$1:$1048576,$B368,MATCH("RAID Owner",'RAID Log'!$1:$1,0)),"")="","",IFERROR(INDEX('RAID Log'!$1:$1048576,$B368,MATCH("RAID Owner",'RAID Log'!$1:$1,0)),"")))</f>
        <v/>
      </c>
      <c r="N368" s="87" t="str">
        <f>IF($B368="","",IF(IFERROR(INDEX('RAID Log'!$1:$1048576,$B368,MATCH("Date Raised",'RAID Log'!$1:$1,0)),"")="","",IFERROR(INDEX('RAID Log'!$1:$1048576,$B368,MATCH("Date Raised",'RAID Log'!$1:$1,0)),"")))</f>
        <v/>
      </c>
      <c r="O368" s="87" t="str">
        <f>IF($B368="","",IF(IFERROR(INDEX('RAID Log'!$1:$1048576,$B368,MATCH("Closed Date",'RAID Log'!$1:$1,0)),"")="","",IFERROR(INDEX('RAID Log'!$1:$1048576,$B368,MATCH("Closed Date",'RAID Log'!$1:$1,0)),"")))</f>
        <v/>
      </c>
      <c r="P368" s="85" t="str">
        <f>IF($B368="","",IF(IFERROR(INDEX('RAID Log'!$1:$1048576,$B368,MATCH("Mitigation Strategy",'RAID Log'!$1:$1,0)),"")="","",IFERROR(INDEX('RAID Log'!$1:$1048576,$B368,MATCH("Mitigation Strategy",'RAID Log'!$1:$1,0)),"")))</f>
        <v/>
      </c>
      <c r="Q368" s="88" t="str">
        <f>IF($B368="","",IF(IFERROR(INDEX('RAID Log'!$1:$1048576,$B368,MATCH("RAID Response/Plan",'RAID Log'!$1:$1,0)),"")="","",IFERROR(INDEX('RAID Log'!$1:$1048576,$B368,MATCH("RAID Response/Plan",'RAID Log'!$1:$1,0)),"")))</f>
        <v/>
      </c>
    </row>
    <row r="369" spans="1:17" ht="14.25" customHeight="1">
      <c r="A369" s="82" t="str">
        <f>IF($B369="","",IF(IFERROR(INDEX('RAID Log'!$1:$1048576,$B369,MATCH("RAID ID",'RAID Log'!$1:$1,0)),"")="","",IFERROR(INDEX('RAID Log'!$1:$1048576,$B369,MATCH("RAID ID",'RAID Log'!$1:$1,0)),"")))</f>
        <v/>
      </c>
      <c r="B369" s="83" t="str">
        <f>IFERROR(MATCH(ROW()-1,'RAID Log'!$S:$S,0),"")</f>
        <v/>
      </c>
      <c r="C369" s="84" t="str">
        <f>IF($B369="","",IF(IFERROR(INDEX('RAID Log'!$1:$1048576,$B369,MATCH("Description",'RAID Log'!$1:$1,0)),"")="","",IFERROR(INDEX('RAID Log'!$1:$1048576,$B369,MATCH("Description",'RAID Log'!$1:$1,0)),"")))</f>
        <v/>
      </c>
      <c r="D369" s="84" t="str">
        <f>IF($B369="","",IF(IFERROR(INDEX('RAID Log'!$1:$1048576,$B369,MATCH("Impact/Effect of the RAID",'RAID Log'!$1:$1,0)),"")="","",IFERROR(INDEX('RAID Log'!$1:$1048576,$B369,MATCH("Impact/Effect of the RAID",'RAID Log'!$1:$1,0)),"")))</f>
        <v/>
      </c>
      <c r="E369" s="85" t="str">
        <f>IF($B369="","",IF(IFERROR(INDEX('RAID Log'!$1:$1048576,$B369,MATCH("Impact Area",'RAID Log'!$1:$1,0)),"")="","",IFERROR(INDEX('RAID Log'!$1:$1048576,$B369,MATCH("Impact Area",'RAID Log'!$1:$1,0)),"")))</f>
        <v/>
      </c>
      <c r="F369" s="85" t="str">
        <f>IF($B369="","",IF(IFERROR(INDEX('RAID Log'!$1:$1048576,$B369,MATCH("Impact Area",'RAID Log'!$1:$1,0)),"")="","",IFERROR(INDEX('RAID Log'!$1:$1048576,$B369,MATCH("Impact Area",'RAID Log'!$1:$1,0)),"")))</f>
        <v/>
      </c>
      <c r="G369" s="85" t="str">
        <f>IF($B369="","",IF(IFERROR(INDEX('RAID Log'!$1:$1048576,$B369,MATCH("Impact Rating",'RAID Log'!$1:$1,0)),"")="","",IFERROR(INDEX('RAID Log'!$1:$1048576,$B369,MATCH("Impact Rating",'RAID Log'!$1:$1,0)),"")))</f>
        <v/>
      </c>
      <c r="H369" s="85" t="str">
        <f>IF($B369="","",IF(IFERROR(INDEX('RAID Log'!$1:$1048576,$B369,MATCH("Initial Probability",'RAID Log'!$1:$1,0)),"")="","",IFERROR(INDEX('RAID Log'!$1:$1048576,$B369,MATCH("Initial Probability",'RAID Log'!$1:$1,0)),"")))</f>
        <v/>
      </c>
      <c r="I369" s="86" t="str">
        <f t="shared" si="15"/>
        <v/>
      </c>
      <c r="J369" s="85" t="str">
        <f t="shared" si="16"/>
        <v/>
      </c>
      <c r="K369" s="86" t="str">
        <f t="shared" si="17"/>
        <v/>
      </c>
      <c r="L369" s="85" t="str">
        <f>IF($B369="","",IF(IFERROR(INDEX('RAID Log'!$1:$1048576,$B369,MATCH("Status",'RAID Log'!$1:$1,0)),"")="","",IFERROR(INDEX('RAID Log'!$1:$1048576,$B369,MATCH("Status",'RAID Log'!$1:$1,0)),"")))</f>
        <v/>
      </c>
      <c r="M369" s="85" t="str">
        <f>IF($B369="","",IF(IFERROR(INDEX('RAID Log'!$1:$1048576,$B369,MATCH("RAID Owner",'RAID Log'!$1:$1,0)),"")="","",IFERROR(INDEX('RAID Log'!$1:$1048576,$B369,MATCH("RAID Owner",'RAID Log'!$1:$1,0)),"")))</f>
        <v/>
      </c>
      <c r="N369" s="87" t="str">
        <f>IF($B369="","",IF(IFERROR(INDEX('RAID Log'!$1:$1048576,$B369,MATCH("Date Raised",'RAID Log'!$1:$1,0)),"")="","",IFERROR(INDEX('RAID Log'!$1:$1048576,$B369,MATCH("Date Raised",'RAID Log'!$1:$1,0)),"")))</f>
        <v/>
      </c>
      <c r="O369" s="87" t="str">
        <f>IF($B369="","",IF(IFERROR(INDEX('RAID Log'!$1:$1048576,$B369,MATCH("Closed Date",'RAID Log'!$1:$1,0)),"")="","",IFERROR(INDEX('RAID Log'!$1:$1048576,$B369,MATCH("Closed Date",'RAID Log'!$1:$1,0)),"")))</f>
        <v/>
      </c>
      <c r="P369" s="85" t="str">
        <f>IF($B369="","",IF(IFERROR(INDEX('RAID Log'!$1:$1048576,$B369,MATCH("Mitigation Strategy",'RAID Log'!$1:$1,0)),"")="","",IFERROR(INDEX('RAID Log'!$1:$1048576,$B369,MATCH("Mitigation Strategy",'RAID Log'!$1:$1,0)),"")))</f>
        <v/>
      </c>
      <c r="Q369" s="88" t="str">
        <f>IF($B369="","",IF(IFERROR(INDEX('RAID Log'!$1:$1048576,$B369,MATCH("RAID Response/Plan",'RAID Log'!$1:$1,0)),"")="","",IFERROR(INDEX('RAID Log'!$1:$1048576,$B369,MATCH("RAID Response/Plan",'RAID Log'!$1:$1,0)),"")))</f>
        <v/>
      </c>
    </row>
    <row r="370" spans="1:17" ht="14.25" customHeight="1">
      <c r="A370" s="82" t="str">
        <f>IF($B370="","",IF(IFERROR(INDEX('RAID Log'!$1:$1048576,$B370,MATCH("RAID ID",'RAID Log'!$1:$1,0)),"")="","",IFERROR(INDEX('RAID Log'!$1:$1048576,$B370,MATCH("RAID ID",'RAID Log'!$1:$1,0)),"")))</f>
        <v/>
      </c>
      <c r="B370" s="83" t="str">
        <f>IFERROR(MATCH(ROW()-1,'RAID Log'!$S:$S,0),"")</f>
        <v/>
      </c>
      <c r="C370" s="84" t="str">
        <f>IF($B370="","",IF(IFERROR(INDEX('RAID Log'!$1:$1048576,$B370,MATCH("Description",'RAID Log'!$1:$1,0)),"")="","",IFERROR(INDEX('RAID Log'!$1:$1048576,$B370,MATCH("Description",'RAID Log'!$1:$1,0)),"")))</f>
        <v/>
      </c>
      <c r="D370" s="84" t="str">
        <f>IF($B370="","",IF(IFERROR(INDEX('RAID Log'!$1:$1048576,$B370,MATCH("Impact/Effect of the RAID",'RAID Log'!$1:$1,0)),"")="","",IFERROR(INDEX('RAID Log'!$1:$1048576,$B370,MATCH("Impact/Effect of the RAID",'RAID Log'!$1:$1,0)),"")))</f>
        <v/>
      </c>
      <c r="E370" s="85" t="str">
        <f>IF($B370="","",IF(IFERROR(INDEX('RAID Log'!$1:$1048576,$B370,MATCH("Impact Area",'RAID Log'!$1:$1,0)),"")="","",IFERROR(INDEX('RAID Log'!$1:$1048576,$B370,MATCH("Impact Area",'RAID Log'!$1:$1,0)),"")))</f>
        <v/>
      </c>
      <c r="F370" s="85" t="str">
        <f>IF($B370="","",IF(IFERROR(INDEX('RAID Log'!$1:$1048576,$B370,MATCH("Impact Area",'RAID Log'!$1:$1,0)),"")="","",IFERROR(INDEX('RAID Log'!$1:$1048576,$B370,MATCH("Impact Area",'RAID Log'!$1:$1,0)),"")))</f>
        <v/>
      </c>
      <c r="G370" s="85" t="str">
        <f>IF($B370="","",IF(IFERROR(INDEX('RAID Log'!$1:$1048576,$B370,MATCH("Impact Rating",'RAID Log'!$1:$1,0)),"")="","",IFERROR(INDEX('RAID Log'!$1:$1048576,$B370,MATCH("Impact Rating",'RAID Log'!$1:$1,0)),"")))</f>
        <v/>
      </c>
      <c r="H370" s="85" t="str">
        <f>IF($B370="","",IF(IFERROR(INDEX('RAID Log'!$1:$1048576,$B370,MATCH("Initial Probability",'RAID Log'!$1:$1,0)),"")="","",IFERROR(INDEX('RAID Log'!$1:$1048576,$B370,MATCH("Initial Probability",'RAID Log'!$1:$1,0)),"")))</f>
        <v/>
      </c>
      <c r="I370" s="86" t="str">
        <f t="shared" si="15"/>
        <v/>
      </c>
      <c r="J370" s="85" t="str">
        <f t="shared" si="16"/>
        <v/>
      </c>
      <c r="K370" s="86" t="str">
        <f t="shared" si="17"/>
        <v/>
      </c>
      <c r="L370" s="85" t="str">
        <f>IF($B370="","",IF(IFERROR(INDEX('RAID Log'!$1:$1048576,$B370,MATCH("Status",'RAID Log'!$1:$1,0)),"")="","",IFERROR(INDEX('RAID Log'!$1:$1048576,$B370,MATCH("Status",'RAID Log'!$1:$1,0)),"")))</f>
        <v/>
      </c>
      <c r="M370" s="85" t="str">
        <f>IF($B370="","",IF(IFERROR(INDEX('RAID Log'!$1:$1048576,$B370,MATCH("RAID Owner",'RAID Log'!$1:$1,0)),"")="","",IFERROR(INDEX('RAID Log'!$1:$1048576,$B370,MATCH("RAID Owner",'RAID Log'!$1:$1,0)),"")))</f>
        <v/>
      </c>
      <c r="N370" s="87" t="str">
        <f>IF($B370="","",IF(IFERROR(INDEX('RAID Log'!$1:$1048576,$B370,MATCH("Date Raised",'RAID Log'!$1:$1,0)),"")="","",IFERROR(INDEX('RAID Log'!$1:$1048576,$B370,MATCH("Date Raised",'RAID Log'!$1:$1,0)),"")))</f>
        <v/>
      </c>
      <c r="O370" s="87" t="str">
        <f>IF($B370="","",IF(IFERROR(INDEX('RAID Log'!$1:$1048576,$B370,MATCH("Closed Date",'RAID Log'!$1:$1,0)),"")="","",IFERROR(INDEX('RAID Log'!$1:$1048576,$B370,MATCH("Closed Date",'RAID Log'!$1:$1,0)),"")))</f>
        <v/>
      </c>
      <c r="P370" s="85" t="str">
        <f>IF($B370="","",IF(IFERROR(INDEX('RAID Log'!$1:$1048576,$B370,MATCH("Mitigation Strategy",'RAID Log'!$1:$1,0)),"")="","",IFERROR(INDEX('RAID Log'!$1:$1048576,$B370,MATCH("Mitigation Strategy",'RAID Log'!$1:$1,0)),"")))</f>
        <v/>
      </c>
      <c r="Q370" s="88" t="str">
        <f>IF($B370="","",IF(IFERROR(INDEX('RAID Log'!$1:$1048576,$B370,MATCH("RAID Response/Plan",'RAID Log'!$1:$1,0)),"")="","",IFERROR(INDEX('RAID Log'!$1:$1048576,$B370,MATCH("RAID Response/Plan",'RAID Log'!$1:$1,0)),"")))</f>
        <v/>
      </c>
    </row>
    <row r="371" spans="1:17" ht="14.25" customHeight="1">
      <c r="A371" s="82" t="str">
        <f>IF($B371="","",IF(IFERROR(INDEX('RAID Log'!$1:$1048576,$B371,MATCH("RAID ID",'RAID Log'!$1:$1,0)),"")="","",IFERROR(INDEX('RAID Log'!$1:$1048576,$B371,MATCH("RAID ID",'RAID Log'!$1:$1,0)),"")))</f>
        <v/>
      </c>
      <c r="B371" s="83" t="str">
        <f>IFERROR(MATCH(ROW()-1,'RAID Log'!$S:$S,0),"")</f>
        <v/>
      </c>
      <c r="C371" s="84" t="str">
        <f>IF($B371="","",IF(IFERROR(INDEX('RAID Log'!$1:$1048576,$B371,MATCH("Description",'RAID Log'!$1:$1,0)),"")="","",IFERROR(INDEX('RAID Log'!$1:$1048576,$B371,MATCH("Description",'RAID Log'!$1:$1,0)),"")))</f>
        <v/>
      </c>
      <c r="D371" s="84" t="str">
        <f>IF($B371="","",IF(IFERROR(INDEX('RAID Log'!$1:$1048576,$B371,MATCH("Impact/Effect of the RAID",'RAID Log'!$1:$1,0)),"")="","",IFERROR(INDEX('RAID Log'!$1:$1048576,$B371,MATCH("Impact/Effect of the RAID",'RAID Log'!$1:$1,0)),"")))</f>
        <v/>
      </c>
      <c r="E371" s="85" t="str">
        <f>IF($B371="","",IF(IFERROR(INDEX('RAID Log'!$1:$1048576,$B371,MATCH("Impact Area",'RAID Log'!$1:$1,0)),"")="","",IFERROR(INDEX('RAID Log'!$1:$1048576,$B371,MATCH("Impact Area",'RAID Log'!$1:$1,0)),"")))</f>
        <v/>
      </c>
      <c r="F371" s="85" t="str">
        <f>IF($B371="","",IF(IFERROR(INDEX('RAID Log'!$1:$1048576,$B371,MATCH("Impact Area",'RAID Log'!$1:$1,0)),"")="","",IFERROR(INDEX('RAID Log'!$1:$1048576,$B371,MATCH("Impact Area",'RAID Log'!$1:$1,0)),"")))</f>
        <v/>
      </c>
      <c r="G371" s="85" t="str">
        <f>IF($B371="","",IF(IFERROR(INDEX('RAID Log'!$1:$1048576,$B371,MATCH("Impact Rating",'RAID Log'!$1:$1,0)),"")="","",IFERROR(INDEX('RAID Log'!$1:$1048576,$B371,MATCH("Impact Rating",'RAID Log'!$1:$1,0)),"")))</f>
        <v/>
      </c>
      <c r="H371" s="85" t="str">
        <f>IF($B371="","",IF(IFERROR(INDEX('RAID Log'!$1:$1048576,$B371,MATCH("Initial Probability",'RAID Log'!$1:$1,0)),"")="","",IFERROR(INDEX('RAID Log'!$1:$1048576,$B371,MATCH("Initial Probability",'RAID Log'!$1:$1,0)),"")))</f>
        <v/>
      </c>
      <c r="I371" s="86" t="str">
        <f t="shared" si="15"/>
        <v/>
      </c>
      <c r="J371" s="85" t="str">
        <f t="shared" si="16"/>
        <v/>
      </c>
      <c r="K371" s="86" t="str">
        <f t="shared" si="17"/>
        <v/>
      </c>
      <c r="L371" s="85" t="str">
        <f>IF($B371="","",IF(IFERROR(INDEX('RAID Log'!$1:$1048576,$B371,MATCH("Status",'RAID Log'!$1:$1,0)),"")="","",IFERROR(INDEX('RAID Log'!$1:$1048576,$B371,MATCH("Status",'RAID Log'!$1:$1,0)),"")))</f>
        <v/>
      </c>
      <c r="M371" s="85" t="str">
        <f>IF($B371="","",IF(IFERROR(INDEX('RAID Log'!$1:$1048576,$B371,MATCH("RAID Owner",'RAID Log'!$1:$1,0)),"")="","",IFERROR(INDEX('RAID Log'!$1:$1048576,$B371,MATCH("RAID Owner",'RAID Log'!$1:$1,0)),"")))</f>
        <v/>
      </c>
      <c r="N371" s="87" t="str">
        <f>IF($B371="","",IF(IFERROR(INDEX('RAID Log'!$1:$1048576,$B371,MATCH("Date Raised",'RAID Log'!$1:$1,0)),"")="","",IFERROR(INDEX('RAID Log'!$1:$1048576,$B371,MATCH("Date Raised",'RAID Log'!$1:$1,0)),"")))</f>
        <v/>
      </c>
      <c r="O371" s="87" t="str">
        <f>IF($B371="","",IF(IFERROR(INDEX('RAID Log'!$1:$1048576,$B371,MATCH("Closed Date",'RAID Log'!$1:$1,0)),"")="","",IFERROR(INDEX('RAID Log'!$1:$1048576,$B371,MATCH("Closed Date",'RAID Log'!$1:$1,0)),"")))</f>
        <v/>
      </c>
      <c r="P371" s="85" t="str">
        <f>IF($B371="","",IF(IFERROR(INDEX('RAID Log'!$1:$1048576,$B371,MATCH("Mitigation Strategy",'RAID Log'!$1:$1,0)),"")="","",IFERROR(INDEX('RAID Log'!$1:$1048576,$B371,MATCH("Mitigation Strategy",'RAID Log'!$1:$1,0)),"")))</f>
        <v/>
      </c>
      <c r="Q371" s="88" t="str">
        <f>IF($B371="","",IF(IFERROR(INDEX('RAID Log'!$1:$1048576,$B371,MATCH("RAID Response/Plan",'RAID Log'!$1:$1,0)),"")="","",IFERROR(INDEX('RAID Log'!$1:$1048576,$B371,MATCH("RAID Response/Plan",'RAID Log'!$1:$1,0)),"")))</f>
        <v/>
      </c>
    </row>
    <row r="372" spans="1:17" ht="14.25" customHeight="1">
      <c r="A372" s="82" t="str">
        <f>IF($B372="","",IF(IFERROR(INDEX('RAID Log'!$1:$1048576,$B372,MATCH("RAID ID",'RAID Log'!$1:$1,0)),"")="","",IFERROR(INDEX('RAID Log'!$1:$1048576,$B372,MATCH("RAID ID",'RAID Log'!$1:$1,0)),"")))</f>
        <v/>
      </c>
      <c r="B372" s="83" t="str">
        <f>IFERROR(MATCH(ROW()-1,'RAID Log'!$S:$S,0),"")</f>
        <v/>
      </c>
      <c r="C372" s="84" t="str">
        <f>IF($B372="","",IF(IFERROR(INDEX('RAID Log'!$1:$1048576,$B372,MATCH("Description",'RAID Log'!$1:$1,0)),"")="","",IFERROR(INDEX('RAID Log'!$1:$1048576,$B372,MATCH("Description",'RAID Log'!$1:$1,0)),"")))</f>
        <v/>
      </c>
      <c r="D372" s="84" t="str">
        <f>IF($B372="","",IF(IFERROR(INDEX('RAID Log'!$1:$1048576,$B372,MATCH("Impact/Effect of the RAID",'RAID Log'!$1:$1,0)),"")="","",IFERROR(INDEX('RAID Log'!$1:$1048576,$B372,MATCH("Impact/Effect of the RAID",'RAID Log'!$1:$1,0)),"")))</f>
        <v/>
      </c>
      <c r="E372" s="85" t="str">
        <f>IF($B372="","",IF(IFERROR(INDEX('RAID Log'!$1:$1048576,$B372,MATCH("Impact Area",'RAID Log'!$1:$1,0)),"")="","",IFERROR(INDEX('RAID Log'!$1:$1048576,$B372,MATCH("Impact Area",'RAID Log'!$1:$1,0)),"")))</f>
        <v/>
      </c>
      <c r="F372" s="85" t="str">
        <f>IF($B372="","",IF(IFERROR(INDEX('RAID Log'!$1:$1048576,$B372,MATCH("Impact Area",'RAID Log'!$1:$1,0)),"")="","",IFERROR(INDEX('RAID Log'!$1:$1048576,$B372,MATCH("Impact Area",'RAID Log'!$1:$1,0)),"")))</f>
        <v/>
      </c>
      <c r="G372" s="85" t="str">
        <f>IF($B372="","",IF(IFERROR(INDEX('RAID Log'!$1:$1048576,$B372,MATCH("Impact Rating",'RAID Log'!$1:$1,0)),"")="","",IFERROR(INDEX('RAID Log'!$1:$1048576,$B372,MATCH("Impact Rating",'RAID Log'!$1:$1,0)),"")))</f>
        <v/>
      </c>
      <c r="H372" s="85" t="str">
        <f>IF($B372="","",IF(IFERROR(INDEX('RAID Log'!$1:$1048576,$B372,MATCH("Initial Probability",'RAID Log'!$1:$1,0)),"")="","",IFERROR(INDEX('RAID Log'!$1:$1048576,$B372,MATCH("Initial Probability",'RAID Log'!$1:$1,0)),"")))</f>
        <v/>
      </c>
      <c r="I372" s="86" t="str">
        <f t="shared" si="15"/>
        <v/>
      </c>
      <c r="J372" s="85" t="str">
        <f t="shared" si="16"/>
        <v/>
      </c>
      <c r="K372" s="86" t="str">
        <f t="shared" si="17"/>
        <v/>
      </c>
      <c r="L372" s="85" t="str">
        <f>IF($B372="","",IF(IFERROR(INDEX('RAID Log'!$1:$1048576,$B372,MATCH("Status",'RAID Log'!$1:$1,0)),"")="","",IFERROR(INDEX('RAID Log'!$1:$1048576,$B372,MATCH("Status",'RAID Log'!$1:$1,0)),"")))</f>
        <v/>
      </c>
      <c r="M372" s="85" t="str">
        <f>IF($B372="","",IF(IFERROR(INDEX('RAID Log'!$1:$1048576,$B372,MATCH("RAID Owner",'RAID Log'!$1:$1,0)),"")="","",IFERROR(INDEX('RAID Log'!$1:$1048576,$B372,MATCH("RAID Owner",'RAID Log'!$1:$1,0)),"")))</f>
        <v/>
      </c>
      <c r="N372" s="87" t="str">
        <f>IF($B372="","",IF(IFERROR(INDEX('RAID Log'!$1:$1048576,$B372,MATCH("Date Raised",'RAID Log'!$1:$1,0)),"")="","",IFERROR(INDEX('RAID Log'!$1:$1048576,$B372,MATCH("Date Raised",'RAID Log'!$1:$1,0)),"")))</f>
        <v/>
      </c>
      <c r="O372" s="87" t="str">
        <f>IF($B372="","",IF(IFERROR(INDEX('RAID Log'!$1:$1048576,$B372,MATCH("Closed Date",'RAID Log'!$1:$1,0)),"")="","",IFERROR(INDEX('RAID Log'!$1:$1048576,$B372,MATCH("Closed Date",'RAID Log'!$1:$1,0)),"")))</f>
        <v/>
      </c>
      <c r="P372" s="85" t="str">
        <f>IF($B372="","",IF(IFERROR(INDEX('RAID Log'!$1:$1048576,$B372,MATCH("Mitigation Strategy",'RAID Log'!$1:$1,0)),"")="","",IFERROR(INDEX('RAID Log'!$1:$1048576,$B372,MATCH("Mitigation Strategy",'RAID Log'!$1:$1,0)),"")))</f>
        <v/>
      </c>
      <c r="Q372" s="88" t="str">
        <f>IF($B372="","",IF(IFERROR(INDEX('RAID Log'!$1:$1048576,$B372,MATCH("RAID Response/Plan",'RAID Log'!$1:$1,0)),"")="","",IFERROR(INDEX('RAID Log'!$1:$1048576,$B372,MATCH("RAID Response/Plan",'RAID Log'!$1:$1,0)),"")))</f>
        <v/>
      </c>
    </row>
    <row r="373" spans="1:17" ht="14.25" customHeight="1">
      <c r="A373" s="82" t="str">
        <f>IF($B373="","",IF(IFERROR(INDEX('RAID Log'!$1:$1048576,$B373,MATCH("RAID ID",'RAID Log'!$1:$1,0)),"")="","",IFERROR(INDEX('RAID Log'!$1:$1048576,$B373,MATCH("RAID ID",'RAID Log'!$1:$1,0)),"")))</f>
        <v/>
      </c>
      <c r="B373" s="83" t="str">
        <f>IFERROR(MATCH(ROW()-1,'RAID Log'!$S:$S,0),"")</f>
        <v/>
      </c>
      <c r="C373" s="84" t="str">
        <f>IF($B373="","",IF(IFERROR(INDEX('RAID Log'!$1:$1048576,$B373,MATCH("Description",'RAID Log'!$1:$1,0)),"")="","",IFERROR(INDEX('RAID Log'!$1:$1048576,$B373,MATCH("Description",'RAID Log'!$1:$1,0)),"")))</f>
        <v/>
      </c>
      <c r="D373" s="84" t="str">
        <f>IF($B373="","",IF(IFERROR(INDEX('RAID Log'!$1:$1048576,$B373,MATCH("Impact/Effect of the RAID",'RAID Log'!$1:$1,0)),"")="","",IFERROR(INDEX('RAID Log'!$1:$1048576,$B373,MATCH("Impact/Effect of the RAID",'RAID Log'!$1:$1,0)),"")))</f>
        <v/>
      </c>
      <c r="E373" s="85" t="str">
        <f>IF($B373="","",IF(IFERROR(INDEX('RAID Log'!$1:$1048576,$B373,MATCH("Impact Area",'RAID Log'!$1:$1,0)),"")="","",IFERROR(INDEX('RAID Log'!$1:$1048576,$B373,MATCH("Impact Area",'RAID Log'!$1:$1,0)),"")))</f>
        <v/>
      </c>
      <c r="F373" s="85" t="str">
        <f>IF($B373="","",IF(IFERROR(INDEX('RAID Log'!$1:$1048576,$B373,MATCH("Impact Area",'RAID Log'!$1:$1,0)),"")="","",IFERROR(INDEX('RAID Log'!$1:$1048576,$B373,MATCH("Impact Area",'RAID Log'!$1:$1,0)),"")))</f>
        <v/>
      </c>
      <c r="G373" s="85" t="str">
        <f>IF($B373="","",IF(IFERROR(INDEX('RAID Log'!$1:$1048576,$B373,MATCH("Impact Rating",'RAID Log'!$1:$1,0)),"")="","",IFERROR(INDEX('RAID Log'!$1:$1048576,$B373,MATCH("Impact Rating",'RAID Log'!$1:$1,0)),"")))</f>
        <v/>
      </c>
      <c r="H373" s="85" t="str">
        <f>IF($B373="","",IF(IFERROR(INDEX('RAID Log'!$1:$1048576,$B373,MATCH("Initial Probability",'RAID Log'!$1:$1,0)),"")="","",IFERROR(INDEX('RAID Log'!$1:$1048576,$B373,MATCH("Initial Probability",'RAID Log'!$1:$1,0)),"")))</f>
        <v/>
      </c>
      <c r="I373" s="86" t="str">
        <f t="shared" si="15"/>
        <v/>
      </c>
      <c r="J373" s="85" t="str">
        <f t="shared" si="16"/>
        <v/>
      </c>
      <c r="K373" s="86" t="str">
        <f t="shared" si="17"/>
        <v/>
      </c>
      <c r="L373" s="85" t="str">
        <f>IF($B373="","",IF(IFERROR(INDEX('RAID Log'!$1:$1048576,$B373,MATCH("Status",'RAID Log'!$1:$1,0)),"")="","",IFERROR(INDEX('RAID Log'!$1:$1048576,$B373,MATCH("Status",'RAID Log'!$1:$1,0)),"")))</f>
        <v/>
      </c>
      <c r="M373" s="85" t="str">
        <f>IF($B373="","",IF(IFERROR(INDEX('RAID Log'!$1:$1048576,$B373,MATCH("RAID Owner",'RAID Log'!$1:$1,0)),"")="","",IFERROR(INDEX('RAID Log'!$1:$1048576,$B373,MATCH("RAID Owner",'RAID Log'!$1:$1,0)),"")))</f>
        <v/>
      </c>
      <c r="N373" s="87" t="str">
        <f>IF($B373="","",IF(IFERROR(INDEX('RAID Log'!$1:$1048576,$B373,MATCH("Date Raised",'RAID Log'!$1:$1,0)),"")="","",IFERROR(INDEX('RAID Log'!$1:$1048576,$B373,MATCH("Date Raised",'RAID Log'!$1:$1,0)),"")))</f>
        <v/>
      </c>
      <c r="O373" s="87" t="str">
        <f>IF($B373="","",IF(IFERROR(INDEX('RAID Log'!$1:$1048576,$B373,MATCH("Closed Date",'RAID Log'!$1:$1,0)),"")="","",IFERROR(INDEX('RAID Log'!$1:$1048576,$B373,MATCH("Closed Date",'RAID Log'!$1:$1,0)),"")))</f>
        <v/>
      </c>
      <c r="P373" s="85" t="str">
        <f>IF($B373="","",IF(IFERROR(INDEX('RAID Log'!$1:$1048576,$B373,MATCH("Mitigation Strategy",'RAID Log'!$1:$1,0)),"")="","",IFERROR(INDEX('RAID Log'!$1:$1048576,$B373,MATCH("Mitigation Strategy",'RAID Log'!$1:$1,0)),"")))</f>
        <v/>
      </c>
      <c r="Q373" s="88" t="str">
        <f>IF($B373="","",IF(IFERROR(INDEX('RAID Log'!$1:$1048576,$B373,MATCH("RAID Response/Plan",'RAID Log'!$1:$1,0)),"")="","",IFERROR(INDEX('RAID Log'!$1:$1048576,$B373,MATCH("RAID Response/Plan",'RAID Log'!$1:$1,0)),"")))</f>
        <v/>
      </c>
    </row>
    <row r="374" spans="1:17" ht="14.25" customHeight="1">
      <c r="A374" s="82" t="str">
        <f>IF($B374="","",IF(IFERROR(INDEX('RAID Log'!$1:$1048576,$B374,MATCH("RAID ID",'RAID Log'!$1:$1,0)),"")="","",IFERROR(INDEX('RAID Log'!$1:$1048576,$B374,MATCH("RAID ID",'RAID Log'!$1:$1,0)),"")))</f>
        <v/>
      </c>
      <c r="B374" s="83" t="str">
        <f>IFERROR(MATCH(ROW()-1,'RAID Log'!$S:$S,0),"")</f>
        <v/>
      </c>
      <c r="C374" s="84" t="str">
        <f>IF($B374="","",IF(IFERROR(INDEX('RAID Log'!$1:$1048576,$B374,MATCH("Description",'RAID Log'!$1:$1,0)),"")="","",IFERROR(INDEX('RAID Log'!$1:$1048576,$B374,MATCH("Description",'RAID Log'!$1:$1,0)),"")))</f>
        <v/>
      </c>
      <c r="D374" s="84" t="str">
        <f>IF($B374="","",IF(IFERROR(INDEX('RAID Log'!$1:$1048576,$B374,MATCH("Impact/Effect of the RAID",'RAID Log'!$1:$1,0)),"")="","",IFERROR(INDEX('RAID Log'!$1:$1048576,$B374,MATCH("Impact/Effect of the RAID",'RAID Log'!$1:$1,0)),"")))</f>
        <v/>
      </c>
      <c r="E374" s="85" t="str">
        <f>IF($B374="","",IF(IFERROR(INDEX('RAID Log'!$1:$1048576,$B374,MATCH("Impact Area",'RAID Log'!$1:$1,0)),"")="","",IFERROR(INDEX('RAID Log'!$1:$1048576,$B374,MATCH("Impact Area",'RAID Log'!$1:$1,0)),"")))</f>
        <v/>
      </c>
      <c r="F374" s="85" t="str">
        <f>IF($B374="","",IF(IFERROR(INDEX('RAID Log'!$1:$1048576,$B374,MATCH("Impact Area",'RAID Log'!$1:$1,0)),"")="","",IFERROR(INDEX('RAID Log'!$1:$1048576,$B374,MATCH("Impact Area",'RAID Log'!$1:$1,0)),"")))</f>
        <v/>
      </c>
      <c r="G374" s="85" t="str">
        <f>IF($B374="","",IF(IFERROR(INDEX('RAID Log'!$1:$1048576,$B374,MATCH("Impact Rating",'RAID Log'!$1:$1,0)),"")="","",IFERROR(INDEX('RAID Log'!$1:$1048576,$B374,MATCH("Impact Rating",'RAID Log'!$1:$1,0)),"")))</f>
        <v/>
      </c>
      <c r="H374" s="85" t="str">
        <f>IF($B374="","",IF(IFERROR(INDEX('RAID Log'!$1:$1048576,$B374,MATCH("Initial Probability",'RAID Log'!$1:$1,0)),"")="","",IFERROR(INDEX('RAID Log'!$1:$1048576,$B374,MATCH("Initial Probability",'RAID Log'!$1:$1,0)),"")))</f>
        <v/>
      </c>
      <c r="I374" s="86" t="str">
        <f t="shared" si="15"/>
        <v/>
      </c>
      <c r="J374" s="85" t="str">
        <f t="shared" si="16"/>
        <v/>
      </c>
      <c r="K374" s="86" t="str">
        <f t="shared" si="17"/>
        <v/>
      </c>
      <c r="L374" s="85" t="str">
        <f>IF($B374="","",IF(IFERROR(INDEX('RAID Log'!$1:$1048576,$B374,MATCH("Status",'RAID Log'!$1:$1,0)),"")="","",IFERROR(INDEX('RAID Log'!$1:$1048576,$B374,MATCH("Status",'RAID Log'!$1:$1,0)),"")))</f>
        <v/>
      </c>
      <c r="M374" s="85" t="str">
        <f>IF($B374="","",IF(IFERROR(INDEX('RAID Log'!$1:$1048576,$B374,MATCH("RAID Owner",'RAID Log'!$1:$1,0)),"")="","",IFERROR(INDEX('RAID Log'!$1:$1048576,$B374,MATCH("RAID Owner",'RAID Log'!$1:$1,0)),"")))</f>
        <v/>
      </c>
      <c r="N374" s="87" t="str">
        <f>IF($B374="","",IF(IFERROR(INDEX('RAID Log'!$1:$1048576,$B374,MATCH("Date Raised",'RAID Log'!$1:$1,0)),"")="","",IFERROR(INDEX('RAID Log'!$1:$1048576,$B374,MATCH("Date Raised",'RAID Log'!$1:$1,0)),"")))</f>
        <v/>
      </c>
      <c r="O374" s="87" t="str">
        <f>IF($B374="","",IF(IFERROR(INDEX('RAID Log'!$1:$1048576,$B374,MATCH("Closed Date",'RAID Log'!$1:$1,0)),"")="","",IFERROR(INDEX('RAID Log'!$1:$1048576,$B374,MATCH("Closed Date",'RAID Log'!$1:$1,0)),"")))</f>
        <v/>
      </c>
      <c r="P374" s="85" t="str">
        <f>IF($B374="","",IF(IFERROR(INDEX('RAID Log'!$1:$1048576,$B374,MATCH("Mitigation Strategy",'RAID Log'!$1:$1,0)),"")="","",IFERROR(INDEX('RAID Log'!$1:$1048576,$B374,MATCH("Mitigation Strategy",'RAID Log'!$1:$1,0)),"")))</f>
        <v/>
      </c>
      <c r="Q374" s="88" t="str">
        <f>IF($B374="","",IF(IFERROR(INDEX('RAID Log'!$1:$1048576,$B374,MATCH("RAID Response/Plan",'RAID Log'!$1:$1,0)),"")="","",IFERROR(INDEX('RAID Log'!$1:$1048576,$B374,MATCH("RAID Response/Plan",'RAID Log'!$1:$1,0)),"")))</f>
        <v/>
      </c>
    </row>
    <row r="375" spans="1:17" ht="14.25" customHeight="1">
      <c r="A375" s="82" t="str">
        <f>IF($B375="","",IF(IFERROR(INDEX('RAID Log'!$1:$1048576,$B375,MATCH("RAID ID",'RAID Log'!$1:$1,0)),"")="","",IFERROR(INDEX('RAID Log'!$1:$1048576,$B375,MATCH("RAID ID",'RAID Log'!$1:$1,0)),"")))</f>
        <v/>
      </c>
      <c r="B375" s="83" t="str">
        <f>IFERROR(MATCH(ROW()-1,'RAID Log'!$S:$S,0),"")</f>
        <v/>
      </c>
      <c r="C375" s="84" t="str">
        <f>IF($B375="","",IF(IFERROR(INDEX('RAID Log'!$1:$1048576,$B375,MATCH("Description",'RAID Log'!$1:$1,0)),"")="","",IFERROR(INDEX('RAID Log'!$1:$1048576,$B375,MATCH("Description",'RAID Log'!$1:$1,0)),"")))</f>
        <v/>
      </c>
      <c r="D375" s="84" t="str">
        <f>IF($B375="","",IF(IFERROR(INDEX('RAID Log'!$1:$1048576,$B375,MATCH("Impact/Effect of the RAID",'RAID Log'!$1:$1,0)),"")="","",IFERROR(INDEX('RAID Log'!$1:$1048576,$B375,MATCH("Impact/Effect of the RAID",'RAID Log'!$1:$1,0)),"")))</f>
        <v/>
      </c>
      <c r="E375" s="85" t="str">
        <f>IF($B375="","",IF(IFERROR(INDEX('RAID Log'!$1:$1048576,$B375,MATCH("Impact Area",'RAID Log'!$1:$1,0)),"")="","",IFERROR(INDEX('RAID Log'!$1:$1048576,$B375,MATCH("Impact Area",'RAID Log'!$1:$1,0)),"")))</f>
        <v/>
      </c>
      <c r="F375" s="85" t="str">
        <f>IF($B375="","",IF(IFERROR(INDEX('RAID Log'!$1:$1048576,$B375,MATCH("Impact Area",'RAID Log'!$1:$1,0)),"")="","",IFERROR(INDEX('RAID Log'!$1:$1048576,$B375,MATCH("Impact Area",'RAID Log'!$1:$1,0)),"")))</f>
        <v/>
      </c>
      <c r="G375" s="85" t="str">
        <f>IF($B375="","",IF(IFERROR(INDEX('RAID Log'!$1:$1048576,$B375,MATCH("Impact Rating",'RAID Log'!$1:$1,0)),"")="","",IFERROR(INDEX('RAID Log'!$1:$1048576,$B375,MATCH("Impact Rating",'RAID Log'!$1:$1,0)),"")))</f>
        <v/>
      </c>
      <c r="H375" s="85" t="str">
        <f>IF($B375="","",IF(IFERROR(INDEX('RAID Log'!$1:$1048576,$B375,MATCH("Initial Probability",'RAID Log'!$1:$1,0)),"")="","",IFERROR(INDEX('RAID Log'!$1:$1048576,$B375,MATCH("Initial Probability",'RAID Log'!$1:$1,0)),"")))</f>
        <v/>
      </c>
      <c r="I375" s="86" t="str">
        <f t="shared" si="15"/>
        <v/>
      </c>
      <c r="J375" s="85" t="str">
        <f t="shared" si="16"/>
        <v/>
      </c>
      <c r="K375" s="86" t="str">
        <f t="shared" si="17"/>
        <v/>
      </c>
      <c r="L375" s="85" t="str">
        <f>IF($B375="","",IF(IFERROR(INDEX('RAID Log'!$1:$1048576,$B375,MATCH("Status",'RAID Log'!$1:$1,0)),"")="","",IFERROR(INDEX('RAID Log'!$1:$1048576,$B375,MATCH("Status",'RAID Log'!$1:$1,0)),"")))</f>
        <v/>
      </c>
      <c r="M375" s="85" t="str">
        <f>IF($B375="","",IF(IFERROR(INDEX('RAID Log'!$1:$1048576,$B375,MATCH("RAID Owner",'RAID Log'!$1:$1,0)),"")="","",IFERROR(INDEX('RAID Log'!$1:$1048576,$B375,MATCH("RAID Owner",'RAID Log'!$1:$1,0)),"")))</f>
        <v/>
      </c>
      <c r="N375" s="87" t="str">
        <f>IF($B375="","",IF(IFERROR(INDEX('RAID Log'!$1:$1048576,$B375,MATCH("Date Raised",'RAID Log'!$1:$1,0)),"")="","",IFERROR(INDEX('RAID Log'!$1:$1048576,$B375,MATCH("Date Raised",'RAID Log'!$1:$1,0)),"")))</f>
        <v/>
      </c>
      <c r="O375" s="87" t="str">
        <f>IF($B375="","",IF(IFERROR(INDEX('RAID Log'!$1:$1048576,$B375,MATCH("Closed Date",'RAID Log'!$1:$1,0)),"")="","",IFERROR(INDEX('RAID Log'!$1:$1048576,$B375,MATCH("Closed Date",'RAID Log'!$1:$1,0)),"")))</f>
        <v/>
      </c>
      <c r="P375" s="85" t="str">
        <f>IF($B375="","",IF(IFERROR(INDEX('RAID Log'!$1:$1048576,$B375,MATCH("Mitigation Strategy",'RAID Log'!$1:$1,0)),"")="","",IFERROR(INDEX('RAID Log'!$1:$1048576,$B375,MATCH("Mitigation Strategy",'RAID Log'!$1:$1,0)),"")))</f>
        <v/>
      </c>
      <c r="Q375" s="88" t="str">
        <f>IF($B375="","",IF(IFERROR(INDEX('RAID Log'!$1:$1048576,$B375,MATCH("RAID Response/Plan",'RAID Log'!$1:$1,0)),"")="","",IFERROR(INDEX('RAID Log'!$1:$1048576,$B375,MATCH("RAID Response/Plan",'RAID Log'!$1:$1,0)),"")))</f>
        <v/>
      </c>
    </row>
    <row r="376" spans="1:17" ht="14.25" customHeight="1">
      <c r="A376" s="82" t="str">
        <f>IF($B376="","",IF(IFERROR(INDEX('RAID Log'!$1:$1048576,$B376,MATCH("RAID ID",'RAID Log'!$1:$1,0)),"")="","",IFERROR(INDEX('RAID Log'!$1:$1048576,$B376,MATCH("RAID ID",'RAID Log'!$1:$1,0)),"")))</f>
        <v/>
      </c>
      <c r="B376" s="83" t="str">
        <f>IFERROR(MATCH(ROW()-1,'RAID Log'!$S:$S,0),"")</f>
        <v/>
      </c>
      <c r="C376" s="84" t="str">
        <f>IF($B376="","",IF(IFERROR(INDEX('RAID Log'!$1:$1048576,$B376,MATCH("Description",'RAID Log'!$1:$1,0)),"")="","",IFERROR(INDEX('RAID Log'!$1:$1048576,$B376,MATCH("Description",'RAID Log'!$1:$1,0)),"")))</f>
        <v/>
      </c>
      <c r="D376" s="84" t="str">
        <f>IF($B376="","",IF(IFERROR(INDEX('RAID Log'!$1:$1048576,$B376,MATCH("Impact/Effect of the RAID",'RAID Log'!$1:$1,0)),"")="","",IFERROR(INDEX('RAID Log'!$1:$1048576,$B376,MATCH("Impact/Effect of the RAID",'RAID Log'!$1:$1,0)),"")))</f>
        <v/>
      </c>
      <c r="E376" s="85" t="str">
        <f>IF($B376="","",IF(IFERROR(INDEX('RAID Log'!$1:$1048576,$B376,MATCH("Impact Area",'RAID Log'!$1:$1,0)),"")="","",IFERROR(INDEX('RAID Log'!$1:$1048576,$B376,MATCH("Impact Area",'RAID Log'!$1:$1,0)),"")))</f>
        <v/>
      </c>
      <c r="F376" s="85" t="str">
        <f>IF($B376="","",IF(IFERROR(INDEX('RAID Log'!$1:$1048576,$B376,MATCH("Impact Area",'RAID Log'!$1:$1,0)),"")="","",IFERROR(INDEX('RAID Log'!$1:$1048576,$B376,MATCH("Impact Area",'RAID Log'!$1:$1,0)),"")))</f>
        <v/>
      </c>
      <c r="G376" s="85" t="str">
        <f>IF($B376="","",IF(IFERROR(INDEX('RAID Log'!$1:$1048576,$B376,MATCH("Impact Rating",'RAID Log'!$1:$1,0)),"")="","",IFERROR(INDEX('RAID Log'!$1:$1048576,$B376,MATCH("Impact Rating",'RAID Log'!$1:$1,0)),"")))</f>
        <v/>
      </c>
      <c r="H376" s="85" t="str">
        <f>IF($B376="","",IF(IFERROR(INDEX('RAID Log'!$1:$1048576,$B376,MATCH("Initial Probability",'RAID Log'!$1:$1,0)),"")="","",IFERROR(INDEX('RAID Log'!$1:$1048576,$B376,MATCH("Initial Probability",'RAID Log'!$1:$1,0)),"")))</f>
        <v/>
      </c>
      <c r="I376" s="86" t="str">
        <f t="shared" si="15"/>
        <v/>
      </c>
      <c r="J376" s="85" t="str">
        <f t="shared" si="16"/>
        <v/>
      </c>
      <c r="K376" s="86" t="str">
        <f t="shared" si="17"/>
        <v/>
      </c>
      <c r="L376" s="85" t="str">
        <f>IF($B376="","",IF(IFERROR(INDEX('RAID Log'!$1:$1048576,$B376,MATCH("Status",'RAID Log'!$1:$1,0)),"")="","",IFERROR(INDEX('RAID Log'!$1:$1048576,$B376,MATCH("Status",'RAID Log'!$1:$1,0)),"")))</f>
        <v/>
      </c>
      <c r="M376" s="85" t="str">
        <f>IF($B376="","",IF(IFERROR(INDEX('RAID Log'!$1:$1048576,$B376,MATCH("RAID Owner",'RAID Log'!$1:$1,0)),"")="","",IFERROR(INDEX('RAID Log'!$1:$1048576,$B376,MATCH("RAID Owner",'RAID Log'!$1:$1,0)),"")))</f>
        <v/>
      </c>
      <c r="N376" s="87" t="str">
        <f>IF($B376="","",IF(IFERROR(INDEX('RAID Log'!$1:$1048576,$B376,MATCH("Date Raised",'RAID Log'!$1:$1,0)),"")="","",IFERROR(INDEX('RAID Log'!$1:$1048576,$B376,MATCH("Date Raised",'RAID Log'!$1:$1,0)),"")))</f>
        <v/>
      </c>
      <c r="O376" s="87" t="str">
        <f>IF($B376="","",IF(IFERROR(INDEX('RAID Log'!$1:$1048576,$B376,MATCH("Closed Date",'RAID Log'!$1:$1,0)),"")="","",IFERROR(INDEX('RAID Log'!$1:$1048576,$B376,MATCH("Closed Date",'RAID Log'!$1:$1,0)),"")))</f>
        <v/>
      </c>
      <c r="P376" s="85" t="str">
        <f>IF($B376="","",IF(IFERROR(INDEX('RAID Log'!$1:$1048576,$B376,MATCH("Mitigation Strategy",'RAID Log'!$1:$1,0)),"")="","",IFERROR(INDEX('RAID Log'!$1:$1048576,$B376,MATCH("Mitigation Strategy",'RAID Log'!$1:$1,0)),"")))</f>
        <v/>
      </c>
      <c r="Q376" s="88" t="str">
        <f>IF($B376="","",IF(IFERROR(INDEX('RAID Log'!$1:$1048576,$B376,MATCH("RAID Response/Plan",'RAID Log'!$1:$1,0)),"")="","",IFERROR(INDEX('RAID Log'!$1:$1048576,$B376,MATCH("RAID Response/Plan",'RAID Log'!$1:$1,0)),"")))</f>
        <v/>
      </c>
    </row>
    <row r="377" spans="1:17" ht="14.25" customHeight="1">
      <c r="A377" s="82" t="str">
        <f>IF($B377="","",IF(IFERROR(INDEX('RAID Log'!$1:$1048576,$B377,MATCH("RAID ID",'RAID Log'!$1:$1,0)),"")="","",IFERROR(INDEX('RAID Log'!$1:$1048576,$B377,MATCH("RAID ID",'RAID Log'!$1:$1,0)),"")))</f>
        <v/>
      </c>
      <c r="B377" s="83" t="str">
        <f>IFERROR(MATCH(ROW()-1,'RAID Log'!$S:$S,0),"")</f>
        <v/>
      </c>
      <c r="C377" s="84" t="str">
        <f>IF($B377="","",IF(IFERROR(INDEX('RAID Log'!$1:$1048576,$B377,MATCH("Description",'RAID Log'!$1:$1,0)),"")="","",IFERROR(INDEX('RAID Log'!$1:$1048576,$B377,MATCH("Description",'RAID Log'!$1:$1,0)),"")))</f>
        <v/>
      </c>
      <c r="D377" s="84" t="str">
        <f>IF($B377="","",IF(IFERROR(INDEX('RAID Log'!$1:$1048576,$B377,MATCH("Impact/Effect of the RAID",'RAID Log'!$1:$1,0)),"")="","",IFERROR(INDEX('RAID Log'!$1:$1048576,$B377,MATCH("Impact/Effect of the RAID",'RAID Log'!$1:$1,0)),"")))</f>
        <v/>
      </c>
      <c r="E377" s="85" t="str">
        <f>IF($B377="","",IF(IFERROR(INDEX('RAID Log'!$1:$1048576,$B377,MATCH("Impact Area",'RAID Log'!$1:$1,0)),"")="","",IFERROR(INDEX('RAID Log'!$1:$1048576,$B377,MATCH("Impact Area",'RAID Log'!$1:$1,0)),"")))</f>
        <v/>
      </c>
      <c r="F377" s="85" t="str">
        <f>IF($B377="","",IF(IFERROR(INDEX('RAID Log'!$1:$1048576,$B377,MATCH("Impact Area",'RAID Log'!$1:$1,0)),"")="","",IFERROR(INDEX('RAID Log'!$1:$1048576,$B377,MATCH("Impact Area",'RAID Log'!$1:$1,0)),"")))</f>
        <v/>
      </c>
      <c r="G377" s="85" t="str">
        <f>IF($B377="","",IF(IFERROR(INDEX('RAID Log'!$1:$1048576,$B377,MATCH("Impact Rating",'RAID Log'!$1:$1,0)),"")="","",IFERROR(INDEX('RAID Log'!$1:$1048576,$B377,MATCH("Impact Rating",'RAID Log'!$1:$1,0)),"")))</f>
        <v/>
      </c>
      <c r="H377" s="85" t="str">
        <f>IF($B377="","",IF(IFERROR(INDEX('RAID Log'!$1:$1048576,$B377,MATCH("Initial Probability",'RAID Log'!$1:$1,0)),"")="","",IFERROR(INDEX('RAID Log'!$1:$1048576,$B377,MATCH("Initial Probability",'RAID Log'!$1:$1,0)),"")))</f>
        <v/>
      </c>
      <c r="I377" s="86" t="str">
        <f t="shared" si="15"/>
        <v/>
      </c>
      <c r="J377" s="85" t="str">
        <f t="shared" si="16"/>
        <v/>
      </c>
      <c r="K377" s="86" t="str">
        <f t="shared" si="17"/>
        <v/>
      </c>
      <c r="L377" s="85" t="str">
        <f>IF($B377="","",IF(IFERROR(INDEX('RAID Log'!$1:$1048576,$B377,MATCH("Status",'RAID Log'!$1:$1,0)),"")="","",IFERROR(INDEX('RAID Log'!$1:$1048576,$B377,MATCH("Status",'RAID Log'!$1:$1,0)),"")))</f>
        <v/>
      </c>
      <c r="M377" s="85" t="str">
        <f>IF($B377="","",IF(IFERROR(INDEX('RAID Log'!$1:$1048576,$B377,MATCH("RAID Owner",'RAID Log'!$1:$1,0)),"")="","",IFERROR(INDEX('RAID Log'!$1:$1048576,$B377,MATCH("RAID Owner",'RAID Log'!$1:$1,0)),"")))</f>
        <v/>
      </c>
      <c r="N377" s="87" t="str">
        <f>IF($B377="","",IF(IFERROR(INDEX('RAID Log'!$1:$1048576,$B377,MATCH("Date Raised",'RAID Log'!$1:$1,0)),"")="","",IFERROR(INDEX('RAID Log'!$1:$1048576,$B377,MATCH("Date Raised",'RAID Log'!$1:$1,0)),"")))</f>
        <v/>
      </c>
      <c r="O377" s="87" t="str">
        <f>IF($B377="","",IF(IFERROR(INDEX('RAID Log'!$1:$1048576,$B377,MATCH("Closed Date",'RAID Log'!$1:$1,0)),"")="","",IFERROR(INDEX('RAID Log'!$1:$1048576,$B377,MATCH("Closed Date",'RAID Log'!$1:$1,0)),"")))</f>
        <v/>
      </c>
      <c r="P377" s="85" t="str">
        <f>IF($B377="","",IF(IFERROR(INDEX('RAID Log'!$1:$1048576,$B377,MATCH("Mitigation Strategy",'RAID Log'!$1:$1,0)),"")="","",IFERROR(INDEX('RAID Log'!$1:$1048576,$B377,MATCH("Mitigation Strategy",'RAID Log'!$1:$1,0)),"")))</f>
        <v/>
      </c>
      <c r="Q377" s="88" t="str">
        <f>IF($B377="","",IF(IFERROR(INDEX('RAID Log'!$1:$1048576,$B377,MATCH("RAID Response/Plan",'RAID Log'!$1:$1,0)),"")="","",IFERROR(INDEX('RAID Log'!$1:$1048576,$B377,MATCH("RAID Response/Plan",'RAID Log'!$1:$1,0)),"")))</f>
        <v/>
      </c>
    </row>
    <row r="378" spans="1:17" ht="14.25" customHeight="1">
      <c r="A378" s="82" t="str">
        <f>IF($B378="","",IF(IFERROR(INDEX('RAID Log'!$1:$1048576,$B378,MATCH("RAID ID",'RAID Log'!$1:$1,0)),"")="","",IFERROR(INDEX('RAID Log'!$1:$1048576,$B378,MATCH("RAID ID",'RAID Log'!$1:$1,0)),"")))</f>
        <v/>
      </c>
      <c r="B378" s="83" t="str">
        <f>IFERROR(MATCH(ROW()-1,'RAID Log'!$S:$S,0),"")</f>
        <v/>
      </c>
      <c r="C378" s="84" t="str">
        <f>IF($B378="","",IF(IFERROR(INDEX('RAID Log'!$1:$1048576,$B378,MATCH("Description",'RAID Log'!$1:$1,0)),"")="","",IFERROR(INDEX('RAID Log'!$1:$1048576,$B378,MATCH("Description",'RAID Log'!$1:$1,0)),"")))</f>
        <v/>
      </c>
      <c r="D378" s="84" t="str">
        <f>IF($B378="","",IF(IFERROR(INDEX('RAID Log'!$1:$1048576,$B378,MATCH("Impact/Effect of the RAID",'RAID Log'!$1:$1,0)),"")="","",IFERROR(INDEX('RAID Log'!$1:$1048576,$B378,MATCH("Impact/Effect of the RAID",'RAID Log'!$1:$1,0)),"")))</f>
        <v/>
      </c>
      <c r="E378" s="85" t="str">
        <f>IF($B378="","",IF(IFERROR(INDEX('RAID Log'!$1:$1048576,$B378,MATCH("Impact Area",'RAID Log'!$1:$1,0)),"")="","",IFERROR(INDEX('RAID Log'!$1:$1048576,$B378,MATCH("Impact Area",'RAID Log'!$1:$1,0)),"")))</f>
        <v/>
      </c>
      <c r="F378" s="85" t="str">
        <f>IF($B378="","",IF(IFERROR(INDEX('RAID Log'!$1:$1048576,$B378,MATCH("Impact Area",'RAID Log'!$1:$1,0)),"")="","",IFERROR(INDEX('RAID Log'!$1:$1048576,$B378,MATCH("Impact Area",'RAID Log'!$1:$1,0)),"")))</f>
        <v/>
      </c>
      <c r="G378" s="85" t="str">
        <f>IF($B378="","",IF(IFERROR(INDEX('RAID Log'!$1:$1048576,$B378,MATCH("Impact Rating",'RAID Log'!$1:$1,0)),"")="","",IFERROR(INDEX('RAID Log'!$1:$1048576,$B378,MATCH("Impact Rating",'RAID Log'!$1:$1,0)),"")))</f>
        <v/>
      </c>
      <c r="H378" s="85" t="str">
        <f>IF($B378="","",IF(IFERROR(INDEX('RAID Log'!$1:$1048576,$B378,MATCH("Initial Probability",'RAID Log'!$1:$1,0)),"")="","",IFERROR(INDEX('RAID Log'!$1:$1048576,$B378,MATCH("Initial Probability",'RAID Log'!$1:$1,0)),"")))</f>
        <v/>
      </c>
      <c r="I378" s="86" t="str">
        <f t="shared" si="15"/>
        <v/>
      </c>
      <c r="J378" s="85" t="str">
        <f t="shared" si="16"/>
        <v/>
      </c>
      <c r="K378" s="86" t="str">
        <f t="shared" si="17"/>
        <v/>
      </c>
      <c r="L378" s="85" t="str">
        <f>IF($B378="","",IF(IFERROR(INDEX('RAID Log'!$1:$1048576,$B378,MATCH("Status",'RAID Log'!$1:$1,0)),"")="","",IFERROR(INDEX('RAID Log'!$1:$1048576,$B378,MATCH("Status",'RAID Log'!$1:$1,0)),"")))</f>
        <v/>
      </c>
      <c r="M378" s="85" t="str">
        <f>IF($B378="","",IF(IFERROR(INDEX('RAID Log'!$1:$1048576,$B378,MATCH("RAID Owner",'RAID Log'!$1:$1,0)),"")="","",IFERROR(INDEX('RAID Log'!$1:$1048576,$B378,MATCH("RAID Owner",'RAID Log'!$1:$1,0)),"")))</f>
        <v/>
      </c>
      <c r="N378" s="87" t="str">
        <f>IF($B378="","",IF(IFERROR(INDEX('RAID Log'!$1:$1048576,$B378,MATCH("Date Raised",'RAID Log'!$1:$1,0)),"")="","",IFERROR(INDEX('RAID Log'!$1:$1048576,$B378,MATCH("Date Raised",'RAID Log'!$1:$1,0)),"")))</f>
        <v/>
      </c>
      <c r="O378" s="87" t="str">
        <f>IF($B378="","",IF(IFERROR(INDEX('RAID Log'!$1:$1048576,$B378,MATCH("Closed Date",'RAID Log'!$1:$1,0)),"")="","",IFERROR(INDEX('RAID Log'!$1:$1048576,$B378,MATCH("Closed Date",'RAID Log'!$1:$1,0)),"")))</f>
        <v/>
      </c>
      <c r="P378" s="85" t="str">
        <f>IF($B378="","",IF(IFERROR(INDEX('RAID Log'!$1:$1048576,$B378,MATCH("Mitigation Strategy",'RAID Log'!$1:$1,0)),"")="","",IFERROR(INDEX('RAID Log'!$1:$1048576,$B378,MATCH("Mitigation Strategy",'RAID Log'!$1:$1,0)),"")))</f>
        <v/>
      </c>
      <c r="Q378" s="88" t="str">
        <f>IF($B378="","",IF(IFERROR(INDEX('RAID Log'!$1:$1048576,$B378,MATCH("RAID Response/Plan",'RAID Log'!$1:$1,0)),"")="","",IFERROR(INDEX('RAID Log'!$1:$1048576,$B378,MATCH("RAID Response/Plan",'RAID Log'!$1:$1,0)),"")))</f>
        <v/>
      </c>
    </row>
    <row r="379" spans="1:17" ht="14.25" customHeight="1">
      <c r="A379" s="82" t="str">
        <f>IF($B379="","",IF(IFERROR(INDEX('RAID Log'!$1:$1048576,$B379,MATCH("RAID ID",'RAID Log'!$1:$1,0)),"")="","",IFERROR(INDEX('RAID Log'!$1:$1048576,$B379,MATCH("RAID ID",'RAID Log'!$1:$1,0)),"")))</f>
        <v/>
      </c>
      <c r="B379" s="83" t="str">
        <f>IFERROR(MATCH(ROW()-1,'RAID Log'!$S:$S,0),"")</f>
        <v/>
      </c>
      <c r="C379" s="84" t="str">
        <f>IF($B379="","",IF(IFERROR(INDEX('RAID Log'!$1:$1048576,$B379,MATCH("Description",'RAID Log'!$1:$1,0)),"")="","",IFERROR(INDEX('RAID Log'!$1:$1048576,$B379,MATCH("Description",'RAID Log'!$1:$1,0)),"")))</f>
        <v/>
      </c>
      <c r="D379" s="84" t="str">
        <f>IF($B379="","",IF(IFERROR(INDEX('RAID Log'!$1:$1048576,$B379,MATCH("Impact/Effect of the RAID",'RAID Log'!$1:$1,0)),"")="","",IFERROR(INDEX('RAID Log'!$1:$1048576,$B379,MATCH("Impact/Effect of the RAID",'RAID Log'!$1:$1,0)),"")))</f>
        <v/>
      </c>
      <c r="E379" s="85" t="str">
        <f>IF($B379="","",IF(IFERROR(INDEX('RAID Log'!$1:$1048576,$B379,MATCH("Impact Area",'RAID Log'!$1:$1,0)),"")="","",IFERROR(INDEX('RAID Log'!$1:$1048576,$B379,MATCH("Impact Area",'RAID Log'!$1:$1,0)),"")))</f>
        <v/>
      </c>
      <c r="F379" s="85" t="str">
        <f>IF($B379="","",IF(IFERROR(INDEX('RAID Log'!$1:$1048576,$B379,MATCH("Impact Area",'RAID Log'!$1:$1,0)),"")="","",IFERROR(INDEX('RAID Log'!$1:$1048576,$B379,MATCH("Impact Area",'RAID Log'!$1:$1,0)),"")))</f>
        <v/>
      </c>
      <c r="G379" s="85" t="str">
        <f>IF($B379="","",IF(IFERROR(INDEX('RAID Log'!$1:$1048576,$B379,MATCH("Impact Rating",'RAID Log'!$1:$1,0)),"")="","",IFERROR(INDEX('RAID Log'!$1:$1048576,$B379,MATCH("Impact Rating",'RAID Log'!$1:$1,0)),"")))</f>
        <v/>
      </c>
      <c r="H379" s="85" t="str">
        <f>IF($B379="","",IF(IFERROR(INDEX('RAID Log'!$1:$1048576,$B379,MATCH("Initial Probability",'RAID Log'!$1:$1,0)),"")="","",IFERROR(INDEX('RAID Log'!$1:$1048576,$B379,MATCH("Initial Probability",'RAID Log'!$1:$1,0)),"")))</f>
        <v/>
      </c>
      <c r="I379" s="86" t="str">
        <f t="shared" si="15"/>
        <v/>
      </c>
      <c r="J379" s="85" t="str">
        <f t="shared" si="16"/>
        <v/>
      </c>
      <c r="K379" s="86" t="str">
        <f t="shared" si="17"/>
        <v/>
      </c>
      <c r="L379" s="85" t="str">
        <f>IF($B379="","",IF(IFERROR(INDEX('RAID Log'!$1:$1048576,$B379,MATCH("Status",'RAID Log'!$1:$1,0)),"")="","",IFERROR(INDEX('RAID Log'!$1:$1048576,$B379,MATCH("Status",'RAID Log'!$1:$1,0)),"")))</f>
        <v/>
      </c>
      <c r="M379" s="85" t="str">
        <f>IF($B379="","",IF(IFERROR(INDEX('RAID Log'!$1:$1048576,$B379,MATCH("RAID Owner",'RAID Log'!$1:$1,0)),"")="","",IFERROR(INDEX('RAID Log'!$1:$1048576,$B379,MATCH("RAID Owner",'RAID Log'!$1:$1,0)),"")))</f>
        <v/>
      </c>
      <c r="N379" s="87" t="str">
        <f>IF($B379="","",IF(IFERROR(INDEX('RAID Log'!$1:$1048576,$B379,MATCH("Date Raised",'RAID Log'!$1:$1,0)),"")="","",IFERROR(INDEX('RAID Log'!$1:$1048576,$B379,MATCH("Date Raised",'RAID Log'!$1:$1,0)),"")))</f>
        <v/>
      </c>
      <c r="O379" s="87" t="str">
        <f>IF($B379="","",IF(IFERROR(INDEX('RAID Log'!$1:$1048576,$B379,MATCH("Closed Date",'RAID Log'!$1:$1,0)),"")="","",IFERROR(INDEX('RAID Log'!$1:$1048576,$B379,MATCH("Closed Date",'RAID Log'!$1:$1,0)),"")))</f>
        <v/>
      </c>
      <c r="P379" s="85" t="str">
        <f>IF($B379="","",IF(IFERROR(INDEX('RAID Log'!$1:$1048576,$B379,MATCH("Mitigation Strategy",'RAID Log'!$1:$1,0)),"")="","",IFERROR(INDEX('RAID Log'!$1:$1048576,$B379,MATCH("Mitigation Strategy",'RAID Log'!$1:$1,0)),"")))</f>
        <v/>
      </c>
      <c r="Q379" s="88" t="str">
        <f>IF($B379="","",IF(IFERROR(INDEX('RAID Log'!$1:$1048576,$B379,MATCH("RAID Response/Plan",'RAID Log'!$1:$1,0)),"")="","",IFERROR(INDEX('RAID Log'!$1:$1048576,$B379,MATCH("RAID Response/Plan",'RAID Log'!$1:$1,0)),"")))</f>
        <v/>
      </c>
    </row>
    <row r="380" spans="1:17" ht="14.25" customHeight="1">
      <c r="A380" s="82" t="str">
        <f>IF($B380="","",IF(IFERROR(INDEX('RAID Log'!$1:$1048576,$B380,MATCH("RAID ID",'RAID Log'!$1:$1,0)),"")="","",IFERROR(INDEX('RAID Log'!$1:$1048576,$B380,MATCH("RAID ID",'RAID Log'!$1:$1,0)),"")))</f>
        <v/>
      </c>
      <c r="B380" s="83" t="str">
        <f>IFERROR(MATCH(ROW()-1,'RAID Log'!$S:$S,0),"")</f>
        <v/>
      </c>
      <c r="C380" s="84" t="str">
        <f>IF($B380="","",IF(IFERROR(INDEX('RAID Log'!$1:$1048576,$B380,MATCH("Description",'RAID Log'!$1:$1,0)),"")="","",IFERROR(INDEX('RAID Log'!$1:$1048576,$B380,MATCH("Description",'RAID Log'!$1:$1,0)),"")))</f>
        <v/>
      </c>
      <c r="D380" s="84" t="str">
        <f>IF($B380="","",IF(IFERROR(INDEX('RAID Log'!$1:$1048576,$B380,MATCH("Impact/Effect of the RAID",'RAID Log'!$1:$1,0)),"")="","",IFERROR(INDEX('RAID Log'!$1:$1048576,$B380,MATCH("Impact/Effect of the RAID",'RAID Log'!$1:$1,0)),"")))</f>
        <v/>
      </c>
      <c r="E380" s="85" t="str">
        <f>IF($B380="","",IF(IFERROR(INDEX('RAID Log'!$1:$1048576,$B380,MATCH("Impact Area",'RAID Log'!$1:$1,0)),"")="","",IFERROR(INDEX('RAID Log'!$1:$1048576,$B380,MATCH("Impact Area",'RAID Log'!$1:$1,0)),"")))</f>
        <v/>
      </c>
      <c r="F380" s="85" t="str">
        <f>IF($B380="","",IF(IFERROR(INDEX('RAID Log'!$1:$1048576,$B380,MATCH("Impact Area",'RAID Log'!$1:$1,0)),"")="","",IFERROR(INDEX('RAID Log'!$1:$1048576,$B380,MATCH("Impact Area",'RAID Log'!$1:$1,0)),"")))</f>
        <v/>
      </c>
      <c r="G380" s="85" t="str">
        <f>IF($B380="","",IF(IFERROR(INDEX('RAID Log'!$1:$1048576,$B380,MATCH("Impact Rating",'RAID Log'!$1:$1,0)),"")="","",IFERROR(INDEX('RAID Log'!$1:$1048576,$B380,MATCH("Impact Rating",'RAID Log'!$1:$1,0)),"")))</f>
        <v/>
      </c>
      <c r="H380" s="85" t="str">
        <f>IF($B380="","",IF(IFERROR(INDEX('RAID Log'!$1:$1048576,$B380,MATCH("Initial Probability",'RAID Log'!$1:$1,0)),"")="","",IFERROR(INDEX('RAID Log'!$1:$1048576,$B380,MATCH("Initial Probability",'RAID Log'!$1:$1,0)),"")))</f>
        <v/>
      </c>
      <c r="I380" s="86" t="str">
        <f t="shared" si="15"/>
        <v/>
      </c>
      <c r="J380" s="85" t="str">
        <f t="shared" si="16"/>
        <v/>
      </c>
      <c r="K380" s="86" t="str">
        <f t="shared" si="17"/>
        <v/>
      </c>
      <c r="L380" s="85" t="str">
        <f>IF($B380="","",IF(IFERROR(INDEX('RAID Log'!$1:$1048576,$B380,MATCH("Status",'RAID Log'!$1:$1,0)),"")="","",IFERROR(INDEX('RAID Log'!$1:$1048576,$B380,MATCH("Status",'RAID Log'!$1:$1,0)),"")))</f>
        <v/>
      </c>
      <c r="M380" s="85" t="str">
        <f>IF($B380="","",IF(IFERROR(INDEX('RAID Log'!$1:$1048576,$B380,MATCH("RAID Owner",'RAID Log'!$1:$1,0)),"")="","",IFERROR(INDEX('RAID Log'!$1:$1048576,$B380,MATCH("RAID Owner",'RAID Log'!$1:$1,0)),"")))</f>
        <v/>
      </c>
      <c r="N380" s="87" t="str">
        <f>IF($B380="","",IF(IFERROR(INDEX('RAID Log'!$1:$1048576,$B380,MATCH("Date Raised",'RAID Log'!$1:$1,0)),"")="","",IFERROR(INDEX('RAID Log'!$1:$1048576,$B380,MATCH("Date Raised",'RAID Log'!$1:$1,0)),"")))</f>
        <v/>
      </c>
      <c r="O380" s="87" t="str">
        <f>IF($B380="","",IF(IFERROR(INDEX('RAID Log'!$1:$1048576,$B380,MATCH("Closed Date",'RAID Log'!$1:$1,0)),"")="","",IFERROR(INDEX('RAID Log'!$1:$1048576,$B380,MATCH("Closed Date",'RAID Log'!$1:$1,0)),"")))</f>
        <v/>
      </c>
      <c r="P380" s="85" t="str">
        <f>IF($B380="","",IF(IFERROR(INDEX('RAID Log'!$1:$1048576,$B380,MATCH("Mitigation Strategy",'RAID Log'!$1:$1,0)),"")="","",IFERROR(INDEX('RAID Log'!$1:$1048576,$B380,MATCH("Mitigation Strategy",'RAID Log'!$1:$1,0)),"")))</f>
        <v/>
      </c>
      <c r="Q380" s="88" t="str">
        <f>IF($B380="","",IF(IFERROR(INDEX('RAID Log'!$1:$1048576,$B380,MATCH("RAID Response/Plan",'RAID Log'!$1:$1,0)),"")="","",IFERROR(INDEX('RAID Log'!$1:$1048576,$B380,MATCH("RAID Response/Plan",'RAID Log'!$1:$1,0)),"")))</f>
        <v/>
      </c>
    </row>
    <row r="381" spans="1:17" ht="14.25" customHeight="1">
      <c r="A381" s="82" t="str">
        <f>IF($B381="","",IF(IFERROR(INDEX('RAID Log'!$1:$1048576,$B381,MATCH("RAID ID",'RAID Log'!$1:$1,0)),"")="","",IFERROR(INDEX('RAID Log'!$1:$1048576,$B381,MATCH("RAID ID",'RAID Log'!$1:$1,0)),"")))</f>
        <v/>
      </c>
      <c r="B381" s="83" t="str">
        <f>IFERROR(MATCH(ROW()-1,'RAID Log'!$S:$S,0),"")</f>
        <v/>
      </c>
      <c r="C381" s="84" t="str">
        <f>IF($B381="","",IF(IFERROR(INDEX('RAID Log'!$1:$1048576,$B381,MATCH("Description",'RAID Log'!$1:$1,0)),"")="","",IFERROR(INDEX('RAID Log'!$1:$1048576,$B381,MATCH("Description",'RAID Log'!$1:$1,0)),"")))</f>
        <v/>
      </c>
      <c r="D381" s="84" t="str">
        <f>IF($B381="","",IF(IFERROR(INDEX('RAID Log'!$1:$1048576,$B381,MATCH("Impact/Effect of the RAID",'RAID Log'!$1:$1,0)),"")="","",IFERROR(INDEX('RAID Log'!$1:$1048576,$B381,MATCH("Impact/Effect of the RAID",'RAID Log'!$1:$1,0)),"")))</f>
        <v/>
      </c>
      <c r="E381" s="85" t="str">
        <f>IF($B381="","",IF(IFERROR(INDEX('RAID Log'!$1:$1048576,$B381,MATCH("Impact Area",'RAID Log'!$1:$1,0)),"")="","",IFERROR(INDEX('RAID Log'!$1:$1048576,$B381,MATCH("Impact Area",'RAID Log'!$1:$1,0)),"")))</f>
        <v/>
      </c>
      <c r="F381" s="85" t="str">
        <f>IF($B381="","",IF(IFERROR(INDEX('RAID Log'!$1:$1048576,$B381,MATCH("Impact Area",'RAID Log'!$1:$1,0)),"")="","",IFERROR(INDEX('RAID Log'!$1:$1048576,$B381,MATCH("Impact Area",'RAID Log'!$1:$1,0)),"")))</f>
        <v/>
      </c>
      <c r="G381" s="85" t="str">
        <f>IF($B381="","",IF(IFERROR(INDEX('RAID Log'!$1:$1048576,$B381,MATCH("Impact Rating",'RAID Log'!$1:$1,0)),"")="","",IFERROR(INDEX('RAID Log'!$1:$1048576,$B381,MATCH("Impact Rating",'RAID Log'!$1:$1,0)),"")))</f>
        <v/>
      </c>
      <c r="H381" s="85" t="str">
        <f>IF($B381="","",IF(IFERROR(INDEX('RAID Log'!$1:$1048576,$B381,MATCH("Initial Probability",'RAID Log'!$1:$1,0)),"")="","",IFERROR(INDEX('RAID Log'!$1:$1048576,$B381,MATCH("Initial Probability",'RAID Log'!$1:$1,0)),"")))</f>
        <v/>
      </c>
      <c r="I381" s="86" t="str">
        <f t="shared" si="15"/>
        <v/>
      </c>
      <c r="J381" s="85" t="str">
        <f t="shared" si="16"/>
        <v/>
      </c>
      <c r="K381" s="86" t="str">
        <f t="shared" si="17"/>
        <v/>
      </c>
      <c r="L381" s="85" t="str">
        <f>IF($B381="","",IF(IFERROR(INDEX('RAID Log'!$1:$1048576,$B381,MATCH("Status",'RAID Log'!$1:$1,0)),"")="","",IFERROR(INDEX('RAID Log'!$1:$1048576,$B381,MATCH("Status",'RAID Log'!$1:$1,0)),"")))</f>
        <v/>
      </c>
      <c r="M381" s="85" t="str">
        <f>IF($B381="","",IF(IFERROR(INDEX('RAID Log'!$1:$1048576,$B381,MATCH("RAID Owner",'RAID Log'!$1:$1,0)),"")="","",IFERROR(INDEX('RAID Log'!$1:$1048576,$B381,MATCH("RAID Owner",'RAID Log'!$1:$1,0)),"")))</f>
        <v/>
      </c>
      <c r="N381" s="87" t="str">
        <f>IF($B381="","",IF(IFERROR(INDEX('RAID Log'!$1:$1048576,$B381,MATCH("Date Raised",'RAID Log'!$1:$1,0)),"")="","",IFERROR(INDEX('RAID Log'!$1:$1048576,$B381,MATCH("Date Raised",'RAID Log'!$1:$1,0)),"")))</f>
        <v/>
      </c>
      <c r="O381" s="87" t="str">
        <f>IF($B381="","",IF(IFERROR(INDEX('RAID Log'!$1:$1048576,$B381,MATCH("Closed Date",'RAID Log'!$1:$1,0)),"")="","",IFERROR(INDEX('RAID Log'!$1:$1048576,$B381,MATCH("Closed Date",'RAID Log'!$1:$1,0)),"")))</f>
        <v/>
      </c>
      <c r="P381" s="85" t="str">
        <f>IF($B381="","",IF(IFERROR(INDEX('RAID Log'!$1:$1048576,$B381,MATCH("Mitigation Strategy",'RAID Log'!$1:$1,0)),"")="","",IFERROR(INDEX('RAID Log'!$1:$1048576,$B381,MATCH("Mitigation Strategy",'RAID Log'!$1:$1,0)),"")))</f>
        <v/>
      </c>
      <c r="Q381" s="88" t="str">
        <f>IF($B381="","",IF(IFERROR(INDEX('RAID Log'!$1:$1048576,$B381,MATCH("RAID Response/Plan",'RAID Log'!$1:$1,0)),"")="","",IFERROR(INDEX('RAID Log'!$1:$1048576,$B381,MATCH("RAID Response/Plan",'RAID Log'!$1:$1,0)),"")))</f>
        <v/>
      </c>
    </row>
    <row r="382" spans="1:17" ht="14.25" customHeight="1">
      <c r="A382" s="82" t="str">
        <f>IF($B382="","",IF(IFERROR(INDEX('RAID Log'!$1:$1048576,$B382,MATCH("RAID ID",'RAID Log'!$1:$1,0)),"")="","",IFERROR(INDEX('RAID Log'!$1:$1048576,$B382,MATCH("RAID ID",'RAID Log'!$1:$1,0)),"")))</f>
        <v/>
      </c>
      <c r="B382" s="83" t="str">
        <f>IFERROR(MATCH(ROW()-1,'RAID Log'!$S:$S,0),"")</f>
        <v/>
      </c>
      <c r="C382" s="84" t="str">
        <f>IF($B382="","",IF(IFERROR(INDEX('RAID Log'!$1:$1048576,$B382,MATCH("Description",'RAID Log'!$1:$1,0)),"")="","",IFERROR(INDEX('RAID Log'!$1:$1048576,$B382,MATCH("Description",'RAID Log'!$1:$1,0)),"")))</f>
        <v/>
      </c>
      <c r="D382" s="84" t="str">
        <f>IF($B382="","",IF(IFERROR(INDEX('RAID Log'!$1:$1048576,$B382,MATCH("Impact/Effect of the RAID",'RAID Log'!$1:$1,0)),"")="","",IFERROR(INDEX('RAID Log'!$1:$1048576,$B382,MATCH("Impact/Effect of the RAID",'RAID Log'!$1:$1,0)),"")))</f>
        <v/>
      </c>
      <c r="E382" s="85" t="str">
        <f>IF($B382="","",IF(IFERROR(INDEX('RAID Log'!$1:$1048576,$B382,MATCH("Impact Area",'RAID Log'!$1:$1,0)),"")="","",IFERROR(INDEX('RAID Log'!$1:$1048576,$B382,MATCH("Impact Area",'RAID Log'!$1:$1,0)),"")))</f>
        <v/>
      </c>
      <c r="F382" s="85" t="str">
        <f>IF($B382="","",IF(IFERROR(INDEX('RAID Log'!$1:$1048576,$B382,MATCH("Impact Area",'RAID Log'!$1:$1,0)),"")="","",IFERROR(INDEX('RAID Log'!$1:$1048576,$B382,MATCH("Impact Area",'RAID Log'!$1:$1,0)),"")))</f>
        <v/>
      </c>
      <c r="G382" s="85" t="str">
        <f>IF($B382="","",IF(IFERROR(INDEX('RAID Log'!$1:$1048576,$B382,MATCH("Impact Rating",'RAID Log'!$1:$1,0)),"")="","",IFERROR(INDEX('RAID Log'!$1:$1048576,$B382,MATCH("Impact Rating",'RAID Log'!$1:$1,0)),"")))</f>
        <v/>
      </c>
      <c r="H382" s="85" t="str">
        <f>IF($B382="","",IF(IFERROR(INDEX('RAID Log'!$1:$1048576,$B382,MATCH("Initial Probability",'RAID Log'!$1:$1,0)),"")="","",IFERROR(INDEX('RAID Log'!$1:$1048576,$B382,MATCH("Initial Probability",'RAID Log'!$1:$1,0)),"")))</f>
        <v/>
      </c>
      <c r="I382" s="86" t="str">
        <f t="shared" si="15"/>
        <v/>
      </c>
      <c r="J382" s="85" t="str">
        <f t="shared" si="16"/>
        <v/>
      </c>
      <c r="K382" s="86" t="str">
        <f t="shared" si="17"/>
        <v/>
      </c>
      <c r="L382" s="85" t="str">
        <f>IF($B382="","",IF(IFERROR(INDEX('RAID Log'!$1:$1048576,$B382,MATCH("Status",'RAID Log'!$1:$1,0)),"")="","",IFERROR(INDEX('RAID Log'!$1:$1048576,$B382,MATCH("Status",'RAID Log'!$1:$1,0)),"")))</f>
        <v/>
      </c>
      <c r="M382" s="85" t="str">
        <f>IF($B382="","",IF(IFERROR(INDEX('RAID Log'!$1:$1048576,$B382,MATCH("RAID Owner",'RAID Log'!$1:$1,0)),"")="","",IFERROR(INDEX('RAID Log'!$1:$1048576,$B382,MATCH("RAID Owner",'RAID Log'!$1:$1,0)),"")))</f>
        <v/>
      </c>
      <c r="N382" s="87" t="str">
        <f>IF($B382="","",IF(IFERROR(INDEX('RAID Log'!$1:$1048576,$B382,MATCH("Date Raised",'RAID Log'!$1:$1,0)),"")="","",IFERROR(INDEX('RAID Log'!$1:$1048576,$B382,MATCH("Date Raised",'RAID Log'!$1:$1,0)),"")))</f>
        <v/>
      </c>
      <c r="O382" s="87" t="str">
        <f>IF($B382="","",IF(IFERROR(INDEX('RAID Log'!$1:$1048576,$B382,MATCH("Closed Date",'RAID Log'!$1:$1,0)),"")="","",IFERROR(INDEX('RAID Log'!$1:$1048576,$B382,MATCH("Closed Date",'RAID Log'!$1:$1,0)),"")))</f>
        <v/>
      </c>
      <c r="P382" s="85" t="str">
        <f>IF($B382="","",IF(IFERROR(INDEX('RAID Log'!$1:$1048576,$B382,MATCH("Mitigation Strategy",'RAID Log'!$1:$1,0)),"")="","",IFERROR(INDEX('RAID Log'!$1:$1048576,$B382,MATCH("Mitigation Strategy",'RAID Log'!$1:$1,0)),"")))</f>
        <v/>
      </c>
      <c r="Q382" s="88" t="str">
        <f>IF($B382="","",IF(IFERROR(INDEX('RAID Log'!$1:$1048576,$B382,MATCH("RAID Response/Plan",'RAID Log'!$1:$1,0)),"")="","",IFERROR(INDEX('RAID Log'!$1:$1048576,$B382,MATCH("RAID Response/Plan",'RAID Log'!$1:$1,0)),"")))</f>
        <v/>
      </c>
    </row>
    <row r="383" spans="1:17" ht="14.25" customHeight="1">
      <c r="A383" s="82" t="str">
        <f>IF($B383="","",IF(IFERROR(INDEX('RAID Log'!$1:$1048576,$B383,MATCH("RAID ID",'RAID Log'!$1:$1,0)),"")="","",IFERROR(INDEX('RAID Log'!$1:$1048576,$B383,MATCH("RAID ID",'RAID Log'!$1:$1,0)),"")))</f>
        <v/>
      </c>
      <c r="B383" s="83" t="str">
        <f>IFERROR(MATCH(ROW()-1,'RAID Log'!$S:$S,0),"")</f>
        <v/>
      </c>
      <c r="C383" s="84" t="str">
        <f>IF($B383="","",IF(IFERROR(INDEX('RAID Log'!$1:$1048576,$B383,MATCH("Description",'RAID Log'!$1:$1,0)),"")="","",IFERROR(INDEX('RAID Log'!$1:$1048576,$B383,MATCH("Description",'RAID Log'!$1:$1,0)),"")))</f>
        <v/>
      </c>
      <c r="D383" s="84" t="str">
        <f>IF($B383="","",IF(IFERROR(INDEX('RAID Log'!$1:$1048576,$B383,MATCH("Impact/Effect of the RAID",'RAID Log'!$1:$1,0)),"")="","",IFERROR(INDEX('RAID Log'!$1:$1048576,$B383,MATCH("Impact/Effect of the RAID",'RAID Log'!$1:$1,0)),"")))</f>
        <v/>
      </c>
      <c r="E383" s="85" t="str">
        <f>IF($B383="","",IF(IFERROR(INDEX('RAID Log'!$1:$1048576,$B383,MATCH("Impact Area",'RAID Log'!$1:$1,0)),"")="","",IFERROR(INDEX('RAID Log'!$1:$1048576,$B383,MATCH("Impact Area",'RAID Log'!$1:$1,0)),"")))</f>
        <v/>
      </c>
      <c r="F383" s="85" t="str">
        <f>IF($B383="","",IF(IFERROR(INDEX('RAID Log'!$1:$1048576,$B383,MATCH("Impact Area",'RAID Log'!$1:$1,0)),"")="","",IFERROR(INDEX('RAID Log'!$1:$1048576,$B383,MATCH("Impact Area",'RAID Log'!$1:$1,0)),"")))</f>
        <v/>
      </c>
      <c r="G383" s="85" t="str">
        <f>IF($B383="","",IF(IFERROR(INDEX('RAID Log'!$1:$1048576,$B383,MATCH("Impact Rating",'RAID Log'!$1:$1,0)),"")="","",IFERROR(INDEX('RAID Log'!$1:$1048576,$B383,MATCH("Impact Rating",'RAID Log'!$1:$1,0)),"")))</f>
        <v/>
      </c>
      <c r="H383" s="85" t="str">
        <f>IF($B383="","",IF(IFERROR(INDEX('RAID Log'!$1:$1048576,$B383,MATCH("Initial Probability",'RAID Log'!$1:$1,0)),"")="","",IFERROR(INDEX('RAID Log'!$1:$1048576,$B383,MATCH("Initial Probability",'RAID Log'!$1:$1,0)),"")))</f>
        <v/>
      </c>
      <c r="I383" s="86" t="str">
        <f t="shared" si="15"/>
        <v/>
      </c>
      <c r="J383" s="85" t="str">
        <f t="shared" si="16"/>
        <v/>
      </c>
      <c r="K383" s="86" t="str">
        <f t="shared" si="17"/>
        <v/>
      </c>
      <c r="L383" s="85" t="str">
        <f>IF($B383="","",IF(IFERROR(INDEX('RAID Log'!$1:$1048576,$B383,MATCH("Status",'RAID Log'!$1:$1,0)),"")="","",IFERROR(INDEX('RAID Log'!$1:$1048576,$B383,MATCH("Status",'RAID Log'!$1:$1,0)),"")))</f>
        <v/>
      </c>
      <c r="M383" s="85" t="str">
        <f>IF($B383="","",IF(IFERROR(INDEX('RAID Log'!$1:$1048576,$B383,MATCH("RAID Owner",'RAID Log'!$1:$1,0)),"")="","",IFERROR(INDEX('RAID Log'!$1:$1048576,$B383,MATCH("RAID Owner",'RAID Log'!$1:$1,0)),"")))</f>
        <v/>
      </c>
      <c r="N383" s="87" t="str">
        <f>IF($B383="","",IF(IFERROR(INDEX('RAID Log'!$1:$1048576,$B383,MATCH("Date Raised",'RAID Log'!$1:$1,0)),"")="","",IFERROR(INDEX('RAID Log'!$1:$1048576,$B383,MATCH("Date Raised",'RAID Log'!$1:$1,0)),"")))</f>
        <v/>
      </c>
      <c r="O383" s="87" t="str">
        <f>IF($B383="","",IF(IFERROR(INDEX('RAID Log'!$1:$1048576,$B383,MATCH("Closed Date",'RAID Log'!$1:$1,0)),"")="","",IFERROR(INDEX('RAID Log'!$1:$1048576,$B383,MATCH("Closed Date",'RAID Log'!$1:$1,0)),"")))</f>
        <v/>
      </c>
      <c r="P383" s="85" t="str">
        <f>IF($B383="","",IF(IFERROR(INDEX('RAID Log'!$1:$1048576,$B383,MATCH("Mitigation Strategy",'RAID Log'!$1:$1,0)),"")="","",IFERROR(INDEX('RAID Log'!$1:$1048576,$B383,MATCH("Mitigation Strategy",'RAID Log'!$1:$1,0)),"")))</f>
        <v/>
      </c>
      <c r="Q383" s="88" t="str">
        <f>IF($B383="","",IF(IFERROR(INDEX('RAID Log'!$1:$1048576,$B383,MATCH("RAID Response/Plan",'RAID Log'!$1:$1,0)),"")="","",IFERROR(INDEX('RAID Log'!$1:$1048576,$B383,MATCH("RAID Response/Plan",'RAID Log'!$1:$1,0)),"")))</f>
        <v/>
      </c>
    </row>
    <row r="384" spans="1:17" ht="14.25" customHeight="1">
      <c r="A384" s="82" t="str">
        <f>IF($B384="","",IF(IFERROR(INDEX('RAID Log'!$1:$1048576,$B384,MATCH("RAID ID",'RAID Log'!$1:$1,0)),"")="","",IFERROR(INDEX('RAID Log'!$1:$1048576,$B384,MATCH("RAID ID",'RAID Log'!$1:$1,0)),"")))</f>
        <v/>
      </c>
      <c r="B384" s="83" t="str">
        <f>IFERROR(MATCH(ROW()-1,'RAID Log'!$S:$S,0),"")</f>
        <v/>
      </c>
      <c r="C384" s="84" t="str">
        <f>IF($B384="","",IF(IFERROR(INDEX('RAID Log'!$1:$1048576,$B384,MATCH("Description",'RAID Log'!$1:$1,0)),"")="","",IFERROR(INDEX('RAID Log'!$1:$1048576,$B384,MATCH("Description",'RAID Log'!$1:$1,0)),"")))</f>
        <v/>
      </c>
      <c r="D384" s="84" t="str">
        <f>IF($B384="","",IF(IFERROR(INDEX('RAID Log'!$1:$1048576,$B384,MATCH("Impact/Effect of the RAID",'RAID Log'!$1:$1,0)),"")="","",IFERROR(INDEX('RAID Log'!$1:$1048576,$B384,MATCH("Impact/Effect of the RAID",'RAID Log'!$1:$1,0)),"")))</f>
        <v/>
      </c>
      <c r="E384" s="85" t="str">
        <f>IF($B384="","",IF(IFERROR(INDEX('RAID Log'!$1:$1048576,$B384,MATCH("Impact Area",'RAID Log'!$1:$1,0)),"")="","",IFERROR(INDEX('RAID Log'!$1:$1048576,$B384,MATCH("Impact Area",'RAID Log'!$1:$1,0)),"")))</f>
        <v/>
      </c>
      <c r="F384" s="85" t="str">
        <f>IF($B384="","",IF(IFERROR(INDEX('RAID Log'!$1:$1048576,$B384,MATCH("Impact Area",'RAID Log'!$1:$1,0)),"")="","",IFERROR(INDEX('RAID Log'!$1:$1048576,$B384,MATCH("Impact Area",'RAID Log'!$1:$1,0)),"")))</f>
        <v/>
      </c>
      <c r="G384" s="85" t="str">
        <f>IF($B384="","",IF(IFERROR(INDEX('RAID Log'!$1:$1048576,$B384,MATCH("Impact Rating",'RAID Log'!$1:$1,0)),"")="","",IFERROR(INDEX('RAID Log'!$1:$1048576,$B384,MATCH("Impact Rating",'RAID Log'!$1:$1,0)),"")))</f>
        <v/>
      </c>
      <c r="H384" s="85" t="str">
        <f>IF($B384="","",IF(IFERROR(INDEX('RAID Log'!$1:$1048576,$B384,MATCH("Initial Probability",'RAID Log'!$1:$1,0)),"")="","",IFERROR(INDEX('RAID Log'!$1:$1048576,$B384,MATCH("Initial Probability",'RAID Log'!$1:$1,0)),"")))</f>
        <v/>
      </c>
      <c r="I384" s="86" t="str">
        <f t="shared" si="15"/>
        <v/>
      </c>
      <c r="J384" s="85" t="str">
        <f t="shared" si="16"/>
        <v/>
      </c>
      <c r="K384" s="86" t="str">
        <f t="shared" si="17"/>
        <v/>
      </c>
      <c r="L384" s="85" t="str">
        <f>IF($B384="","",IF(IFERROR(INDEX('RAID Log'!$1:$1048576,$B384,MATCH("Status",'RAID Log'!$1:$1,0)),"")="","",IFERROR(INDEX('RAID Log'!$1:$1048576,$B384,MATCH("Status",'RAID Log'!$1:$1,0)),"")))</f>
        <v/>
      </c>
      <c r="M384" s="85" t="str">
        <f>IF($B384="","",IF(IFERROR(INDEX('RAID Log'!$1:$1048576,$B384,MATCH("RAID Owner",'RAID Log'!$1:$1,0)),"")="","",IFERROR(INDEX('RAID Log'!$1:$1048576,$B384,MATCH("RAID Owner",'RAID Log'!$1:$1,0)),"")))</f>
        <v/>
      </c>
      <c r="N384" s="87" t="str">
        <f>IF($B384="","",IF(IFERROR(INDEX('RAID Log'!$1:$1048576,$B384,MATCH("Date Raised",'RAID Log'!$1:$1,0)),"")="","",IFERROR(INDEX('RAID Log'!$1:$1048576,$B384,MATCH("Date Raised",'RAID Log'!$1:$1,0)),"")))</f>
        <v/>
      </c>
      <c r="O384" s="87" t="str">
        <f>IF($B384="","",IF(IFERROR(INDEX('RAID Log'!$1:$1048576,$B384,MATCH("Closed Date",'RAID Log'!$1:$1,0)),"")="","",IFERROR(INDEX('RAID Log'!$1:$1048576,$B384,MATCH("Closed Date",'RAID Log'!$1:$1,0)),"")))</f>
        <v/>
      </c>
      <c r="P384" s="85" t="str">
        <f>IF($B384="","",IF(IFERROR(INDEX('RAID Log'!$1:$1048576,$B384,MATCH("Mitigation Strategy",'RAID Log'!$1:$1,0)),"")="","",IFERROR(INDEX('RAID Log'!$1:$1048576,$B384,MATCH("Mitigation Strategy",'RAID Log'!$1:$1,0)),"")))</f>
        <v/>
      </c>
      <c r="Q384" s="88" t="str">
        <f>IF($B384="","",IF(IFERROR(INDEX('RAID Log'!$1:$1048576,$B384,MATCH("RAID Response/Plan",'RAID Log'!$1:$1,0)),"")="","",IFERROR(INDEX('RAID Log'!$1:$1048576,$B384,MATCH("RAID Response/Plan",'RAID Log'!$1:$1,0)),"")))</f>
        <v/>
      </c>
    </row>
    <row r="385" spans="1:17" ht="14.25" customHeight="1">
      <c r="A385" s="82" t="str">
        <f>IF($B385="","",IF(IFERROR(INDEX('RAID Log'!$1:$1048576,$B385,MATCH("RAID ID",'RAID Log'!$1:$1,0)),"")="","",IFERROR(INDEX('RAID Log'!$1:$1048576,$B385,MATCH("RAID ID",'RAID Log'!$1:$1,0)),"")))</f>
        <v/>
      </c>
      <c r="B385" s="83" t="str">
        <f>IFERROR(MATCH(ROW()-1,'RAID Log'!$S:$S,0),"")</f>
        <v/>
      </c>
      <c r="C385" s="84" t="str">
        <f>IF($B385="","",IF(IFERROR(INDEX('RAID Log'!$1:$1048576,$B385,MATCH("Description",'RAID Log'!$1:$1,0)),"")="","",IFERROR(INDEX('RAID Log'!$1:$1048576,$B385,MATCH("Description",'RAID Log'!$1:$1,0)),"")))</f>
        <v/>
      </c>
      <c r="D385" s="84" t="str">
        <f>IF($B385="","",IF(IFERROR(INDEX('RAID Log'!$1:$1048576,$B385,MATCH("Impact/Effect of the RAID",'RAID Log'!$1:$1,0)),"")="","",IFERROR(INDEX('RAID Log'!$1:$1048576,$B385,MATCH("Impact/Effect of the RAID",'RAID Log'!$1:$1,0)),"")))</f>
        <v/>
      </c>
      <c r="E385" s="85" t="str">
        <f>IF($B385="","",IF(IFERROR(INDEX('RAID Log'!$1:$1048576,$B385,MATCH("Impact Area",'RAID Log'!$1:$1,0)),"")="","",IFERROR(INDEX('RAID Log'!$1:$1048576,$B385,MATCH("Impact Area",'RAID Log'!$1:$1,0)),"")))</f>
        <v/>
      </c>
      <c r="F385" s="85" t="str">
        <f>IF($B385="","",IF(IFERROR(INDEX('RAID Log'!$1:$1048576,$B385,MATCH("Impact Area",'RAID Log'!$1:$1,0)),"")="","",IFERROR(INDEX('RAID Log'!$1:$1048576,$B385,MATCH("Impact Area",'RAID Log'!$1:$1,0)),"")))</f>
        <v/>
      </c>
      <c r="G385" s="85" t="str">
        <f>IF($B385="","",IF(IFERROR(INDEX('RAID Log'!$1:$1048576,$B385,MATCH("Impact Rating",'RAID Log'!$1:$1,0)),"")="","",IFERROR(INDEX('RAID Log'!$1:$1048576,$B385,MATCH("Impact Rating",'RAID Log'!$1:$1,0)),"")))</f>
        <v/>
      </c>
      <c r="H385" s="85" t="str">
        <f>IF($B385="","",IF(IFERROR(INDEX('RAID Log'!$1:$1048576,$B385,MATCH("Initial Probability",'RAID Log'!$1:$1,0)),"")="","",IFERROR(INDEX('RAID Log'!$1:$1048576,$B385,MATCH("Initial Probability",'RAID Log'!$1:$1,0)),"")))</f>
        <v/>
      </c>
      <c r="I385" s="86" t="str">
        <f t="shared" si="15"/>
        <v/>
      </c>
      <c r="J385" s="85" t="str">
        <f t="shared" si="16"/>
        <v/>
      </c>
      <c r="K385" s="86" t="str">
        <f t="shared" si="17"/>
        <v/>
      </c>
      <c r="L385" s="85" t="str">
        <f>IF($B385="","",IF(IFERROR(INDEX('RAID Log'!$1:$1048576,$B385,MATCH("Status",'RAID Log'!$1:$1,0)),"")="","",IFERROR(INDEX('RAID Log'!$1:$1048576,$B385,MATCH("Status",'RAID Log'!$1:$1,0)),"")))</f>
        <v/>
      </c>
      <c r="M385" s="85" t="str">
        <f>IF($B385="","",IF(IFERROR(INDEX('RAID Log'!$1:$1048576,$B385,MATCH("RAID Owner",'RAID Log'!$1:$1,0)),"")="","",IFERROR(INDEX('RAID Log'!$1:$1048576,$B385,MATCH("RAID Owner",'RAID Log'!$1:$1,0)),"")))</f>
        <v/>
      </c>
      <c r="N385" s="87" t="str">
        <f>IF($B385="","",IF(IFERROR(INDEX('RAID Log'!$1:$1048576,$B385,MATCH("Date Raised",'RAID Log'!$1:$1,0)),"")="","",IFERROR(INDEX('RAID Log'!$1:$1048576,$B385,MATCH("Date Raised",'RAID Log'!$1:$1,0)),"")))</f>
        <v/>
      </c>
      <c r="O385" s="87" t="str">
        <f>IF($B385="","",IF(IFERROR(INDEX('RAID Log'!$1:$1048576,$B385,MATCH("Closed Date",'RAID Log'!$1:$1,0)),"")="","",IFERROR(INDEX('RAID Log'!$1:$1048576,$B385,MATCH("Closed Date",'RAID Log'!$1:$1,0)),"")))</f>
        <v/>
      </c>
      <c r="P385" s="85" t="str">
        <f>IF($B385="","",IF(IFERROR(INDEX('RAID Log'!$1:$1048576,$B385,MATCH("Mitigation Strategy",'RAID Log'!$1:$1,0)),"")="","",IFERROR(INDEX('RAID Log'!$1:$1048576,$B385,MATCH("Mitigation Strategy",'RAID Log'!$1:$1,0)),"")))</f>
        <v/>
      </c>
      <c r="Q385" s="88" t="str">
        <f>IF($B385="","",IF(IFERROR(INDEX('RAID Log'!$1:$1048576,$B385,MATCH("RAID Response/Plan",'RAID Log'!$1:$1,0)),"")="","",IFERROR(INDEX('RAID Log'!$1:$1048576,$B385,MATCH("RAID Response/Plan",'RAID Log'!$1:$1,0)),"")))</f>
        <v/>
      </c>
    </row>
    <row r="386" spans="1:17" ht="14.25" customHeight="1">
      <c r="A386" s="82" t="str">
        <f>IF($B386="","",IF(IFERROR(INDEX('RAID Log'!$1:$1048576,$B386,MATCH("RAID ID",'RAID Log'!$1:$1,0)),"")="","",IFERROR(INDEX('RAID Log'!$1:$1048576,$B386,MATCH("RAID ID",'RAID Log'!$1:$1,0)),"")))</f>
        <v/>
      </c>
      <c r="B386" s="83" t="str">
        <f>IFERROR(MATCH(ROW()-1,'RAID Log'!$S:$S,0),"")</f>
        <v/>
      </c>
      <c r="C386" s="84" t="str">
        <f>IF($B386="","",IF(IFERROR(INDEX('RAID Log'!$1:$1048576,$B386,MATCH("Description",'RAID Log'!$1:$1,0)),"")="","",IFERROR(INDEX('RAID Log'!$1:$1048576,$B386,MATCH("Description",'RAID Log'!$1:$1,0)),"")))</f>
        <v/>
      </c>
      <c r="D386" s="84" t="str">
        <f>IF($B386="","",IF(IFERROR(INDEX('RAID Log'!$1:$1048576,$B386,MATCH("Impact/Effect of the RAID",'RAID Log'!$1:$1,0)),"")="","",IFERROR(INDEX('RAID Log'!$1:$1048576,$B386,MATCH("Impact/Effect of the RAID",'RAID Log'!$1:$1,0)),"")))</f>
        <v/>
      </c>
      <c r="E386" s="85" t="str">
        <f>IF($B386="","",IF(IFERROR(INDEX('RAID Log'!$1:$1048576,$B386,MATCH("Impact Area",'RAID Log'!$1:$1,0)),"")="","",IFERROR(INDEX('RAID Log'!$1:$1048576,$B386,MATCH("Impact Area",'RAID Log'!$1:$1,0)),"")))</f>
        <v/>
      </c>
      <c r="F386" s="85" t="str">
        <f>IF($B386="","",IF(IFERROR(INDEX('RAID Log'!$1:$1048576,$B386,MATCH("Impact Area",'RAID Log'!$1:$1,0)),"")="","",IFERROR(INDEX('RAID Log'!$1:$1048576,$B386,MATCH("Impact Area",'RAID Log'!$1:$1,0)),"")))</f>
        <v/>
      </c>
      <c r="G386" s="85" t="str">
        <f>IF($B386="","",IF(IFERROR(INDEX('RAID Log'!$1:$1048576,$B386,MATCH("Impact Rating",'RAID Log'!$1:$1,0)),"")="","",IFERROR(INDEX('RAID Log'!$1:$1048576,$B386,MATCH("Impact Rating",'RAID Log'!$1:$1,0)),"")))</f>
        <v/>
      </c>
      <c r="H386" s="85" t="str">
        <f>IF($B386="","",IF(IFERROR(INDEX('RAID Log'!$1:$1048576,$B386,MATCH("Initial Probability",'RAID Log'!$1:$1,0)),"")="","",IFERROR(INDEX('RAID Log'!$1:$1048576,$B386,MATCH("Initial Probability",'RAID Log'!$1:$1,0)),"")))</f>
        <v/>
      </c>
      <c r="I386" s="86" t="str">
        <f t="shared" ref="I386:I449" si="18">IF($B386="","",(IF($G386="Severe",25,IF($G386="Major",20,IF($G386="Moderate",15,IF($G386="Minor",10,IF($G386="Insignificant",5,0))))))*IF($H386="Very High",1,IF($H386="High",0.8,IF($H386="Average",0.6,IF($H386="Low",0.4,IF($H386="Very Low",0.2,0))))))</f>
        <v/>
      </c>
      <c r="J386" s="85" t="str">
        <f t="shared" ref="J386:J449" si="19">IF($B386="","",IF($I386&gt;20,"Critical",IF($I386&gt;15,"High",IF($I386&gt;8,"Moderate",IF($I386&gt;3,"Tolerable","Negligible")))))</f>
        <v/>
      </c>
      <c r="K386" s="86" t="str">
        <f t="shared" ref="K386:K449" si="20">IF(OR($B386="",UPPER($L386)="CLOSED"),"",COUNTIFS($L$2:$L$880,"&lt;&gt;Closed",$I$2:$I$880,"&gt;"&amp;$I386)+COUNTIFS($L$2:$L$880,"&lt;&gt;Closed",$I$2:$I$880,$I386,$N$2:$N$880,"&lt;"&amp;$N386)+COUNTIFS($L$2:$L$880,"&lt;&gt;Closed",$I$2:$I$880,$I386,$N$2:$N$880,$N386,$B$2:$B$880,"&lt;"&amp;$B386)+1)</f>
        <v/>
      </c>
      <c r="L386" s="85" t="str">
        <f>IF($B386="","",IF(IFERROR(INDEX('RAID Log'!$1:$1048576,$B386,MATCH("Status",'RAID Log'!$1:$1,0)),"")="","",IFERROR(INDEX('RAID Log'!$1:$1048576,$B386,MATCH("Status",'RAID Log'!$1:$1,0)),"")))</f>
        <v/>
      </c>
      <c r="M386" s="85" t="str">
        <f>IF($B386="","",IF(IFERROR(INDEX('RAID Log'!$1:$1048576,$B386,MATCH("RAID Owner",'RAID Log'!$1:$1,0)),"")="","",IFERROR(INDEX('RAID Log'!$1:$1048576,$B386,MATCH("RAID Owner",'RAID Log'!$1:$1,0)),"")))</f>
        <v/>
      </c>
      <c r="N386" s="87" t="str">
        <f>IF($B386="","",IF(IFERROR(INDEX('RAID Log'!$1:$1048576,$B386,MATCH("Date Raised",'RAID Log'!$1:$1,0)),"")="","",IFERROR(INDEX('RAID Log'!$1:$1048576,$B386,MATCH("Date Raised",'RAID Log'!$1:$1,0)),"")))</f>
        <v/>
      </c>
      <c r="O386" s="87" t="str">
        <f>IF($B386="","",IF(IFERROR(INDEX('RAID Log'!$1:$1048576,$B386,MATCH("Closed Date",'RAID Log'!$1:$1,0)),"")="","",IFERROR(INDEX('RAID Log'!$1:$1048576,$B386,MATCH("Closed Date",'RAID Log'!$1:$1,0)),"")))</f>
        <v/>
      </c>
      <c r="P386" s="85" t="str">
        <f>IF($B386="","",IF(IFERROR(INDEX('RAID Log'!$1:$1048576,$B386,MATCH("Mitigation Strategy",'RAID Log'!$1:$1,0)),"")="","",IFERROR(INDEX('RAID Log'!$1:$1048576,$B386,MATCH("Mitigation Strategy",'RAID Log'!$1:$1,0)),"")))</f>
        <v/>
      </c>
      <c r="Q386" s="88" t="str">
        <f>IF($B386="","",IF(IFERROR(INDEX('RAID Log'!$1:$1048576,$B386,MATCH("RAID Response/Plan",'RAID Log'!$1:$1,0)),"")="","",IFERROR(INDEX('RAID Log'!$1:$1048576,$B386,MATCH("RAID Response/Plan",'RAID Log'!$1:$1,0)),"")))</f>
        <v/>
      </c>
    </row>
    <row r="387" spans="1:17" ht="14.25" customHeight="1">
      <c r="A387" s="82" t="str">
        <f>IF($B387="","",IF(IFERROR(INDEX('RAID Log'!$1:$1048576,$B387,MATCH("RAID ID",'RAID Log'!$1:$1,0)),"")="","",IFERROR(INDEX('RAID Log'!$1:$1048576,$B387,MATCH("RAID ID",'RAID Log'!$1:$1,0)),"")))</f>
        <v/>
      </c>
      <c r="B387" s="83" t="str">
        <f>IFERROR(MATCH(ROW()-1,'RAID Log'!$S:$S,0),"")</f>
        <v/>
      </c>
      <c r="C387" s="84" t="str">
        <f>IF($B387="","",IF(IFERROR(INDEX('RAID Log'!$1:$1048576,$B387,MATCH("Description",'RAID Log'!$1:$1,0)),"")="","",IFERROR(INDEX('RAID Log'!$1:$1048576,$B387,MATCH("Description",'RAID Log'!$1:$1,0)),"")))</f>
        <v/>
      </c>
      <c r="D387" s="84" t="str">
        <f>IF($B387="","",IF(IFERROR(INDEX('RAID Log'!$1:$1048576,$B387,MATCH("Impact/Effect of the RAID",'RAID Log'!$1:$1,0)),"")="","",IFERROR(INDEX('RAID Log'!$1:$1048576,$B387,MATCH("Impact/Effect of the RAID",'RAID Log'!$1:$1,0)),"")))</f>
        <v/>
      </c>
      <c r="E387" s="85" t="str">
        <f>IF($B387="","",IF(IFERROR(INDEX('RAID Log'!$1:$1048576,$B387,MATCH("Impact Area",'RAID Log'!$1:$1,0)),"")="","",IFERROR(INDEX('RAID Log'!$1:$1048576,$B387,MATCH("Impact Area",'RAID Log'!$1:$1,0)),"")))</f>
        <v/>
      </c>
      <c r="F387" s="85" t="str">
        <f>IF($B387="","",IF(IFERROR(INDEX('RAID Log'!$1:$1048576,$B387,MATCH("Impact Area",'RAID Log'!$1:$1,0)),"")="","",IFERROR(INDEX('RAID Log'!$1:$1048576,$B387,MATCH("Impact Area",'RAID Log'!$1:$1,0)),"")))</f>
        <v/>
      </c>
      <c r="G387" s="85" t="str">
        <f>IF($B387="","",IF(IFERROR(INDEX('RAID Log'!$1:$1048576,$B387,MATCH("Impact Rating",'RAID Log'!$1:$1,0)),"")="","",IFERROR(INDEX('RAID Log'!$1:$1048576,$B387,MATCH("Impact Rating",'RAID Log'!$1:$1,0)),"")))</f>
        <v/>
      </c>
      <c r="H387" s="85" t="str">
        <f>IF($B387="","",IF(IFERROR(INDEX('RAID Log'!$1:$1048576,$B387,MATCH("Initial Probability",'RAID Log'!$1:$1,0)),"")="","",IFERROR(INDEX('RAID Log'!$1:$1048576,$B387,MATCH("Initial Probability",'RAID Log'!$1:$1,0)),"")))</f>
        <v/>
      </c>
      <c r="I387" s="86" t="str">
        <f t="shared" si="18"/>
        <v/>
      </c>
      <c r="J387" s="85" t="str">
        <f t="shared" si="19"/>
        <v/>
      </c>
      <c r="K387" s="86" t="str">
        <f t="shared" si="20"/>
        <v/>
      </c>
      <c r="L387" s="85" t="str">
        <f>IF($B387="","",IF(IFERROR(INDEX('RAID Log'!$1:$1048576,$B387,MATCH("Status",'RAID Log'!$1:$1,0)),"")="","",IFERROR(INDEX('RAID Log'!$1:$1048576,$B387,MATCH("Status",'RAID Log'!$1:$1,0)),"")))</f>
        <v/>
      </c>
      <c r="M387" s="85" t="str">
        <f>IF($B387="","",IF(IFERROR(INDEX('RAID Log'!$1:$1048576,$B387,MATCH("RAID Owner",'RAID Log'!$1:$1,0)),"")="","",IFERROR(INDEX('RAID Log'!$1:$1048576,$B387,MATCH("RAID Owner",'RAID Log'!$1:$1,0)),"")))</f>
        <v/>
      </c>
      <c r="N387" s="87" t="str">
        <f>IF($B387="","",IF(IFERROR(INDEX('RAID Log'!$1:$1048576,$B387,MATCH("Date Raised",'RAID Log'!$1:$1,0)),"")="","",IFERROR(INDEX('RAID Log'!$1:$1048576,$B387,MATCH("Date Raised",'RAID Log'!$1:$1,0)),"")))</f>
        <v/>
      </c>
      <c r="O387" s="87" t="str">
        <f>IF($B387="","",IF(IFERROR(INDEX('RAID Log'!$1:$1048576,$B387,MATCH("Closed Date",'RAID Log'!$1:$1,0)),"")="","",IFERROR(INDEX('RAID Log'!$1:$1048576,$B387,MATCH("Closed Date",'RAID Log'!$1:$1,0)),"")))</f>
        <v/>
      </c>
      <c r="P387" s="85" t="str">
        <f>IF($B387="","",IF(IFERROR(INDEX('RAID Log'!$1:$1048576,$B387,MATCH("Mitigation Strategy",'RAID Log'!$1:$1,0)),"")="","",IFERROR(INDEX('RAID Log'!$1:$1048576,$B387,MATCH("Mitigation Strategy",'RAID Log'!$1:$1,0)),"")))</f>
        <v/>
      </c>
      <c r="Q387" s="88" t="str">
        <f>IF($B387="","",IF(IFERROR(INDEX('RAID Log'!$1:$1048576,$B387,MATCH("RAID Response/Plan",'RAID Log'!$1:$1,0)),"")="","",IFERROR(INDEX('RAID Log'!$1:$1048576,$B387,MATCH("RAID Response/Plan",'RAID Log'!$1:$1,0)),"")))</f>
        <v/>
      </c>
    </row>
    <row r="388" spans="1:17" ht="14.25" customHeight="1">
      <c r="A388" s="82" t="str">
        <f>IF($B388="","",IF(IFERROR(INDEX('RAID Log'!$1:$1048576,$B388,MATCH("RAID ID",'RAID Log'!$1:$1,0)),"")="","",IFERROR(INDEX('RAID Log'!$1:$1048576,$B388,MATCH("RAID ID",'RAID Log'!$1:$1,0)),"")))</f>
        <v/>
      </c>
      <c r="B388" s="83" t="str">
        <f>IFERROR(MATCH(ROW()-1,'RAID Log'!$S:$S,0),"")</f>
        <v/>
      </c>
      <c r="C388" s="84" t="str">
        <f>IF($B388="","",IF(IFERROR(INDEX('RAID Log'!$1:$1048576,$B388,MATCH("Description",'RAID Log'!$1:$1,0)),"")="","",IFERROR(INDEX('RAID Log'!$1:$1048576,$B388,MATCH("Description",'RAID Log'!$1:$1,0)),"")))</f>
        <v/>
      </c>
      <c r="D388" s="84" t="str">
        <f>IF($B388="","",IF(IFERROR(INDEX('RAID Log'!$1:$1048576,$B388,MATCH("Impact/Effect of the RAID",'RAID Log'!$1:$1,0)),"")="","",IFERROR(INDEX('RAID Log'!$1:$1048576,$B388,MATCH("Impact/Effect of the RAID",'RAID Log'!$1:$1,0)),"")))</f>
        <v/>
      </c>
      <c r="E388" s="85" t="str">
        <f>IF($B388="","",IF(IFERROR(INDEX('RAID Log'!$1:$1048576,$B388,MATCH("Impact Area",'RAID Log'!$1:$1,0)),"")="","",IFERROR(INDEX('RAID Log'!$1:$1048576,$B388,MATCH("Impact Area",'RAID Log'!$1:$1,0)),"")))</f>
        <v/>
      </c>
      <c r="F388" s="85" t="str">
        <f>IF($B388="","",IF(IFERROR(INDEX('RAID Log'!$1:$1048576,$B388,MATCH("Impact Area",'RAID Log'!$1:$1,0)),"")="","",IFERROR(INDEX('RAID Log'!$1:$1048576,$B388,MATCH("Impact Area",'RAID Log'!$1:$1,0)),"")))</f>
        <v/>
      </c>
      <c r="G388" s="85" t="str">
        <f>IF($B388="","",IF(IFERROR(INDEX('RAID Log'!$1:$1048576,$B388,MATCH("Impact Rating",'RAID Log'!$1:$1,0)),"")="","",IFERROR(INDEX('RAID Log'!$1:$1048576,$B388,MATCH("Impact Rating",'RAID Log'!$1:$1,0)),"")))</f>
        <v/>
      </c>
      <c r="H388" s="85" t="str">
        <f>IF($B388="","",IF(IFERROR(INDEX('RAID Log'!$1:$1048576,$B388,MATCH("Initial Probability",'RAID Log'!$1:$1,0)),"")="","",IFERROR(INDEX('RAID Log'!$1:$1048576,$B388,MATCH("Initial Probability",'RAID Log'!$1:$1,0)),"")))</f>
        <v/>
      </c>
      <c r="I388" s="86" t="str">
        <f t="shared" si="18"/>
        <v/>
      </c>
      <c r="J388" s="85" t="str">
        <f t="shared" si="19"/>
        <v/>
      </c>
      <c r="K388" s="86" t="str">
        <f t="shared" si="20"/>
        <v/>
      </c>
      <c r="L388" s="85" t="str">
        <f>IF($B388="","",IF(IFERROR(INDEX('RAID Log'!$1:$1048576,$B388,MATCH("Status",'RAID Log'!$1:$1,0)),"")="","",IFERROR(INDEX('RAID Log'!$1:$1048576,$B388,MATCH("Status",'RAID Log'!$1:$1,0)),"")))</f>
        <v/>
      </c>
      <c r="M388" s="85" t="str">
        <f>IF($B388="","",IF(IFERROR(INDEX('RAID Log'!$1:$1048576,$B388,MATCH("RAID Owner",'RAID Log'!$1:$1,0)),"")="","",IFERROR(INDEX('RAID Log'!$1:$1048576,$B388,MATCH("RAID Owner",'RAID Log'!$1:$1,0)),"")))</f>
        <v/>
      </c>
      <c r="N388" s="87" t="str">
        <f>IF($B388="","",IF(IFERROR(INDEX('RAID Log'!$1:$1048576,$B388,MATCH("Date Raised",'RAID Log'!$1:$1,0)),"")="","",IFERROR(INDEX('RAID Log'!$1:$1048576,$B388,MATCH("Date Raised",'RAID Log'!$1:$1,0)),"")))</f>
        <v/>
      </c>
      <c r="O388" s="87" t="str">
        <f>IF($B388="","",IF(IFERROR(INDEX('RAID Log'!$1:$1048576,$B388,MATCH("Closed Date",'RAID Log'!$1:$1,0)),"")="","",IFERROR(INDEX('RAID Log'!$1:$1048576,$B388,MATCH("Closed Date",'RAID Log'!$1:$1,0)),"")))</f>
        <v/>
      </c>
      <c r="P388" s="85" t="str">
        <f>IF($B388="","",IF(IFERROR(INDEX('RAID Log'!$1:$1048576,$B388,MATCH("Mitigation Strategy",'RAID Log'!$1:$1,0)),"")="","",IFERROR(INDEX('RAID Log'!$1:$1048576,$B388,MATCH("Mitigation Strategy",'RAID Log'!$1:$1,0)),"")))</f>
        <v/>
      </c>
      <c r="Q388" s="88" t="str">
        <f>IF($B388="","",IF(IFERROR(INDEX('RAID Log'!$1:$1048576,$B388,MATCH("RAID Response/Plan",'RAID Log'!$1:$1,0)),"")="","",IFERROR(INDEX('RAID Log'!$1:$1048576,$B388,MATCH("RAID Response/Plan",'RAID Log'!$1:$1,0)),"")))</f>
        <v/>
      </c>
    </row>
    <row r="389" spans="1:17" ht="14.25" customHeight="1">
      <c r="A389" s="82" t="str">
        <f>IF($B389="","",IF(IFERROR(INDEX('RAID Log'!$1:$1048576,$B389,MATCH("RAID ID",'RAID Log'!$1:$1,0)),"")="","",IFERROR(INDEX('RAID Log'!$1:$1048576,$B389,MATCH("RAID ID",'RAID Log'!$1:$1,0)),"")))</f>
        <v/>
      </c>
      <c r="B389" s="83" t="str">
        <f>IFERROR(MATCH(ROW()-1,'RAID Log'!$S:$S,0),"")</f>
        <v/>
      </c>
      <c r="C389" s="84" t="str">
        <f>IF($B389="","",IF(IFERROR(INDEX('RAID Log'!$1:$1048576,$B389,MATCH("Description",'RAID Log'!$1:$1,0)),"")="","",IFERROR(INDEX('RAID Log'!$1:$1048576,$B389,MATCH("Description",'RAID Log'!$1:$1,0)),"")))</f>
        <v/>
      </c>
      <c r="D389" s="84" t="str">
        <f>IF($B389="","",IF(IFERROR(INDEX('RAID Log'!$1:$1048576,$B389,MATCH("Impact/Effect of the RAID",'RAID Log'!$1:$1,0)),"")="","",IFERROR(INDEX('RAID Log'!$1:$1048576,$B389,MATCH("Impact/Effect of the RAID",'RAID Log'!$1:$1,0)),"")))</f>
        <v/>
      </c>
      <c r="E389" s="85" t="str">
        <f>IF($B389="","",IF(IFERROR(INDEX('RAID Log'!$1:$1048576,$B389,MATCH("Impact Area",'RAID Log'!$1:$1,0)),"")="","",IFERROR(INDEX('RAID Log'!$1:$1048576,$B389,MATCH("Impact Area",'RAID Log'!$1:$1,0)),"")))</f>
        <v/>
      </c>
      <c r="F389" s="85" t="str">
        <f>IF($B389="","",IF(IFERROR(INDEX('RAID Log'!$1:$1048576,$B389,MATCH("Impact Area",'RAID Log'!$1:$1,0)),"")="","",IFERROR(INDEX('RAID Log'!$1:$1048576,$B389,MATCH("Impact Area",'RAID Log'!$1:$1,0)),"")))</f>
        <v/>
      </c>
      <c r="G389" s="85" t="str">
        <f>IF($B389="","",IF(IFERROR(INDEX('RAID Log'!$1:$1048576,$B389,MATCH("Impact Rating",'RAID Log'!$1:$1,0)),"")="","",IFERROR(INDEX('RAID Log'!$1:$1048576,$B389,MATCH("Impact Rating",'RAID Log'!$1:$1,0)),"")))</f>
        <v/>
      </c>
      <c r="H389" s="85" t="str">
        <f>IF($B389="","",IF(IFERROR(INDEX('RAID Log'!$1:$1048576,$B389,MATCH("Initial Probability",'RAID Log'!$1:$1,0)),"")="","",IFERROR(INDEX('RAID Log'!$1:$1048576,$B389,MATCH("Initial Probability",'RAID Log'!$1:$1,0)),"")))</f>
        <v/>
      </c>
      <c r="I389" s="86" t="str">
        <f t="shared" si="18"/>
        <v/>
      </c>
      <c r="J389" s="85" t="str">
        <f t="shared" si="19"/>
        <v/>
      </c>
      <c r="K389" s="86" t="str">
        <f t="shared" si="20"/>
        <v/>
      </c>
      <c r="L389" s="85" t="str">
        <f>IF($B389="","",IF(IFERROR(INDEX('RAID Log'!$1:$1048576,$B389,MATCH("Status",'RAID Log'!$1:$1,0)),"")="","",IFERROR(INDEX('RAID Log'!$1:$1048576,$B389,MATCH("Status",'RAID Log'!$1:$1,0)),"")))</f>
        <v/>
      </c>
      <c r="M389" s="85" t="str">
        <f>IF($B389="","",IF(IFERROR(INDEX('RAID Log'!$1:$1048576,$B389,MATCH("RAID Owner",'RAID Log'!$1:$1,0)),"")="","",IFERROR(INDEX('RAID Log'!$1:$1048576,$B389,MATCH("RAID Owner",'RAID Log'!$1:$1,0)),"")))</f>
        <v/>
      </c>
      <c r="N389" s="87" t="str">
        <f>IF($B389="","",IF(IFERROR(INDEX('RAID Log'!$1:$1048576,$B389,MATCH("Date Raised",'RAID Log'!$1:$1,0)),"")="","",IFERROR(INDEX('RAID Log'!$1:$1048576,$B389,MATCH("Date Raised",'RAID Log'!$1:$1,0)),"")))</f>
        <v/>
      </c>
      <c r="O389" s="87" t="str">
        <f>IF($B389="","",IF(IFERROR(INDEX('RAID Log'!$1:$1048576,$B389,MATCH("Closed Date",'RAID Log'!$1:$1,0)),"")="","",IFERROR(INDEX('RAID Log'!$1:$1048576,$B389,MATCH("Closed Date",'RAID Log'!$1:$1,0)),"")))</f>
        <v/>
      </c>
      <c r="P389" s="85" t="str">
        <f>IF($B389="","",IF(IFERROR(INDEX('RAID Log'!$1:$1048576,$B389,MATCH("Mitigation Strategy",'RAID Log'!$1:$1,0)),"")="","",IFERROR(INDEX('RAID Log'!$1:$1048576,$B389,MATCH("Mitigation Strategy",'RAID Log'!$1:$1,0)),"")))</f>
        <v/>
      </c>
      <c r="Q389" s="88" t="str">
        <f>IF($B389="","",IF(IFERROR(INDEX('RAID Log'!$1:$1048576,$B389,MATCH("RAID Response/Plan",'RAID Log'!$1:$1,0)),"")="","",IFERROR(INDEX('RAID Log'!$1:$1048576,$B389,MATCH("RAID Response/Plan",'RAID Log'!$1:$1,0)),"")))</f>
        <v/>
      </c>
    </row>
    <row r="390" spans="1:17" ht="14.25" customHeight="1">
      <c r="A390" s="82" t="str">
        <f>IF($B390="","",IF(IFERROR(INDEX('RAID Log'!$1:$1048576,$B390,MATCH("RAID ID",'RAID Log'!$1:$1,0)),"")="","",IFERROR(INDEX('RAID Log'!$1:$1048576,$B390,MATCH("RAID ID",'RAID Log'!$1:$1,0)),"")))</f>
        <v/>
      </c>
      <c r="B390" s="83" t="str">
        <f>IFERROR(MATCH(ROW()-1,'RAID Log'!$S:$S,0),"")</f>
        <v/>
      </c>
      <c r="C390" s="84" t="str">
        <f>IF($B390="","",IF(IFERROR(INDEX('RAID Log'!$1:$1048576,$B390,MATCH("Description",'RAID Log'!$1:$1,0)),"")="","",IFERROR(INDEX('RAID Log'!$1:$1048576,$B390,MATCH("Description",'RAID Log'!$1:$1,0)),"")))</f>
        <v/>
      </c>
      <c r="D390" s="84" t="str">
        <f>IF($B390="","",IF(IFERROR(INDEX('RAID Log'!$1:$1048576,$B390,MATCH("Impact/Effect of the RAID",'RAID Log'!$1:$1,0)),"")="","",IFERROR(INDEX('RAID Log'!$1:$1048576,$B390,MATCH("Impact/Effect of the RAID",'RAID Log'!$1:$1,0)),"")))</f>
        <v/>
      </c>
      <c r="E390" s="85" t="str">
        <f>IF($B390="","",IF(IFERROR(INDEX('RAID Log'!$1:$1048576,$B390,MATCH("Impact Area",'RAID Log'!$1:$1,0)),"")="","",IFERROR(INDEX('RAID Log'!$1:$1048576,$B390,MATCH("Impact Area",'RAID Log'!$1:$1,0)),"")))</f>
        <v/>
      </c>
      <c r="F390" s="85" t="str">
        <f>IF($B390="","",IF(IFERROR(INDEX('RAID Log'!$1:$1048576,$B390,MATCH("Impact Area",'RAID Log'!$1:$1,0)),"")="","",IFERROR(INDEX('RAID Log'!$1:$1048576,$B390,MATCH("Impact Area",'RAID Log'!$1:$1,0)),"")))</f>
        <v/>
      </c>
      <c r="G390" s="85" t="str">
        <f>IF($B390="","",IF(IFERROR(INDEX('RAID Log'!$1:$1048576,$B390,MATCH("Impact Rating",'RAID Log'!$1:$1,0)),"")="","",IFERROR(INDEX('RAID Log'!$1:$1048576,$B390,MATCH("Impact Rating",'RAID Log'!$1:$1,0)),"")))</f>
        <v/>
      </c>
      <c r="H390" s="85" t="str">
        <f>IF($B390="","",IF(IFERROR(INDEX('RAID Log'!$1:$1048576,$B390,MATCH("Initial Probability",'RAID Log'!$1:$1,0)),"")="","",IFERROR(INDEX('RAID Log'!$1:$1048576,$B390,MATCH("Initial Probability",'RAID Log'!$1:$1,0)),"")))</f>
        <v/>
      </c>
      <c r="I390" s="86" t="str">
        <f t="shared" si="18"/>
        <v/>
      </c>
      <c r="J390" s="85" t="str">
        <f t="shared" si="19"/>
        <v/>
      </c>
      <c r="K390" s="86" t="str">
        <f t="shared" si="20"/>
        <v/>
      </c>
      <c r="L390" s="85" t="str">
        <f>IF($B390="","",IF(IFERROR(INDEX('RAID Log'!$1:$1048576,$B390,MATCH("Status",'RAID Log'!$1:$1,0)),"")="","",IFERROR(INDEX('RAID Log'!$1:$1048576,$B390,MATCH("Status",'RAID Log'!$1:$1,0)),"")))</f>
        <v/>
      </c>
      <c r="M390" s="85" t="str">
        <f>IF($B390="","",IF(IFERROR(INDEX('RAID Log'!$1:$1048576,$B390,MATCH("RAID Owner",'RAID Log'!$1:$1,0)),"")="","",IFERROR(INDEX('RAID Log'!$1:$1048576,$B390,MATCH("RAID Owner",'RAID Log'!$1:$1,0)),"")))</f>
        <v/>
      </c>
      <c r="N390" s="87" t="str">
        <f>IF($B390="","",IF(IFERROR(INDEX('RAID Log'!$1:$1048576,$B390,MATCH("Date Raised",'RAID Log'!$1:$1,0)),"")="","",IFERROR(INDEX('RAID Log'!$1:$1048576,$B390,MATCH("Date Raised",'RAID Log'!$1:$1,0)),"")))</f>
        <v/>
      </c>
      <c r="O390" s="87" t="str">
        <f>IF($B390="","",IF(IFERROR(INDEX('RAID Log'!$1:$1048576,$B390,MATCH("Closed Date",'RAID Log'!$1:$1,0)),"")="","",IFERROR(INDEX('RAID Log'!$1:$1048576,$B390,MATCH("Closed Date",'RAID Log'!$1:$1,0)),"")))</f>
        <v/>
      </c>
      <c r="P390" s="85" t="str">
        <f>IF($B390="","",IF(IFERROR(INDEX('RAID Log'!$1:$1048576,$B390,MATCH("Mitigation Strategy",'RAID Log'!$1:$1,0)),"")="","",IFERROR(INDEX('RAID Log'!$1:$1048576,$B390,MATCH("Mitigation Strategy",'RAID Log'!$1:$1,0)),"")))</f>
        <v/>
      </c>
      <c r="Q390" s="88" t="str">
        <f>IF($B390="","",IF(IFERROR(INDEX('RAID Log'!$1:$1048576,$B390,MATCH("RAID Response/Plan",'RAID Log'!$1:$1,0)),"")="","",IFERROR(INDEX('RAID Log'!$1:$1048576,$B390,MATCH("RAID Response/Plan",'RAID Log'!$1:$1,0)),"")))</f>
        <v/>
      </c>
    </row>
    <row r="391" spans="1:17" ht="14.25" customHeight="1">
      <c r="A391" s="82" t="str">
        <f>IF($B391="","",IF(IFERROR(INDEX('RAID Log'!$1:$1048576,$B391,MATCH("RAID ID",'RAID Log'!$1:$1,0)),"")="","",IFERROR(INDEX('RAID Log'!$1:$1048576,$B391,MATCH("RAID ID",'RAID Log'!$1:$1,0)),"")))</f>
        <v/>
      </c>
      <c r="B391" s="83" t="str">
        <f>IFERROR(MATCH(ROW()-1,'RAID Log'!$S:$S,0),"")</f>
        <v/>
      </c>
      <c r="C391" s="84" t="str">
        <f>IF($B391="","",IF(IFERROR(INDEX('RAID Log'!$1:$1048576,$B391,MATCH("Description",'RAID Log'!$1:$1,0)),"")="","",IFERROR(INDEX('RAID Log'!$1:$1048576,$B391,MATCH("Description",'RAID Log'!$1:$1,0)),"")))</f>
        <v/>
      </c>
      <c r="D391" s="84" t="str">
        <f>IF($B391="","",IF(IFERROR(INDEX('RAID Log'!$1:$1048576,$B391,MATCH("Impact/Effect of the RAID",'RAID Log'!$1:$1,0)),"")="","",IFERROR(INDEX('RAID Log'!$1:$1048576,$B391,MATCH("Impact/Effect of the RAID",'RAID Log'!$1:$1,0)),"")))</f>
        <v/>
      </c>
      <c r="E391" s="85" t="str">
        <f>IF($B391="","",IF(IFERROR(INDEX('RAID Log'!$1:$1048576,$B391,MATCH("Impact Area",'RAID Log'!$1:$1,0)),"")="","",IFERROR(INDEX('RAID Log'!$1:$1048576,$B391,MATCH("Impact Area",'RAID Log'!$1:$1,0)),"")))</f>
        <v/>
      </c>
      <c r="F391" s="85" t="str">
        <f>IF($B391="","",IF(IFERROR(INDEX('RAID Log'!$1:$1048576,$B391,MATCH("Impact Area",'RAID Log'!$1:$1,0)),"")="","",IFERROR(INDEX('RAID Log'!$1:$1048576,$B391,MATCH("Impact Area",'RAID Log'!$1:$1,0)),"")))</f>
        <v/>
      </c>
      <c r="G391" s="85" t="str">
        <f>IF($B391="","",IF(IFERROR(INDEX('RAID Log'!$1:$1048576,$B391,MATCH("Impact Rating",'RAID Log'!$1:$1,0)),"")="","",IFERROR(INDEX('RAID Log'!$1:$1048576,$B391,MATCH("Impact Rating",'RAID Log'!$1:$1,0)),"")))</f>
        <v/>
      </c>
      <c r="H391" s="85" t="str">
        <f>IF($B391="","",IF(IFERROR(INDEX('RAID Log'!$1:$1048576,$B391,MATCH("Initial Probability",'RAID Log'!$1:$1,0)),"")="","",IFERROR(INDEX('RAID Log'!$1:$1048576,$B391,MATCH("Initial Probability",'RAID Log'!$1:$1,0)),"")))</f>
        <v/>
      </c>
      <c r="I391" s="86" t="str">
        <f t="shared" si="18"/>
        <v/>
      </c>
      <c r="J391" s="85" t="str">
        <f t="shared" si="19"/>
        <v/>
      </c>
      <c r="K391" s="86" t="str">
        <f t="shared" si="20"/>
        <v/>
      </c>
      <c r="L391" s="85" t="str">
        <f>IF($B391="","",IF(IFERROR(INDEX('RAID Log'!$1:$1048576,$B391,MATCH("Status",'RAID Log'!$1:$1,0)),"")="","",IFERROR(INDEX('RAID Log'!$1:$1048576,$B391,MATCH("Status",'RAID Log'!$1:$1,0)),"")))</f>
        <v/>
      </c>
      <c r="M391" s="85" t="str">
        <f>IF($B391="","",IF(IFERROR(INDEX('RAID Log'!$1:$1048576,$B391,MATCH("RAID Owner",'RAID Log'!$1:$1,0)),"")="","",IFERROR(INDEX('RAID Log'!$1:$1048576,$B391,MATCH("RAID Owner",'RAID Log'!$1:$1,0)),"")))</f>
        <v/>
      </c>
      <c r="N391" s="87" t="str">
        <f>IF($B391="","",IF(IFERROR(INDEX('RAID Log'!$1:$1048576,$B391,MATCH("Date Raised",'RAID Log'!$1:$1,0)),"")="","",IFERROR(INDEX('RAID Log'!$1:$1048576,$B391,MATCH("Date Raised",'RAID Log'!$1:$1,0)),"")))</f>
        <v/>
      </c>
      <c r="O391" s="87" t="str">
        <f>IF($B391="","",IF(IFERROR(INDEX('RAID Log'!$1:$1048576,$B391,MATCH("Closed Date",'RAID Log'!$1:$1,0)),"")="","",IFERROR(INDEX('RAID Log'!$1:$1048576,$B391,MATCH("Closed Date",'RAID Log'!$1:$1,0)),"")))</f>
        <v/>
      </c>
      <c r="P391" s="85" t="str">
        <f>IF($B391="","",IF(IFERROR(INDEX('RAID Log'!$1:$1048576,$B391,MATCH("Mitigation Strategy",'RAID Log'!$1:$1,0)),"")="","",IFERROR(INDEX('RAID Log'!$1:$1048576,$B391,MATCH("Mitigation Strategy",'RAID Log'!$1:$1,0)),"")))</f>
        <v/>
      </c>
      <c r="Q391" s="88" t="str">
        <f>IF($B391="","",IF(IFERROR(INDEX('RAID Log'!$1:$1048576,$B391,MATCH("RAID Response/Plan",'RAID Log'!$1:$1,0)),"")="","",IFERROR(INDEX('RAID Log'!$1:$1048576,$B391,MATCH("RAID Response/Plan",'RAID Log'!$1:$1,0)),"")))</f>
        <v/>
      </c>
    </row>
    <row r="392" spans="1:17" ht="14.25" customHeight="1">
      <c r="A392" s="82" t="str">
        <f>IF($B392="","",IF(IFERROR(INDEX('RAID Log'!$1:$1048576,$B392,MATCH("RAID ID",'RAID Log'!$1:$1,0)),"")="","",IFERROR(INDEX('RAID Log'!$1:$1048576,$B392,MATCH("RAID ID",'RAID Log'!$1:$1,0)),"")))</f>
        <v/>
      </c>
      <c r="B392" s="83" t="str">
        <f>IFERROR(MATCH(ROW()-1,'RAID Log'!$S:$S,0),"")</f>
        <v/>
      </c>
      <c r="C392" s="84" t="str">
        <f>IF($B392="","",IF(IFERROR(INDEX('RAID Log'!$1:$1048576,$B392,MATCH("Description",'RAID Log'!$1:$1,0)),"")="","",IFERROR(INDEX('RAID Log'!$1:$1048576,$B392,MATCH("Description",'RAID Log'!$1:$1,0)),"")))</f>
        <v/>
      </c>
      <c r="D392" s="84" t="str">
        <f>IF($B392="","",IF(IFERROR(INDEX('RAID Log'!$1:$1048576,$B392,MATCH("Impact/Effect of the RAID",'RAID Log'!$1:$1,0)),"")="","",IFERROR(INDEX('RAID Log'!$1:$1048576,$B392,MATCH("Impact/Effect of the RAID",'RAID Log'!$1:$1,0)),"")))</f>
        <v/>
      </c>
      <c r="E392" s="85" t="str">
        <f>IF($B392="","",IF(IFERROR(INDEX('RAID Log'!$1:$1048576,$B392,MATCH("Impact Area",'RAID Log'!$1:$1,0)),"")="","",IFERROR(INDEX('RAID Log'!$1:$1048576,$B392,MATCH("Impact Area",'RAID Log'!$1:$1,0)),"")))</f>
        <v/>
      </c>
      <c r="F392" s="85" t="str">
        <f>IF($B392="","",IF(IFERROR(INDEX('RAID Log'!$1:$1048576,$B392,MATCH("Impact Area",'RAID Log'!$1:$1,0)),"")="","",IFERROR(INDEX('RAID Log'!$1:$1048576,$B392,MATCH("Impact Area",'RAID Log'!$1:$1,0)),"")))</f>
        <v/>
      </c>
      <c r="G392" s="85" t="str">
        <f>IF($B392="","",IF(IFERROR(INDEX('RAID Log'!$1:$1048576,$B392,MATCH("Impact Rating",'RAID Log'!$1:$1,0)),"")="","",IFERROR(INDEX('RAID Log'!$1:$1048576,$B392,MATCH("Impact Rating",'RAID Log'!$1:$1,0)),"")))</f>
        <v/>
      </c>
      <c r="H392" s="85" t="str">
        <f>IF($B392="","",IF(IFERROR(INDEX('RAID Log'!$1:$1048576,$B392,MATCH("Initial Probability",'RAID Log'!$1:$1,0)),"")="","",IFERROR(INDEX('RAID Log'!$1:$1048576,$B392,MATCH("Initial Probability",'RAID Log'!$1:$1,0)),"")))</f>
        <v/>
      </c>
      <c r="I392" s="86" t="str">
        <f t="shared" si="18"/>
        <v/>
      </c>
      <c r="J392" s="85" t="str">
        <f t="shared" si="19"/>
        <v/>
      </c>
      <c r="K392" s="86" t="str">
        <f t="shared" si="20"/>
        <v/>
      </c>
      <c r="L392" s="85" t="str">
        <f>IF($B392="","",IF(IFERROR(INDEX('RAID Log'!$1:$1048576,$B392,MATCH("Status",'RAID Log'!$1:$1,0)),"")="","",IFERROR(INDEX('RAID Log'!$1:$1048576,$B392,MATCH("Status",'RAID Log'!$1:$1,0)),"")))</f>
        <v/>
      </c>
      <c r="M392" s="85" t="str">
        <f>IF($B392="","",IF(IFERROR(INDEX('RAID Log'!$1:$1048576,$B392,MATCH("RAID Owner",'RAID Log'!$1:$1,0)),"")="","",IFERROR(INDEX('RAID Log'!$1:$1048576,$B392,MATCH("RAID Owner",'RAID Log'!$1:$1,0)),"")))</f>
        <v/>
      </c>
      <c r="N392" s="87" t="str">
        <f>IF($B392="","",IF(IFERROR(INDEX('RAID Log'!$1:$1048576,$B392,MATCH("Date Raised",'RAID Log'!$1:$1,0)),"")="","",IFERROR(INDEX('RAID Log'!$1:$1048576,$B392,MATCH("Date Raised",'RAID Log'!$1:$1,0)),"")))</f>
        <v/>
      </c>
      <c r="O392" s="87" t="str">
        <f>IF($B392="","",IF(IFERROR(INDEX('RAID Log'!$1:$1048576,$B392,MATCH("Closed Date",'RAID Log'!$1:$1,0)),"")="","",IFERROR(INDEX('RAID Log'!$1:$1048576,$B392,MATCH("Closed Date",'RAID Log'!$1:$1,0)),"")))</f>
        <v/>
      </c>
      <c r="P392" s="85" t="str">
        <f>IF($B392="","",IF(IFERROR(INDEX('RAID Log'!$1:$1048576,$B392,MATCH("Mitigation Strategy",'RAID Log'!$1:$1,0)),"")="","",IFERROR(INDEX('RAID Log'!$1:$1048576,$B392,MATCH("Mitigation Strategy",'RAID Log'!$1:$1,0)),"")))</f>
        <v/>
      </c>
      <c r="Q392" s="88" t="str">
        <f>IF($B392="","",IF(IFERROR(INDEX('RAID Log'!$1:$1048576,$B392,MATCH("RAID Response/Plan",'RAID Log'!$1:$1,0)),"")="","",IFERROR(INDEX('RAID Log'!$1:$1048576,$B392,MATCH("RAID Response/Plan",'RAID Log'!$1:$1,0)),"")))</f>
        <v/>
      </c>
    </row>
    <row r="393" spans="1:17" ht="14.25" customHeight="1">
      <c r="A393" s="82" t="str">
        <f>IF($B393="","",IF(IFERROR(INDEX('RAID Log'!$1:$1048576,$B393,MATCH("RAID ID",'RAID Log'!$1:$1,0)),"")="","",IFERROR(INDEX('RAID Log'!$1:$1048576,$B393,MATCH("RAID ID",'RAID Log'!$1:$1,0)),"")))</f>
        <v/>
      </c>
      <c r="B393" s="83" t="str">
        <f>IFERROR(MATCH(ROW()-1,'RAID Log'!$S:$S,0),"")</f>
        <v/>
      </c>
      <c r="C393" s="84" t="str">
        <f>IF($B393="","",IF(IFERROR(INDEX('RAID Log'!$1:$1048576,$B393,MATCH("Description",'RAID Log'!$1:$1,0)),"")="","",IFERROR(INDEX('RAID Log'!$1:$1048576,$B393,MATCH("Description",'RAID Log'!$1:$1,0)),"")))</f>
        <v/>
      </c>
      <c r="D393" s="84" t="str">
        <f>IF($B393="","",IF(IFERROR(INDEX('RAID Log'!$1:$1048576,$B393,MATCH("Impact/Effect of the RAID",'RAID Log'!$1:$1,0)),"")="","",IFERROR(INDEX('RAID Log'!$1:$1048576,$B393,MATCH("Impact/Effect of the RAID",'RAID Log'!$1:$1,0)),"")))</f>
        <v/>
      </c>
      <c r="E393" s="85" t="str">
        <f>IF($B393="","",IF(IFERROR(INDEX('RAID Log'!$1:$1048576,$B393,MATCH("Impact Area",'RAID Log'!$1:$1,0)),"")="","",IFERROR(INDEX('RAID Log'!$1:$1048576,$B393,MATCH("Impact Area",'RAID Log'!$1:$1,0)),"")))</f>
        <v/>
      </c>
      <c r="F393" s="85" t="str">
        <f>IF($B393="","",IF(IFERROR(INDEX('RAID Log'!$1:$1048576,$B393,MATCH("Impact Area",'RAID Log'!$1:$1,0)),"")="","",IFERROR(INDEX('RAID Log'!$1:$1048576,$B393,MATCH("Impact Area",'RAID Log'!$1:$1,0)),"")))</f>
        <v/>
      </c>
      <c r="G393" s="85" t="str">
        <f>IF($B393="","",IF(IFERROR(INDEX('RAID Log'!$1:$1048576,$B393,MATCH("Impact Rating",'RAID Log'!$1:$1,0)),"")="","",IFERROR(INDEX('RAID Log'!$1:$1048576,$B393,MATCH("Impact Rating",'RAID Log'!$1:$1,0)),"")))</f>
        <v/>
      </c>
      <c r="H393" s="85" t="str">
        <f>IF($B393="","",IF(IFERROR(INDEX('RAID Log'!$1:$1048576,$B393,MATCH("Initial Probability",'RAID Log'!$1:$1,0)),"")="","",IFERROR(INDEX('RAID Log'!$1:$1048576,$B393,MATCH("Initial Probability",'RAID Log'!$1:$1,0)),"")))</f>
        <v/>
      </c>
      <c r="I393" s="86" t="str">
        <f t="shared" si="18"/>
        <v/>
      </c>
      <c r="J393" s="85" t="str">
        <f t="shared" si="19"/>
        <v/>
      </c>
      <c r="K393" s="86" t="str">
        <f t="shared" si="20"/>
        <v/>
      </c>
      <c r="L393" s="85" t="str">
        <f>IF($B393="","",IF(IFERROR(INDEX('RAID Log'!$1:$1048576,$B393,MATCH("Status",'RAID Log'!$1:$1,0)),"")="","",IFERROR(INDEX('RAID Log'!$1:$1048576,$B393,MATCH("Status",'RAID Log'!$1:$1,0)),"")))</f>
        <v/>
      </c>
      <c r="M393" s="85" t="str">
        <f>IF($B393="","",IF(IFERROR(INDEX('RAID Log'!$1:$1048576,$B393,MATCH("RAID Owner",'RAID Log'!$1:$1,0)),"")="","",IFERROR(INDEX('RAID Log'!$1:$1048576,$B393,MATCH("RAID Owner",'RAID Log'!$1:$1,0)),"")))</f>
        <v/>
      </c>
      <c r="N393" s="87" t="str">
        <f>IF($B393="","",IF(IFERROR(INDEX('RAID Log'!$1:$1048576,$B393,MATCH("Date Raised",'RAID Log'!$1:$1,0)),"")="","",IFERROR(INDEX('RAID Log'!$1:$1048576,$B393,MATCH("Date Raised",'RAID Log'!$1:$1,0)),"")))</f>
        <v/>
      </c>
      <c r="O393" s="87" t="str">
        <f>IF($B393="","",IF(IFERROR(INDEX('RAID Log'!$1:$1048576,$B393,MATCH("Closed Date",'RAID Log'!$1:$1,0)),"")="","",IFERROR(INDEX('RAID Log'!$1:$1048576,$B393,MATCH("Closed Date",'RAID Log'!$1:$1,0)),"")))</f>
        <v/>
      </c>
      <c r="P393" s="85" t="str">
        <f>IF($B393="","",IF(IFERROR(INDEX('RAID Log'!$1:$1048576,$B393,MATCH("Mitigation Strategy",'RAID Log'!$1:$1,0)),"")="","",IFERROR(INDEX('RAID Log'!$1:$1048576,$B393,MATCH("Mitigation Strategy",'RAID Log'!$1:$1,0)),"")))</f>
        <v/>
      </c>
      <c r="Q393" s="88" t="str">
        <f>IF($B393="","",IF(IFERROR(INDEX('RAID Log'!$1:$1048576,$B393,MATCH("RAID Response/Plan",'RAID Log'!$1:$1,0)),"")="","",IFERROR(INDEX('RAID Log'!$1:$1048576,$B393,MATCH("RAID Response/Plan",'RAID Log'!$1:$1,0)),"")))</f>
        <v/>
      </c>
    </row>
    <row r="394" spans="1:17" ht="14.25" customHeight="1">
      <c r="A394" s="82" t="str">
        <f>IF($B394="","",IF(IFERROR(INDEX('RAID Log'!$1:$1048576,$B394,MATCH("RAID ID",'RAID Log'!$1:$1,0)),"")="","",IFERROR(INDEX('RAID Log'!$1:$1048576,$B394,MATCH("RAID ID",'RAID Log'!$1:$1,0)),"")))</f>
        <v/>
      </c>
      <c r="B394" s="83" t="str">
        <f>IFERROR(MATCH(ROW()-1,'RAID Log'!$S:$S,0),"")</f>
        <v/>
      </c>
      <c r="C394" s="84" t="str">
        <f>IF($B394="","",IF(IFERROR(INDEX('RAID Log'!$1:$1048576,$B394,MATCH("Description",'RAID Log'!$1:$1,0)),"")="","",IFERROR(INDEX('RAID Log'!$1:$1048576,$B394,MATCH("Description",'RAID Log'!$1:$1,0)),"")))</f>
        <v/>
      </c>
      <c r="D394" s="84" t="str">
        <f>IF($B394="","",IF(IFERROR(INDEX('RAID Log'!$1:$1048576,$B394,MATCH("Impact/Effect of the RAID",'RAID Log'!$1:$1,0)),"")="","",IFERROR(INDEX('RAID Log'!$1:$1048576,$B394,MATCH("Impact/Effect of the RAID",'RAID Log'!$1:$1,0)),"")))</f>
        <v/>
      </c>
      <c r="E394" s="85" t="str">
        <f>IF($B394="","",IF(IFERROR(INDEX('RAID Log'!$1:$1048576,$B394,MATCH("Impact Area",'RAID Log'!$1:$1,0)),"")="","",IFERROR(INDEX('RAID Log'!$1:$1048576,$B394,MATCH("Impact Area",'RAID Log'!$1:$1,0)),"")))</f>
        <v/>
      </c>
      <c r="F394" s="85" t="str">
        <f>IF($B394="","",IF(IFERROR(INDEX('RAID Log'!$1:$1048576,$B394,MATCH("Impact Area",'RAID Log'!$1:$1,0)),"")="","",IFERROR(INDEX('RAID Log'!$1:$1048576,$B394,MATCH("Impact Area",'RAID Log'!$1:$1,0)),"")))</f>
        <v/>
      </c>
      <c r="G394" s="85" t="str">
        <f>IF($B394="","",IF(IFERROR(INDEX('RAID Log'!$1:$1048576,$B394,MATCH("Impact Rating",'RAID Log'!$1:$1,0)),"")="","",IFERROR(INDEX('RAID Log'!$1:$1048576,$B394,MATCH("Impact Rating",'RAID Log'!$1:$1,0)),"")))</f>
        <v/>
      </c>
      <c r="H394" s="85" t="str">
        <f>IF($B394="","",IF(IFERROR(INDEX('RAID Log'!$1:$1048576,$B394,MATCH("Initial Probability",'RAID Log'!$1:$1,0)),"")="","",IFERROR(INDEX('RAID Log'!$1:$1048576,$B394,MATCH("Initial Probability",'RAID Log'!$1:$1,0)),"")))</f>
        <v/>
      </c>
      <c r="I394" s="86" t="str">
        <f t="shared" si="18"/>
        <v/>
      </c>
      <c r="J394" s="85" t="str">
        <f t="shared" si="19"/>
        <v/>
      </c>
      <c r="K394" s="86" t="str">
        <f t="shared" si="20"/>
        <v/>
      </c>
      <c r="L394" s="85" t="str">
        <f>IF($B394="","",IF(IFERROR(INDEX('RAID Log'!$1:$1048576,$B394,MATCH("Status",'RAID Log'!$1:$1,0)),"")="","",IFERROR(INDEX('RAID Log'!$1:$1048576,$B394,MATCH("Status",'RAID Log'!$1:$1,0)),"")))</f>
        <v/>
      </c>
      <c r="M394" s="85" t="str">
        <f>IF($B394="","",IF(IFERROR(INDEX('RAID Log'!$1:$1048576,$B394,MATCH("RAID Owner",'RAID Log'!$1:$1,0)),"")="","",IFERROR(INDEX('RAID Log'!$1:$1048576,$B394,MATCH("RAID Owner",'RAID Log'!$1:$1,0)),"")))</f>
        <v/>
      </c>
      <c r="N394" s="87" t="str">
        <f>IF($B394="","",IF(IFERROR(INDEX('RAID Log'!$1:$1048576,$B394,MATCH("Date Raised",'RAID Log'!$1:$1,0)),"")="","",IFERROR(INDEX('RAID Log'!$1:$1048576,$B394,MATCH("Date Raised",'RAID Log'!$1:$1,0)),"")))</f>
        <v/>
      </c>
      <c r="O394" s="87" t="str">
        <f>IF($B394="","",IF(IFERROR(INDEX('RAID Log'!$1:$1048576,$B394,MATCH("Closed Date",'RAID Log'!$1:$1,0)),"")="","",IFERROR(INDEX('RAID Log'!$1:$1048576,$B394,MATCH("Closed Date",'RAID Log'!$1:$1,0)),"")))</f>
        <v/>
      </c>
      <c r="P394" s="85" t="str">
        <f>IF($B394="","",IF(IFERROR(INDEX('RAID Log'!$1:$1048576,$B394,MATCH("Mitigation Strategy",'RAID Log'!$1:$1,0)),"")="","",IFERROR(INDEX('RAID Log'!$1:$1048576,$B394,MATCH("Mitigation Strategy",'RAID Log'!$1:$1,0)),"")))</f>
        <v/>
      </c>
      <c r="Q394" s="88" t="str">
        <f>IF($B394="","",IF(IFERROR(INDEX('RAID Log'!$1:$1048576,$B394,MATCH("RAID Response/Plan",'RAID Log'!$1:$1,0)),"")="","",IFERROR(INDEX('RAID Log'!$1:$1048576,$B394,MATCH("RAID Response/Plan",'RAID Log'!$1:$1,0)),"")))</f>
        <v/>
      </c>
    </row>
    <row r="395" spans="1:17" ht="14.25" customHeight="1">
      <c r="A395" s="82" t="str">
        <f>IF($B395="","",IF(IFERROR(INDEX('RAID Log'!$1:$1048576,$B395,MATCH("RAID ID",'RAID Log'!$1:$1,0)),"")="","",IFERROR(INDEX('RAID Log'!$1:$1048576,$B395,MATCH("RAID ID",'RAID Log'!$1:$1,0)),"")))</f>
        <v/>
      </c>
      <c r="B395" s="83" t="str">
        <f>IFERROR(MATCH(ROW()-1,'RAID Log'!$S:$S,0),"")</f>
        <v/>
      </c>
      <c r="C395" s="84" t="str">
        <f>IF($B395="","",IF(IFERROR(INDEX('RAID Log'!$1:$1048576,$B395,MATCH("Description",'RAID Log'!$1:$1,0)),"")="","",IFERROR(INDEX('RAID Log'!$1:$1048576,$B395,MATCH("Description",'RAID Log'!$1:$1,0)),"")))</f>
        <v/>
      </c>
      <c r="D395" s="84" t="str">
        <f>IF($B395="","",IF(IFERROR(INDEX('RAID Log'!$1:$1048576,$B395,MATCH("Impact/Effect of the RAID",'RAID Log'!$1:$1,0)),"")="","",IFERROR(INDEX('RAID Log'!$1:$1048576,$B395,MATCH("Impact/Effect of the RAID",'RAID Log'!$1:$1,0)),"")))</f>
        <v/>
      </c>
      <c r="E395" s="85" t="str">
        <f>IF($B395="","",IF(IFERROR(INDEX('RAID Log'!$1:$1048576,$B395,MATCH("Impact Area",'RAID Log'!$1:$1,0)),"")="","",IFERROR(INDEX('RAID Log'!$1:$1048576,$B395,MATCH("Impact Area",'RAID Log'!$1:$1,0)),"")))</f>
        <v/>
      </c>
      <c r="F395" s="85" t="str">
        <f>IF($B395="","",IF(IFERROR(INDEX('RAID Log'!$1:$1048576,$B395,MATCH("Impact Area",'RAID Log'!$1:$1,0)),"")="","",IFERROR(INDEX('RAID Log'!$1:$1048576,$B395,MATCH("Impact Area",'RAID Log'!$1:$1,0)),"")))</f>
        <v/>
      </c>
      <c r="G395" s="85" t="str">
        <f>IF($B395="","",IF(IFERROR(INDEX('RAID Log'!$1:$1048576,$B395,MATCH("Impact Rating",'RAID Log'!$1:$1,0)),"")="","",IFERROR(INDEX('RAID Log'!$1:$1048576,$B395,MATCH("Impact Rating",'RAID Log'!$1:$1,0)),"")))</f>
        <v/>
      </c>
      <c r="H395" s="85" t="str">
        <f>IF($B395="","",IF(IFERROR(INDEX('RAID Log'!$1:$1048576,$B395,MATCH("Initial Probability",'RAID Log'!$1:$1,0)),"")="","",IFERROR(INDEX('RAID Log'!$1:$1048576,$B395,MATCH("Initial Probability",'RAID Log'!$1:$1,0)),"")))</f>
        <v/>
      </c>
      <c r="I395" s="86" t="str">
        <f t="shared" si="18"/>
        <v/>
      </c>
      <c r="J395" s="85" t="str">
        <f t="shared" si="19"/>
        <v/>
      </c>
      <c r="K395" s="86" t="str">
        <f t="shared" si="20"/>
        <v/>
      </c>
      <c r="L395" s="85" t="str">
        <f>IF($B395="","",IF(IFERROR(INDEX('RAID Log'!$1:$1048576,$B395,MATCH("Status",'RAID Log'!$1:$1,0)),"")="","",IFERROR(INDEX('RAID Log'!$1:$1048576,$B395,MATCH("Status",'RAID Log'!$1:$1,0)),"")))</f>
        <v/>
      </c>
      <c r="M395" s="85" t="str">
        <f>IF($B395="","",IF(IFERROR(INDEX('RAID Log'!$1:$1048576,$B395,MATCH("RAID Owner",'RAID Log'!$1:$1,0)),"")="","",IFERROR(INDEX('RAID Log'!$1:$1048576,$B395,MATCH("RAID Owner",'RAID Log'!$1:$1,0)),"")))</f>
        <v/>
      </c>
      <c r="N395" s="87" t="str">
        <f>IF($B395="","",IF(IFERROR(INDEX('RAID Log'!$1:$1048576,$B395,MATCH("Date Raised",'RAID Log'!$1:$1,0)),"")="","",IFERROR(INDEX('RAID Log'!$1:$1048576,$B395,MATCH("Date Raised",'RAID Log'!$1:$1,0)),"")))</f>
        <v/>
      </c>
      <c r="O395" s="87" t="str">
        <f>IF($B395="","",IF(IFERROR(INDEX('RAID Log'!$1:$1048576,$B395,MATCH("Closed Date",'RAID Log'!$1:$1,0)),"")="","",IFERROR(INDEX('RAID Log'!$1:$1048576,$B395,MATCH("Closed Date",'RAID Log'!$1:$1,0)),"")))</f>
        <v/>
      </c>
      <c r="P395" s="85" t="str">
        <f>IF($B395="","",IF(IFERROR(INDEX('RAID Log'!$1:$1048576,$B395,MATCH("Mitigation Strategy",'RAID Log'!$1:$1,0)),"")="","",IFERROR(INDEX('RAID Log'!$1:$1048576,$B395,MATCH("Mitigation Strategy",'RAID Log'!$1:$1,0)),"")))</f>
        <v/>
      </c>
      <c r="Q395" s="88" t="str">
        <f>IF($B395="","",IF(IFERROR(INDEX('RAID Log'!$1:$1048576,$B395,MATCH("RAID Response/Plan",'RAID Log'!$1:$1,0)),"")="","",IFERROR(INDEX('RAID Log'!$1:$1048576,$B395,MATCH("RAID Response/Plan",'RAID Log'!$1:$1,0)),"")))</f>
        <v/>
      </c>
    </row>
    <row r="396" spans="1:17" ht="14.25" customHeight="1">
      <c r="A396" s="82" t="str">
        <f>IF($B396="","",IF(IFERROR(INDEX('RAID Log'!$1:$1048576,$B396,MATCH("RAID ID",'RAID Log'!$1:$1,0)),"")="","",IFERROR(INDEX('RAID Log'!$1:$1048576,$B396,MATCH("RAID ID",'RAID Log'!$1:$1,0)),"")))</f>
        <v/>
      </c>
      <c r="B396" s="83" t="str">
        <f>IFERROR(MATCH(ROW()-1,'RAID Log'!$S:$S,0),"")</f>
        <v/>
      </c>
      <c r="C396" s="84" t="str">
        <f>IF($B396="","",IF(IFERROR(INDEX('RAID Log'!$1:$1048576,$B396,MATCH("Description",'RAID Log'!$1:$1,0)),"")="","",IFERROR(INDEX('RAID Log'!$1:$1048576,$B396,MATCH("Description",'RAID Log'!$1:$1,0)),"")))</f>
        <v/>
      </c>
      <c r="D396" s="84" t="str">
        <f>IF($B396="","",IF(IFERROR(INDEX('RAID Log'!$1:$1048576,$B396,MATCH("Impact/Effect of the RAID",'RAID Log'!$1:$1,0)),"")="","",IFERROR(INDEX('RAID Log'!$1:$1048576,$B396,MATCH("Impact/Effect of the RAID",'RAID Log'!$1:$1,0)),"")))</f>
        <v/>
      </c>
      <c r="E396" s="85" t="str">
        <f>IF($B396="","",IF(IFERROR(INDEX('RAID Log'!$1:$1048576,$B396,MATCH("Impact Area",'RAID Log'!$1:$1,0)),"")="","",IFERROR(INDEX('RAID Log'!$1:$1048576,$B396,MATCH("Impact Area",'RAID Log'!$1:$1,0)),"")))</f>
        <v/>
      </c>
      <c r="F396" s="85" t="str">
        <f>IF($B396="","",IF(IFERROR(INDEX('RAID Log'!$1:$1048576,$B396,MATCH("Impact Area",'RAID Log'!$1:$1,0)),"")="","",IFERROR(INDEX('RAID Log'!$1:$1048576,$B396,MATCH("Impact Area",'RAID Log'!$1:$1,0)),"")))</f>
        <v/>
      </c>
      <c r="G396" s="85" t="str">
        <f>IF($B396="","",IF(IFERROR(INDEX('RAID Log'!$1:$1048576,$B396,MATCH("Impact Rating",'RAID Log'!$1:$1,0)),"")="","",IFERROR(INDEX('RAID Log'!$1:$1048576,$B396,MATCH("Impact Rating",'RAID Log'!$1:$1,0)),"")))</f>
        <v/>
      </c>
      <c r="H396" s="85" t="str">
        <f>IF($B396="","",IF(IFERROR(INDEX('RAID Log'!$1:$1048576,$B396,MATCH("Initial Probability",'RAID Log'!$1:$1,0)),"")="","",IFERROR(INDEX('RAID Log'!$1:$1048576,$B396,MATCH("Initial Probability",'RAID Log'!$1:$1,0)),"")))</f>
        <v/>
      </c>
      <c r="I396" s="86" t="str">
        <f t="shared" si="18"/>
        <v/>
      </c>
      <c r="J396" s="85" t="str">
        <f t="shared" si="19"/>
        <v/>
      </c>
      <c r="K396" s="86" t="str">
        <f t="shared" si="20"/>
        <v/>
      </c>
      <c r="L396" s="85" t="str">
        <f>IF($B396="","",IF(IFERROR(INDEX('RAID Log'!$1:$1048576,$B396,MATCH("Status",'RAID Log'!$1:$1,0)),"")="","",IFERROR(INDEX('RAID Log'!$1:$1048576,$B396,MATCH("Status",'RAID Log'!$1:$1,0)),"")))</f>
        <v/>
      </c>
      <c r="M396" s="85" t="str">
        <f>IF($B396="","",IF(IFERROR(INDEX('RAID Log'!$1:$1048576,$B396,MATCH("RAID Owner",'RAID Log'!$1:$1,0)),"")="","",IFERROR(INDEX('RAID Log'!$1:$1048576,$B396,MATCH("RAID Owner",'RAID Log'!$1:$1,0)),"")))</f>
        <v/>
      </c>
      <c r="N396" s="87" t="str">
        <f>IF($B396="","",IF(IFERROR(INDEX('RAID Log'!$1:$1048576,$B396,MATCH("Date Raised",'RAID Log'!$1:$1,0)),"")="","",IFERROR(INDEX('RAID Log'!$1:$1048576,$B396,MATCH("Date Raised",'RAID Log'!$1:$1,0)),"")))</f>
        <v/>
      </c>
      <c r="O396" s="87" t="str">
        <f>IF($B396="","",IF(IFERROR(INDEX('RAID Log'!$1:$1048576,$B396,MATCH("Closed Date",'RAID Log'!$1:$1,0)),"")="","",IFERROR(INDEX('RAID Log'!$1:$1048576,$B396,MATCH("Closed Date",'RAID Log'!$1:$1,0)),"")))</f>
        <v/>
      </c>
      <c r="P396" s="85" t="str">
        <f>IF($B396="","",IF(IFERROR(INDEX('RAID Log'!$1:$1048576,$B396,MATCH("Mitigation Strategy",'RAID Log'!$1:$1,0)),"")="","",IFERROR(INDEX('RAID Log'!$1:$1048576,$B396,MATCH("Mitigation Strategy",'RAID Log'!$1:$1,0)),"")))</f>
        <v/>
      </c>
      <c r="Q396" s="88" t="str">
        <f>IF($B396="","",IF(IFERROR(INDEX('RAID Log'!$1:$1048576,$B396,MATCH("RAID Response/Plan",'RAID Log'!$1:$1,0)),"")="","",IFERROR(INDEX('RAID Log'!$1:$1048576,$B396,MATCH("RAID Response/Plan",'RAID Log'!$1:$1,0)),"")))</f>
        <v/>
      </c>
    </row>
    <row r="397" spans="1:17" ht="14.25" customHeight="1">
      <c r="A397" s="82" t="str">
        <f>IF($B397="","",IF(IFERROR(INDEX('RAID Log'!$1:$1048576,$B397,MATCH("RAID ID",'RAID Log'!$1:$1,0)),"")="","",IFERROR(INDEX('RAID Log'!$1:$1048576,$B397,MATCH("RAID ID",'RAID Log'!$1:$1,0)),"")))</f>
        <v/>
      </c>
      <c r="B397" s="83" t="str">
        <f>IFERROR(MATCH(ROW()-1,'RAID Log'!$S:$S,0),"")</f>
        <v/>
      </c>
      <c r="C397" s="84" t="str">
        <f>IF($B397="","",IF(IFERROR(INDEX('RAID Log'!$1:$1048576,$B397,MATCH("Description",'RAID Log'!$1:$1,0)),"")="","",IFERROR(INDEX('RAID Log'!$1:$1048576,$B397,MATCH("Description",'RAID Log'!$1:$1,0)),"")))</f>
        <v/>
      </c>
      <c r="D397" s="84" t="str">
        <f>IF($B397="","",IF(IFERROR(INDEX('RAID Log'!$1:$1048576,$B397,MATCH("Impact/Effect of the RAID",'RAID Log'!$1:$1,0)),"")="","",IFERROR(INDEX('RAID Log'!$1:$1048576,$B397,MATCH("Impact/Effect of the RAID",'RAID Log'!$1:$1,0)),"")))</f>
        <v/>
      </c>
      <c r="E397" s="85" t="str">
        <f>IF($B397="","",IF(IFERROR(INDEX('RAID Log'!$1:$1048576,$B397,MATCH("Impact Area",'RAID Log'!$1:$1,0)),"")="","",IFERROR(INDEX('RAID Log'!$1:$1048576,$B397,MATCH("Impact Area",'RAID Log'!$1:$1,0)),"")))</f>
        <v/>
      </c>
      <c r="F397" s="85" t="str">
        <f>IF($B397="","",IF(IFERROR(INDEX('RAID Log'!$1:$1048576,$B397,MATCH("Impact Area",'RAID Log'!$1:$1,0)),"")="","",IFERROR(INDEX('RAID Log'!$1:$1048576,$B397,MATCH("Impact Area",'RAID Log'!$1:$1,0)),"")))</f>
        <v/>
      </c>
      <c r="G397" s="85" t="str">
        <f>IF($B397="","",IF(IFERROR(INDEX('RAID Log'!$1:$1048576,$B397,MATCH("Impact Rating",'RAID Log'!$1:$1,0)),"")="","",IFERROR(INDEX('RAID Log'!$1:$1048576,$B397,MATCH("Impact Rating",'RAID Log'!$1:$1,0)),"")))</f>
        <v/>
      </c>
      <c r="H397" s="85" t="str">
        <f>IF($B397="","",IF(IFERROR(INDEX('RAID Log'!$1:$1048576,$B397,MATCH("Initial Probability",'RAID Log'!$1:$1,0)),"")="","",IFERROR(INDEX('RAID Log'!$1:$1048576,$B397,MATCH("Initial Probability",'RAID Log'!$1:$1,0)),"")))</f>
        <v/>
      </c>
      <c r="I397" s="86" t="str">
        <f t="shared" si="18"/>
        <v/>
      </c>
      <c r="J397" s="85" t="str">
        <f t="shared" si="19"/>
        <v/>
      </c>
      <c r="K397" s="86" t="str">
        <f t="shared" si="20"/>
        <v/>
      </c>
      <c r="L397" s="85" t="str">
        <f>IF($B397="","",IF(IFERROR(INDEX('RAID Log'!$1:$1048576,$B397,MATCH("Status",'RAID Log'!$1:$1,0)),"")="","",IFERROR(INDEX('RAID Log'!$1:$1048576,$B397,MATCH("Status",'RAID Log'!$1:$1,0)),"")))</f>
        <v/>
      </c>
      <c r="M397" s="85" t="str">
        <f>IF($B397="","",IF(IFERROR(INDEX('RAID Log'!$1:$1048576,$B397,MATCH("RAID Owner",'RAID Log'!$1:$1,0)),"")="","",IFERROR(INDEX('RAID Log'!$1:$1048576,$B397,MATCH("RAID Owner",'RAID Log'!$1:$1,0)),"")))</f>
        <v/>
      </c>
      <c r="N397" s="87" t="str">
        <f>IF($B397="","",IF(IFERROR(INDEX('RAID Log'!$1:$1048576,$B397,MATCH("Date Raised",'RAID Log'!$1:$1,0)),"")="","",IFERROR(INDEX('RAID Log'!$1:$1048576,$B397,MATCH("Date Raised",'RAID Log'!$1:$1,0)),"")))</f>
        <v/>
      </c>
      <c r="O397" s="87" t="str">
        <f>IF($B397="","",IF(IFERROR(INDEX('RAID Log'!$1:$1048576,$B397,MATCH("Closed Date",'RAID Log'!$1:$1,0)),"")="","",IFERROR(INDEX('RAID Log'!$1:$1048576,$B397,MATCH("Closed Date",'RAID Log'!$1:$1,0)),"")))</f>
        <v/>
      </c>
      <c r="P397" s="85" t="str">
        <f>IF($B397="","",IF(IFERROR(INDEX('RAID Log'!$1:$1048576,$B397,MATCH("Mitigation Strategy",'RAID Log'!$1:$1,0)),"")="","",IFERROR(INDEX('RAID Log'!$1:$1048576,$B397,MATCH("Mitigation Strategy",'RAID Log'!$1:$1,0)),"")))</f>
        <v/>
      </c>
      <c r="Q397" s="88" t="str">
        <f>IF($B397="","",IF(IFERROR(INDEX('RAID Log'!$1:$1048576,$B397,MATCH("RAID Response/Plan",'RAID Log'!$1:$1,0)),"")="","",IFERROR(INDEX('RAID Log'!$1:$1048576,$B397,MATCH("RAID Response/Plan",'RAID Log'!$1:$1,0)),"")))</f>
        <v/>
      </c>
    </row>
    <row r="398" spans="1:17" ht="14.25" customHeight="1">
      <c r="A398" s="82" t="str">
        <f>IF($B398="","",IF(IFERROR(INDEX('RAID Log'!$1:$1048576,$B398,MATCH("RAID ID",'RAID Log'!$1:$1,0)),"")="","",IFERROR(INDEX('RAID Log'!$1:$1048576,$B398,MATCH("RAID ID",'RAID Log'!$1:$1,0)),"")))</f>
        <v/>
      </c>
      <c r="B398" s="83" t="str">
        <f>IFERROR(MATCH(ROW()-1,'RAID Log'!$S:$S,0),"")</f>
        <v/>
      </c>
      <c r="C398" s="84" t="str">
        <f>IF($B398="","",IF(IFERROR(INDEX('RAID Log'!$1:$1048576,$B398,MATCH("Description",'RAID Log'!$1:$1,0)),"")="","",IFERROR(INDEX('RAID Log'!$1:$1048576,$B398,MATCH("Description",'RAID Log'!$1:$1,0)),"")))</f>
        <v/>
      </c>
      <c r="D398" s="84" t="str">
        <f>IF($B398="","",IF(IFERROR(INDEX('RAID Log'!$1:$1048576,$B398,MATCH("Impact/Effect of the RAID",'RAID Log'!$1:$1,0)),"")="","",IFERROR(INDEX('RAID Log'!$1:$1048576,$B398,MATCH("Impact/Effect of the RAID",'RAID Log'!$1:$1,0)),"")))</f>
        <v/>
      </c>
      <c r="E398" s="85" t="str">
        <f>IF($B398="","",IF(IFERROR(INDEX('RAID Log'!$1:$1048576,$B398,MATCH("Impact Area",'RAID Log'!$1:$1,0)),"")="","",IFERROR(INDEX('RAID Log'!$1:$1048576,$B398,MATCH("Impact Area",'RAID Log'!$1:$1,0)),"")))</f>
        <v/>
      </c>
      <c r="F398" s="85" t="str">
        <f>IF($B398="","",IF(IFERROR(INDEX('RAID Log'!$1:$1048576,$B398,MATCH("Impact Area",'RAID Log'!$1:$1,0)),"")="","",IFERROR(INDEX('RAID Log'!$1:$1048576,$B398,MATCH("Impact Area",'RAID Log'!$1:$1,0)),"")))</f>
        <v/>
      </c>
      <c r="G398" s="85" t="str">
        <f>IF($B398="","",IF(IFERROR(INDEX('RAID Log'!$1:$1048576,$B398,MATCH("Impact Rating",'RAID Log'!$1:$1,0)),"")="","",IFERROR(INDEX('RAID Log'!$1:$1048576,$B398,MATCH("Impact Rating",'RAID Log'!$1:$1,0)),"")))</f>
        <v/>
      </c>
      <c r="H398" s="85" t="str">
        <f>IF($B398="","",IF(IFERROR(INDEX('RAID Log'!$1:$1048576,$B398,MATCH("Initial Probability",'RAID Log'!$1:$1,0)),"")="","",IFERROR(INDEX('RAID Log'!$1:$1048576,$B398,MATCH("Initial Probability",'RAID Log'!$1:$1,0)),"")))</f>
        <v/>
      </c>
      <c r="I398" s="86" t="str">
        <f t="shared" si="18"/>
        <v/>
      </c>
      <c r="J398" s="85" t="str">
        <f t="shared" si="19"/>
        <v/>
      </c>
      <c r="K398" s="86" t="str">
        <f t="shared" si="20"/>
        <v/>
      </c>
      <c r="L398" s="85" t="str">
        <f>IF($B398="","",IF(IFERROR(INDEX('RAID Log'!$1:$1048576,$B398,MATCH("Status",'RAID Log'!$1:$1,0)),"")="","",IFERROR(INDEX('RAID Log'!$1:$1048576,$B398,MATCH("Status",'RAID Log'!$1:$1,0)),"")))</f>
        <v/>
      </c>
      <c r="M398" s="85" t="str">
        <f>IF($B398="","",IF(IFERROR(INDEX('RAID Log'!$1:$1048576,$B398,MATCH("RAID Owner",'RAID Log'!$1:$1,0)),"")="","",IFERROR(INDEX('RAID Log'!$1:$1048576,$B398,MATCH("RAID Owner",'RAID Log'!$1:$1,0)),"")))</f>
        <v/>
      </c>
      <c r="N398" s="87" t="str">
        <f>IF($B398="","",IF(IFERROR(INDEX('RAID Log'!$1:$1048576,$B398,MATCH("Date Raised",'RAID Log'!$1:$1,0)),"")="","",IFERROR(INDEX('RAID Log'!$1:$1048576,$B398,MATCH("Date Raised",'RAID Log'!$1:$1,0)),"")))</f>
        <v/>
      </c>
      <c r="O398" s="87" t="str">
        <f>IF($B398="","",IF(IFERROR(INDEX('RAID Log'!$1:$1048576,$B398,MATCH("Closed Date",'RAID Log'!$1:$1,0)),"")="","",IFERROR(INDEX('RAID Log'!$1:$1048576,$B398,MATCH("Closed Date",'RAID Log'!$1:$1,0)),"")))</f>
        <v/>
      </c>
      <c r="P398" s="85" t="str">
        <f>IF($B398="","",IF(IFERROR(INDEX('RAID Log'!$1:$1048576,$B398,MATCH("Mitigation Strategy",'RAID Log'!$1:$1,0)),"")="","",IFERROR(INDEX('RAID Log'!$1:$1048576,$B398,MATCH("Mitigation Strategy",'RAID Log'!$1:$1,0)),"")))</f>
        <v/>
      </c>
      <c r="Q398" s="88" t="str">
        <f>IF($B398="","",IF(IFERROR(INDEX('RAID Log'!$1:$1048576,$B398,MATCH("RAID Response/Plan",'RAID Log'!$1:$1,0)),"")="","",IFERROR(INDEX('RAID Log'!$1:$1048576,$B398,MATCH("RAID Response/Plan",'RAID Log'!$1:$1,0)),"")))</f>
        <v/>
      </c>
    </row>
    <row r="399" spans="1:17" ht="14.25" customHeight="1">
      <c r="A399" s="82" t="str">
        <f>IF($B399="","",IF(IFERROR(INDEX('RAID Log'!$1:$1048576,$B399,MATCH("RAID ID",'RAID Log'!$1:$1,0)),"")="","",IFERROR(INDEX('RAID Log'!$1:$1048576,$B399,MATCH("RAID ID",'RAID Log'!$1:$1,0)),"")))</f>
        <v/>
      </c>
      <c r="B399" s="83" t="str">
        <f>IFERROR(MATCH(ROW()-1,'RAID Log'!$S:$S,0),"")</f>
        <v/>
      </c>
      <c r="C399" s="84" t="str">
        <f>IF($B399="","",IF(IFERROR(INDEX('RAID Log'!$1:$1048576,$B399,MATCH("Description",'RAID Log'!$1:$1,0)),"")="","",IFERROR(INDEX('RAID Log'!$1:$1048576,$B399,MATCH("Description",'RAID Log'!$1:$1,0)),"")))</f>
        <v/>
      </c>
      <c r="D399" s="84" t="str">
        <f>IF($B399="","",IF(IFERROR(INDEX('RAID Log'!$1:$1048576,$B399,MATCH("Impact/Effect of the RAID",'RAID Log'!$1:$1,0)),"")="","",IFERROR(INDEX('RAID Log'!$1:$1048576,$B399,MATCH("Impact/Effect of the RAID",'RAID Log'!$1:$1,0)),"")))</f>
        <v/>
      </c>
      <c r="E399" s="85" t="str">
        <f>IF($B399="","",IF(IFERROR(INDEX('RAID Log'!$1:$1048576,$B399,MATCH("Impact Area",'RAID Log'!$1:$1,0)),"")="","",IFERROR(INDEX('RAID Log'!$1:$1048576,$B399,MATCH("Impact Area",'RAID Log'!$1:$1,0)),"")))</f>
        <v/>
      </c>
      <c r="F399" s="85" t="str">
        <f>IF($B399="","",IF(IFERROR(INDEX('RAID Log'!$1:$1048576,$B399,MATCH("Impact Area",'RAID Log'!$1:$1,0)),"")="","",IFERROR(INDEX('RAID Log'!$1:$1048576,$B399,MATCH("Impact Area",'RAID Log'!$1:$1,0)),"")))</f>
        <v/>
      </c>
      <c r="G399" s="85" t="str">
        <f>IF($B399="","",IF(IFERROR(INDEX('RAID Log'!$1:$1048576,$B399,MATCH("Impact Rating",'RAID Log'!$1:$1,0)),"")="","",IFERROR(INDEX('RAID Log'!$1:$1048576,$B399,MATCH("Impact Rating",'RAID Log'!$1:$1,0)),"")))</f>
        <v/>
      </c>
      <c r="H399" s="85" t="str">
        <f>IF($B399="","",IF(IFERROR(INDEX('RAID Log'!$1:$1048576,$B399,MATCH("Initial Probability",'RAID Log'!$1:$1,0)),"")="","",IFERROR(INDEX('RAID Log'!$1:$1048576,$B399,MATCH("Initial Probability",'RAID Log'!$1:$1,0)),"")))</f>
        <v/>
      </c>
      <c r="I399" s="86" t="str">
        <f t="shared" si="18"/>
        <v/>
      </c>
      <c r="J399" s="85" t="str">
        <f t="shared" si="19"/>
        <v/>
      </c>
      <c r="K399" s="86" t="str">
        <f t="shared" si="20"/>
        <v/>
      </c>
      <c r="L399" s="85" t="str">
        <f>IF($B399="","",IF(IFERROR(INDEX('RAID Log'!$1:$1048576,$B399,MATCH("Status",'RAID Log'!$1:$1,0)),"")="","",IFERROR(INDEX('RAID Log'!$1:$1048576,$B399,MATCH("Status",'RAID Log'!$1:$1,0)),"")))</f>
        <v/>
      </c>
      <c r="M399" s="85" t="str">
        <f>IF($B399="","",IF(IFERROR(INDEX('RAID Log'!$1:$1048576,$B399,MATCH("RAID Owner",'RAID Log'!$1:$1,0)),"")="","",IFERROR(INDEX('RAID Log'!$1:$1048576,$B399,MATCH("RAID Owner",'RAID Log'!$1:$1,0)),"")))</f>
        <v/>
      </c>
      <c r="N399" s="87" t="str">
        <f>IF($B399="","",IF(IFERROR(INDEX('RAID Log'!$1:$1048576,$B399,MATCH("Date Raised",'RAID Log'!$1:$1,0)),"")="","",IFERROR(INDEX('RAID Log'!$1:$1048576,$B399,MATCH("Date Raised",'RAID Log'!$1:$1,0)),"")))</f>
        <v/>
      </c>
      <c r="O399" s="87" t="str">
        <f>IF($B399="","",IF(IFERROR(INDEX('RAID Log'!$1:$1048576,$B399,MATCH("Closed Date",'RAID Log'!$1:$1,0)),"")="","",IFERROR(INDEX('RAID Log'!$1:$1048576,$B399,MATCH("Closed Date",'RAID Log'!$1:$1,0)),"")))</f>
        <v/>
      </c>
      <c r="P399" s="85" t="str">
        <f>IF($B399="","",IF(IFERROR(INDEX('RAID Log'!$1:$1048576,$B399,MATCH("Mitigation Strategy",'RAID Log'!$1:$1,0)),"")="","",IFERROR(INDEX('RAID Log'!$1:$1048576,$B399,MATCH("Mitigation Strategy",'RAID Log'!$1:$1,0)),"")))</f>
        <v/>
      </c>
      <c r="Q399" s="88" t="str">
        <f>IF($B399="","",IF(IFERROR(INDEX('RAID Log'!$1:$1048576,$B399,MATCH("RAID Response/Plan",'RAID Log'!$1:$1,0)),"")="","",IFERROR(INDEX('RAID Log'!$1:$1048576,$B399,MATCH("RAID Response/Plan",'RAID Log'!$1:$1,0)),"")))</f>
        <v/>
      </c>
    </row>
    <row r="400" spans="1:17" ht="14.25" customHeight="1">
      <c r="A400" s="82" t="str">
        <f>IF($B400="","",IF(IFERROR(INDEX('RAID Log'!$1:$1048576,$B400,MATCH("RAID ID",'RAID Log'!$1:$1,0)),"")="","",IFERROR(INDEX('RAID Log'!$1:$1048576,$B400,MATCH("RAID ID",'RAID Log'!$1:$1,0)),"")))</f>
        <v/>
      </c>
      <c r="B400" s="83" t="str">
        <f>IFERROR(MATCH(ROW()-1,'RAID Log'!$S:$S,0),"")</f>
        <v/>
      </c>
      <c r="C400" s="84" t="str">
        <f>IF($B400="","",IF(IFERROR(INDEX('RAID Log'!$1:$1048576,$B400,MATCH("Description",'RAID Log'!$1:$1,0)),"")="","",IFERROR(INDEX('RAID Log'!$1:$1048576,$B400,MATCH("Description",'RAID Log'!$1:$1,0)),"")))</f>
        <v/>
      </c>
      <c r="D400" s="84" t="str">
        <f>IF($B400="","",IF(IFERROR(INDEX('RAID Log'!$1:$1048576,$B400,MATCH("Impact/Effect of the RAID",'RAID Log'!$1:$1,0)),"")="","",IFERROR(INDEX('RAID Log'!$1:$1048576,$B400,MATCH("Impact/Effect of the RAID",'RAID Log'!$1:$1,0)),"")))</f>
        <v/>
      </c>
      <c r="E400" s="85" t="str">
        <f>IF($B400="","",IF(IFERROR(INDEX('RAID Log'!$1:$1048576,$B400,MATCH("Impact Area",'RAID Log'!$1:$1,0)),"")="","",IFERROR(INDEX('RAID Log'!$1:$1048576,$B400,MATCH("Impact Area",'RAID Log'!$1:$1,0)),"")))</f>
        <v/>
      </c>
      <c r="F400" s="85" t="str">
        <f>IF($B400="","",IF(IFERROR(INDEX('RAID Log'!$1:$1048576,$B400,MATCH("Impact Area",'RAID Log'!$1:$1,0)),"")="","",IFERROR(INDEX('RAID Log'!$1:$1048576,$B400,MATCH("Impact Area",'RAID Log'!$1:$1,0)),"")))</f>
        <v/>
      </c>
      <c r="G400" s="85" t="str">
        <f>IF($B400="","",IF(IFERROR(INDEX('RAID Log'!$1:$1048576,$B400,MATCH("Impact Rating",'RAID Log'!$1:$1,0)),"")="","",IFERROR(INDEX('RAID Log'!$1:$1048576,$B400,MATCH("Impact Rating",'RAID Log'!$1:$1,0)),"")))</f>
        <v/>
      </c>
      <c r="H400" s="85" t="str">
        <f>IF($B400="","",IF(IFERROR(INDEX('RAID Log'!$1:$1048576,$B400,MATCH("Initial Probability",'RAID Log'!$1:$1,0)),"")="","",IFERROR(INDEX('RAID Log'!$1:$1048576,$B400,MATCH("Initial Probability",'RAID Log'!$1:$1,0)),"")))</f>
        <v/>
      </c>
      <c r="I400" s="86" t="str">
        <f t="shared" si="18"/>
        <v/>
      </c>
      <c r="J400" s="85" t="str">
        <f t="shared" si="19"/>
        <v/>
      </c>
      <c r="K400" s="86" t="str">
        <f t="shared" si="20"/>
        <v/>
      </c>
      <c r="L400" s="85" t="str">
        <f>IF($B400="","",IF(IFERROR(INDEX('RAID Log'!$1:$1048576,$B400,MATCH("Status",'RAID Log'!$1:$1,0)),"")="","",IFERROR(INDEX('RAID Log'!$1:$1048576,$B400,MATCH("Status",'RAID Log'!$1:$1,0)),"")))</f>
        <v/>
      </c>
      <c r="M400" s="85" t="str">
        <f>IF($B400="","",IF(IFERROR(INDEX('RAID Log'!$1:$1048576,$B400,MATCH("RAID Owner",'RAID Log'!$1:$1,0)),"")="","",IFERROR(INDEX('RAID Log'!$1:$1048576,$B400,MATCH("RAID Owner",'RAID Log'!$1:$1,0)),"")))</f>
        <v/>
      </c>
      <c r="N400" s="87" t="str">
        <f>IF($B400="","",IF(IFERROR(INDEX('RAID Log'!$1:$1048576,$B400,MATCH("Date Raised",'RAID Log'!$1:$1,0)),"")="","",IFERROR(INDEX('RAID Log'!$1:$1048576,$B400,MATCH("Date Raised",'RAID Log'!$1:$1,0)),"")))</f>
        <v/>
      </c>
      <c r="O400" s="87" t="str">
        <f>IF($B400="","",IF(IFERROR(INDEX('RAID Log'!$1:$1048576,$B400,MATCH("Closed Date",'RAID Log'!$1:$1,0)),"")="","",IFERROR(INDEX('RAID Log'!$1:$1048576,$B400,MATCH("Closed Date",'RAID Log'!$1:$1,0)),"")))</f>
        <v/>
      </c>
      <c r="P400" s="85" t="str">
        <f>IF($B400="","",IF(IFERROR(INDEX('RAID Log'!$1:$1048576,$B400,MATCH("Mitigation Strategy",'RAID Log'!$1:$1,0)),"")="","",IFERROR(INDEX('RAID Log'!$1:$1048576,$B400,MATCH("Mitigation Strategy",'RAID Log'!$1:$1,0)),"")))</f>
        <v/>
      </c>
      <c r="Q400" s="88" t="str">
        <f>IF($B400="","",IF(IFERROR(INDEX('RAID Log'!$1:$1048576,$B400,MATCH("RAID Response/Plan",'RAID Log'!$1:$1,0)),"")="","",IFERROR(INDEX('RAID Log'!$1:$1048576,$B400,MATCH("RAID Response/Plan",'RAID Log'!$1:$1,0)),"")))</f>
        <v/>
      </c>
    </row>
    <row r="401" spans="1:17" ht="14.25" customHeight="1">
      <c r="A401" s="82" t="str">
        <f>IF($B401="","",IF(IFERROR(INDEX('RAID Log'!$1:$1048576,$B401,MATCH("RAID ID",'RAID Log'!$1:$1,0)),"")="","",IFERROR(INDEX('RAID Log'!$1:$1048576,$B401,MATCH("RAID ID",'RAID Log'!$1:$1,0)),"")))</f>
        <v/>
      </c>
      <c r="B401" s="83" t="str">
        <f>IFERROR(MATCH(ROW()-1,'RAID Log'!$S:$S,0),"")</f>
        <v/>
      </c>
      <c r="C401" s="84" t="str">
        <f>IF($B401="","",IF(IFERROR(INDEX('RAID Log'!$1:$1048576,$B401,MATCH("Description",'RAID Log'!$1:$1,0)),"")="","",IFERROR(INDEX('RAID Log'!$1:$1048576,$B401,MATCH("Description",'RAID Log'!$1:$1,0)),"")))</f>
        <v/>
      </c>
      <c r="D401" s="84" t="str">
        <f>IF($B401="","",IF(IFERROR(INDEX('RAID Log'!$1:$1048576,$B401,MATCH("Impact/Effect of the RAID",'RAID Log'!$1:$1,0)),"")="","",IFERROR(INDEX('RAID Log'!$1:$1048576,$B401,MATCH("Impact/Effect of the RAID",'RAID Log'!$1:$1,0)),"")))</f>
        <v/>
      </c>
      <c r="E401" s="85" t="str">
        <f>IF($B401="","",IF(IFERROR(INDEX('RAID Log'!$1:$1048576,$B401,MATCH("Impact Area",'RAID Log'!$1:$1,0)),"")="","",IFERROR(INDEX('RAID Log'!$1:$1048576,$B401,MATCH("Impact Area",'RAID Log'!$1:$1,0)),"")))</f>
        <v/>
      </c>
      <c r="F401" s="85" t="str">
        <f>IF($B401="","",IF(IFERROR(INDEX('RAID Log'!$1:$1048576,$B401,MATCH("Impact Area",'RAID Log'!$1:$1,0)),"")="","",IFERROR(INDEX('RAID Log'!$1:$1048576,$B401,MATCH("Impact Area",'RAID Log'!$1:$1,0)),"")))</f>
        <v/>
      </c>
      <c r="G401" s="85" t="str">
        <f>IF($B401="","",IF(IFERROR(INDEX('RAID Log'!$1:$1048576,$B401,MATCH("Impact Rating",'RAID Log'!$1:$1,0)),"")="","",IFERROR(INDEX('RAID Log'!$1:$1048576,$B401,MATCH("Impact Rating",'RAID Log'!$1:$1,0)),"")))</f>
        <v/>
      </c>
      <c r="H401" s="85" t="str">
        <f>IF($B401="","",IF(IFERROR(INDEX('RAID Log'!$1:$1048576,$B401,MATCH("Initial Probability",'RAID Log'!$1:$1,0)),"")="","",IFERROR(INDEX('RAID Log'!$1:$1048576,$B401,MATCH("Initial Probability",'RAID Log'!$1:$1,0)),"")))</f>
        <v/>
      </c>
      <c r="I401" s="86" t="str">
        <f t="shared" si="18"/>
        <v/>
      </c>
      <c r="J401" s="85" t="str">
        <f t="shared" si="19"/>
        <v/>
      </c>
      <c r="K401" s="86" t="str">
        <f t="shared" si="20"/>
        <v/>
      </c>
      <c r="L401" s="85" t="str">
        <f>IF($B401="","",IF(IFERROR(INDEX('RAID Log'!$1:$1048576,$B401,MATCH("Status",'RAID Log'!$1:$1,0)),"")="","",IFERROR(INDEX('RAID Log'!$1:$1048576,$B401,MATCH("Status",'RAID Log'!$1:$1,0)),"")))</f>
        <v/>
      </c>
      <c r="M401" s="85" t="str">
        <f>IF($B401="","",IF(IFERROR(INDEX('RAID Log'!$1:$1048576,$B401,MATCH("RAID Owner",'RAID Log'!$1:$1,0)),"")="","",IFERROR(INDEX('RAID Log'!$1:$1048576,$B401,MATCH("RAID Owner",'RAID Log'!$1:$1,0)),"")))</f>
        <v/>
      </c>
      <c r="N401" s="87" t="str">
        <f>IF($B401="","",IF(IFERROR(INDEX('RAID Log'!$1:$1048576,$B401,MATCH("Date Raised",'RAID Log'!$1:$1,0)),"")="","",IFERROR(INDEX('RAID Log'!$1:$1048576,$B401,MATCH("Date Raised",'RAID Log'!$1:$1,0)),"")))</f>
        <v/>
      </c>
      <c r="O401" s="87" t="str">
        <f>IF($B401="","",IF(IFERROR(INDEX('RAID Log'!$1:$1048576,$B401,MATCH("Closed Date",'RAID Log'!$1:$1,0)),"")="","",IFERROR(INDEX('RAID Log'!$1:$1048576,$B401,MATCH("Closed Date",'RAID Log'!$1:$1,0)),"")))</f>
        <v/>
      </c>
      <c r="P401" s="85" t="str">
        <f>IF($B401="","",IF(IFERROR(INDEX('RAID Log'!$1:$1048576,$B401,MATCH("Mitigation Strategy",'RAID Log'!$1:$1,0)),"")="","",IFERROR(INDEX('RAID Log'!$1:$1048576,$B401,MATCH("Mitigation Strategy",'RAID Log'!$1:$1,0)),"")))</f>
        <v/>
      </c>
      <c r="Q401" s="88" t="str">
        <f>IF($B401="","",IF(IFERROR(INDEX('RAID Log'!$1:$1048576,$B401,MATCH("RAID Response/Plan",'RAID Log'!$1:$1,0)),"")="","",IFERROR(INDEX('RAID Log'!$1:$1048576,$B401,MATCH("RAID Response/Plan",'RAID Log'!$1:$1,0)),"")))</f>
        <v/>
      </c>
    </row>
    <row r="402" spans="1:17" ht="14.25" customHeight="1">
      <c r="A402" s="82" t="str">
        <f>IF($B402="","",IF(IFERROR(INDEX('RAID Log'!$1:$1048576,$B402,MATCH("RAID ID",'RAID Log'!$1:$1,0)),"")="","",IFERROR(INDEX('RAID Log'!$1:$1048576,$B402,MATCH("RAID ID",'RAID Log'!$1:$1,0)),"")))</f>
        <v/>
      </c>
      <c r="B402" s="83" t="str">
        <f>IFERROR(MATCH(ROW()-1,'RAID Log'!$S:$S,0),"")</f>
        <v/>
      </c>
      <c r="C402" s="84" t="str">
        <f>IF($B402="","",IF(IFERROR(INDEX('RAID Log'!$1:$1048576,$B402,MATCH("Description",'RAID Log'!$1:$1,0)),"")="","",IFERROR(INDEX('RAID Log'!$1:$1048576,$B402,MATCH("Description",'RAID Log'!$1:$1,0)),"")))</f>
        <v/>
      </c>
      <c r="D402" s="84" t="str">
        <f>IF($B402="","",IF(IFERROR(INDEX('RAID Log'!$1:$1048576,$B402,MATCH("Impact/Effect of the RAID",'RAID Log'!$1:$1,0)),"")="","",IFERROR(INDEX('RAID Log'!$1:$1048576,$B402,MATCH("Impact/Effect of the RAID",'RAID Log'!$1:$1,0)),"")))</f>
        <v/>
      </c>
      <c r="E402" s="85" t="str">
        <f>IF($B402="","",IF(IFERROR(INDEX('RAID Log'!$1:$1048576,$B402,MATCH("Impact Area",'RAID Log'!$1:$1,0)),"")="","",IFERROR(INDEX('RAID Log'!$1:$1048576,$B402,MATCH("Impact Area",'RAID Log'!$1:$1,0)),"")))</f>
        <v/>
      </c>
      <c r="F402" s="85" t="str">
        <f>IF($B402="","",IF(IFERROR(INDEX('RAID Log'!$1:$1048576,$B402,MATCH("Impact Area",'RAID Log'!$1:$1,0)),"")="","",IFERROR(INDEX('RAID Log'!$1:$1048576,$B402,MATCH("Impact Area",'RAID Log'!$1:$1,0)),"")))</f>
        <v/>
      </c>
      <c r="G402" s="85" t="str">
        <f>IF($B402="","",IF(IFERROR(INDEX('RAID Log'!$1:$1048576,$B402,MATCH("Impact Rating",'RAID Log'!$1:$1,0)),"")="","",IFERROR(INDEX('RAID Log'!$1:$1048576,$B402,MATCH("Impact Rating",'RAID Log'!$1:$1,0)),"")))</f>
        <v/>
      </c>
      <c r="H402" s="85" t="str">
        <f>IF($B402="","",IF(IFERROR(INDEX('RAID Log'!$1:$1048576,$B402,MATCH("Initial Probability",'RAID Log'!$1:$1,0)),"")="","",IFERROR(INDEX('RAID Log'!$1:$1048576,$B402,MATCH("Initial Probability",'RAID Log'!$1:$1,0)),"")))</f>
        <v/>
      </c>
      <c r="I402" s="86" t="str">
        <f t="shared" si="18"/>
        <v/>
      </c>
      <c r="J402" s="85" t="str">
        <f t="shared" si="19"/>
        <v/>
      </c>
      <c r="K402" s="86" t="str">
        <f t="shared" si="20"/>
        <v/>
      </c>
      <c r="L402" s="85" t="str">
        <f>IF($B402="","",IF(IFERROR(INDEX('RAID Log'!$1:$1048576,$B402,MATCH("Status",'RAID Log'!$1:$1,0)),"")="","",IFERROR(INDEX('RAID Log'!$1:$1048576,$B402,MATCH("Status",'RAID Log'!$1:$1,0)),"")))</f>
        <v/>
      </c>
      <c r="M402" s="85" t="str">
        <f>IF($B402="","",IF(IFERROR(INDEX('RAID Log'!$1:$1048576,$B402,MATCH("RAID Owner",'RAID Log'!$1:$1,0)),"")="","",IFERROR(INDEX('RAID Log'!$1:$1048576,$B402,MATCH("RAID Owner",'RAID Log'!$1:$1,0)),"")))</f>
        <v/>
      </c>
      <c r="N402" s="87" t="str">
        <f>IF($B402="","",IF(IFERROR(INDEX('RAID Log'!$1:$1048576,$B402,MATCH("Date Raised",'RAID Log'!$1:$1,0)),"")="","",IFERROR(INDEX('RAID Log'!$1:$1048576,$B402,MATCH("Date Raised",'RAID Log'!$1:$1,0)),"")))</f>
        <v/>
      </c>
      <c r="O402" s="87" t="str">
        <f>IF($B402="","",IF(IFERROR(INDEX('RAID Log'!$1:$1048576,$B402,MATCH("Closed Date",'RAID Log'!$1:$1,0)),"")="","",IFERROR(INDEX('RAID Log'!$1:$1048576,$B402,MATCH("Closed Date",'RAID Log'!$1:$1,0)),"")))</f>
        <v/>
      </c>
      <c r="P402" s="85" t="str">
        <f>IF($B402="","",IF(IFERROR(INDEX('RAID Log'!$1:$1048576,$B402,MATCH("Mitigation Strategy",'RAID Log'!$1:$1,0)),"")="","",IFERROR(INDEX('RAID Log'!$1:$1048576,$B402,MATCH("Mitigation Strategy",'RAID Log'!$1:$1,0)),"")))</f>
        <v/>
      </c>
      <c r="Q402" s="88" t="str">
        <f>IF($B402="","",IF(IFERROR(INDEX('RAID Log'!$1:$1048576,$B402,MATCH("RAID Response/Plan",'RAID Log'!$1:$1,0)),"")="","",IFERROR(INDEX('RAID Log'!$1:$1048576,$B402,MATCH("RAID Response/Plan",'RAID Log'!$1:$1,0)),"")))</f>
        <v/>
      </c>
    </row>
    <row r="403" spans="1:17" ht="14.25" customHeight="1">
      <c r="A403" s="82" t="str">
        <f>IF($B403="","",IF(IFERROR(INDEX('RAID Log'!$1:$1048576,$B403,MATCH("RAID ID",'RAID Log'!$1:$1,0)),"")="","",IFERROR(INDEX('RAID Log'!$1:$1048576,$B403,MATCH("RAID ID",'RAID Log'!$1:$1,0)),"")))</f>
        <v/>
      </c>
      <c r="B403" s="83" t="str">
        <f>IFERROR(MATCH(ROW()-1,'RAID Log'!$S:$S,0),"")</f>
        <v/>
      </c>
      <c r="C403" s="84" t="str">
        <f>IF($B403="","",IF(IFERROR(INDEX('RAID Log'!$1:$1048576,$B403,MATCH("Description",'RAID Log'!$1:$1,0)),"")="","",IFERROR(INDEX('RAID Log'!$1:$1048576,$B403,MATCH("Description",'RAID Log'!$1:$1,0)),"")))</f>
        <v/>
      </c>
      <c r="D403" s="84" t="str">
        <f>IF($B403="","",IF(IFERROR(INDEX('RAID Log'!$1:$1048576,$B403,MATCH("Impact/Effect of the RAID",'RAID Log'!$1:$1,0)),"")="","",IFERROR(INDEX('RAID Log'!$1:$1048576,$B403,MATCH("Impact/Effect of the RAID",'RAID Log'!$1:$1,0)),"")))</f>
        <v/>
      </c>
      <c r="E403" s="85" t="str">
        <f>IF($B403="","",IF(IFERROR(INDEX('RAID Log'!$1:$1048576,$B403,MATCH("Impact Area",'RAID Log'!$1:$1,0)),"")="","",IFERROR(INDEX('RAID Log'!$1:$1048576,$B403,MATCH("Impact Area",'RAID Log'!$1:$1,0)),"")))</f>
        <v/>
      </c>
      <c r="F403" s="85" t="str">
        <f>IF($B403="","",IF(IFERROR(INDEX('RAID Log'!$1:$1048576,$B403,MATCH("Impact Area",'RAID Log'!$1:$1,0)),"")="","",IFERROR(INDEX('RAID Log'!$1:$1048576,$B403,MATCH("Impact Area",'RAID Log'!$1:$1,0)),"")))</f>
        <v/>
      </c>
      <c r="G403" s="85" t="str">
        <f>IF($B403="","",IF(IFERROR(INDEX('RAID Log'!$1:$1048576,$B403,MATCH("Impact Rating",'RAID Log'!$1:$1,0)),"")="","",IFERROR(INDEX('RAID Log'!$1:$1048576,$B403,MATCH("Impact Rating",'RAID Log'!$1:$1,0)),"")))</f>
        <v/>
      </c>
      <c r="H403" s="85" t="str">
        <f>IF($B403="","",IF(IFERROR(INDEX('RAID Log'!$1:$1048576,$B403,MATCH("Initial Probability",'RAID Log'!$1:$1,0)),"")="","",IFERROR(INDEX('RAID Log'!$1:$1048576,$B403,MATCH("Initial Probability",'RAID Log'!$1:$1,0)),"")))</f>
        <v/>
      </c>
      <c r="I403" s="86" t="str">
        <f t="shared" si="18"/>
        <v/>
      </c>
      <c r="J403" s="85" t="str">
        <f t="shared" si="19"/>
        <v/>
      </c>
      <c r="K403" s="86" t="str">
        <f t="shared" si="20"/>
        <v/>
      </c>
      <c r="L403" s="85" t="str">
        <f>IF($B403="","",IF(IFERROR(INDEX('RAID Log'!$1:$1048576,$B403,MATCH("Status",'RAID Log'!$1:$1,0)),"")="","",IFERROR(INDEX('RAID Log'!$1:$1048576,$B403,MATCH("Status",'RAID Log'!$1:$1,0)),"")))</f>
        <v/>
      </c>
      <c r="M403" s="85" t="str">
        <f>IF($B403="","",IF(IFERROR(INDEX('RAID Log'!$1:$1048576,$B403,MATCH("RAID Owner",'RAID Log'!$1:$1,0)),"")="","",IFERROR(INDEX('RAID Log'!$1:$1048576,$B403,MATCH("RAID Owner",'RAID Log'!$1:$1,0)),"")))</f>
        <v/>
      </c>
      <c r="N403" s="87" t="str">
        <f>IF($B403="","",IF(IFERROR(INDEX('RAID Log'!$1:$1048576,$B403,MATCH("Date Raised",'RAID Log'!$1:$1,0)),"")="","",IFERROR(INDEX('RAID Log'!$1:$1048576,$B403,MATCH("Date Raised",'RAID Log'!$1:$1,0)),"")))</f>
        <v/>
      </c>
      <c r="O403" s="87" t="str">
        <f>IF($B403="","",IF(IFERROR(INDEX('RAID Log'!$1:$1048576,$B403,MATCH("Closed Date",'RAID Log'!$1:$1,0)),"")="","",IFERROR(INDEX('RAID Log'!$1:$1048576,$B403,MATCH("Closed Date",'RAID Log'!$1:$1,0)),"")))</f>
        <v/>
      </c>
      <c r="P403" s="85" t="str">
        <f>IF($B403="","",IF(IFERROR(INDEX('RAID Log'!$1:$1048576,$B403,MATCH("Mitigation Strategy",'RAID Log'!$1:$1,0)),"")="","",IFERROR(INDEX('RAID Log'!$1:$1048576,$B403,MATCH("Mitigation Strategy",'RAID Log'!$1:$1,0)),"")))</f>
        <v/>
      </c>
      <c r="Q403" s="88" t="str">
        <f>IF($B403="","",IF(IFERROR(INDEX('RAID Log'!$1:$1048576,$B403,MATCH("RAID Response/Plan",'RAID Log'!$1:$1,0)),"")="","",IFERROR(INDEX('RAID Log'!$1:$1048576,$B403,MATCH("RAID Response/Plan",'RAID Log'!$1:$1,0)),"")))</f>
        <v/>
      </c>
    </row>
    <row r="404" spans="1:17" ht="14.25" customHeight="1">
      <c r="A404" s="82" t="str">
        <f>IF($B404="","",IF(IFERROR(INDEX('RAID Log'!$1:$1048576,$B404,MATCH("RAID ID",'RAID Log'!$1:$1,0)),"")="","",IFERROR(INDEX('RAID Log'!$1:$1048576,$B404,MATCH("RAID ID",'RAID Log'!$1:$1,0)),"")))</f>
        <v/>
      </c>
      <c r="B404" s="83" t="str">
        <f>IFERROR(MATCH(ROW()-1,'RAID Log'!$S:$S,0),"")</f>
        <v/>
      </c>
      <c r="C404" s="84" t="str">
        <f>IF($B404="","",IF(IFERROR(INDEX('RAID Log'!$1:$1048576,$B404,MATCH("Description",'RAID Log'!$1:$1,0)),"")="","",IFERROR(INDEX('RAID Log'!$1:$1048576,$B404,MATCH("Description",'RAID Log'!$1:$1,0)),"")))</f>
        <v/>
      </c>
      <c r="D404" s="84" t="str">
        <f>IF($B404="","",IF(IFERROR(INDEX('RAID Log'!$1:$1048576,$B404,MATCH("Impact/Effect of the RAID",'RAID Log'!$1:$1,0)),"")="","",IFERROR(INDEX('RAID Log'!$1:$1048576,$B404,MATCH("Impact/Effect of the RAID",'RAID Log'!$1:$1,0)),"")))</f>
        <v/>
      </c>
      <c r="E404" s="85" t="str">
        <f>IF($B404="","",IF(IFERROR(INDEX('RAID Log'!$1:$1048576,$B404,MATCH("Impact Area",'RAID Log'!$1:$1,0)),"")="","",IFERROR(INDEX('RAID Log'!$1:$1048576,$B404,MATCH("Impact Area",'RAID Log'!$1:$1,0)),"")))</f>
        <v/>
      </c>
      <c r="F404" s="85" t="str">
        <f>IF($B404="","",IF(IFERROR(INDEX('RAID Log'!$1:$1048576,$B404,MATCH("Impact Area",'RAID Log'!$1:$1,0)),"")="","",IFERROR(INDEX('RAID Log'!$1:$1048576,$B404,MATCH("Impact Area",'RAID Log'!$1:$1,0)),"")))</f>
        <v/>
      </c>
      <c r="G404" s="85" t="str">
        <f>IF($B404="","",IF(IFERROR(INDEX('RAID Log'!$1:$1048576,$B404,MATCH("Impact Rating",'RAID Log'!$1:$1,0)),"")="","",IFERROR(INDEX('RAID Log'!$1:$1048576,$B404,MATCH("Impact Rating",'RAID Log'!$1:$1,0)),"")))</f>
        <v/>
      </c>
      <c r="H404" s="85" t="str">
        <f>IF($B404="","",IF(IFERROR(INDEX('RAID Log'!$1:$1048576,$B404,MATCH("Initial Probability",'RAID Log'!$1:$1,0)),"")="","",IFERROR(INDEX('RAID Log'!$1:$1048576,$B404,MATCH("Initial Probability",'RAID Log'!$1:$1,0)),"")))</f>
        <v/>
      </c>
      <c r="I404" s="86" t="str">
        <f t="shared" si="18"/>
        <v/>
      </c>
      <c r="J404" s="85" t="str">
        <f t="shared" si="19"/>
        <v/>
      </c>
      <c r="K404" s="86" t="str">
        <f t="shared" si="20"/>
        <v/>
      </c>
      <c r="L404" s="85" t="str">
        <f>IF($B404="","",IF(IFERROR(INDEX('RAID Log'!$1:$1048576,$B404,MATCH("Status",'RAID Log'!$1:$1,0)),"")="","",IFERROR(INDEX('RAID Log'!$1:$1048576,$B404,MATCH("Status",'RAID Log'!$1:$1,0)),"")))</f>
        <v/>
      </c>
      <c r="M404" s="85" t="str">
        <f>IF($B404="","",IF(IFERROR(INDEX('RAID Log'!$1:$1048576,$B404,MATCH("RAID Owner",'RAID Log'!$1:$1,0)),"")="","",IFERROR(INDEX('RAID Log'!$1:$1048576,$B404,MATCH("RAID Owner",'RAID Log'!$1:$1,0)),"")))</f>
        <v/>
      </c>
      <c r="N404" s="87" t="str">
        <f>IF($B404="","",IF(IFERROR(INDEX('RAID Log'!$1:$1048576,$B404,MATCH("Date Raised",'RAID Log'!$1:$1,0)),"")="","",IFERROR(INDEX('RAID Log'!$1:$1048576,$B404,MATCH("Date Raised",'RAID Log'!$1:$1,0)),"")))</f>
        <v/>
      </c>
      <c r="O404" s="87" t="str">
        <f>IF($B404="","",IF(IFERROR(INDEX('RAID Log'!$1:$1048576,$B404,MATCH("Closed Date",'RAID Log'!$1:$1,0)),"")="","",IFERROR(INDEX('RAID Log'!$1:$1048576,$B404,MATCH("Closed Date",'RAID Log'!$1:$1,0)),"")))</f>
        <v/>
      </c>
      <c r="P404" s="85" t="str">
        <f>IF($B404="","",IF(IFERROR(INDEX('RAID Log'!$1:$1048576,$B404,MATCH("Mitigation Strategy",'RAID Log'!$1:$1,0)),"")="","",IFERROR(INDEX('RAID Log'!$1:$1048576,$B404,MATCH("Mitigation Strategy",'RAID Log'!$1:$1,0)),"")))</f>
        <v/>
      </c>
      <c r="Q404" s="88" t="str">
        <f>IF($B404="","",IF(IFERROR(INDEX('RAID Log'!$1:$1048576,$B404,MATCH("RAID Response/Plan",'RAID Log'!$1:$1,0)),"")="","",IFERROR(INDEX('RAID Log'!$1:$1048576,$B404,MATCH("RAID Response/Plan",'RAID Log'!$1:$1,0)),"")))</f>
        <v/>
      </c>
    </row>
    <row r="405" spans="1:17" ht="14.25" customHeight="1">
      <c r="A405" s="82" t="str">
        <f>IF($B405="","",IF(IFERROR(INDEX('RAID Log'!$1:$1048576,$B405,MATCH("RAID ID",'RAID Log'!$1:$1,0)),"")="","",IFERROR(INDEX('RAID Log'!$1:$1048576,$B405,MATCH("RAID ID",'RAID Log'!$1:$1,0)),"")))</f>
        <v/>
      </c>
      <c r="B405" s="83" t="str">
        <f>IFERROR(MATCH(ROW()-1,'RAID Log'!$S:$S,0),"")</f>
        <v/>
      </c>
      <c r="C405" s="84" t="str">
        <f>IF($B405="","",IF(IFERROR(INDEX('RAID Log'!$1:$1048576,$B405,MATCH("Description",'RAID Log'!$1:$1,0)),"")="","",IFERROR(INDEX('RAID Log'!$1:$1048576,$B405,MATCH("Description",'RAID Log'!$1:$1,0)),"")))</f>
        <v/>
      </c>
      <c r="D405" s="84" t="str">
        <f>IF($B405="","",IF(IFERROR(INDEX('RAID Log'!$1:$1048576,$B405,MATCH("Impact/Effect of the RAID",'RAID Log'!$1:$1,0)),"")="","",IFERROR(INDEX('RAID Log'!$1:$1048576,$B405,MATCH("Impact/Effect of the RAID",'RAID Log'!$1:$1,0)),"")))</f>
        <v/>
      </c>
      <c r="E405" s="85" t="str">
        <f>IF($B405="","",IF(IFERROR(INDEX('RAID Log'!$1:$1048576,$B405,MATCH("Impact Area",'RAID Log'!$1:$1,0)),"")="","",IFERROR(INDEX('RAID Log'!$1:$1048576,$B405,MATCH("Impact Area",'RAID Log'!$1:$1,0)),"")))</f>
        <v/>
      </c>
      <c r="F405" s="85" t="str">
        <f>IF($B405="","",IF(IFERROR(INDEX('RAID Log'!$1:$1048576,$B405,MATCH("Impact Area",'RAID Log'!$1:$1,0)),"")="","",IFERROR(INDEX('RAID Log'!$1:$1048576,$B405,MATCH("Impact Area",'RAID Log'!$1:$1,0)),"")))</f>
        <v/>
      </c>
      <c r="G405" s="85" t="str">
        <f>IF($B405="","",IF(IFERROR(INDEX('RAID Log'!$1:$1048576,$B405,MATCH("Impact Rating",'RAID Log'!$1:$1,0)),"")="","",IFERROR(INDEX('RAID Log'!$1:$1048576,$B405,MATCH("Impact Rating",'RAID Log'!$1:$1,0)),"")))</f>
        <v/>
      </c>
      <c r="H405" s="85" t="str">
        <f>IF($B405="","",IF(IFERROR(INDEX('RAID Log'!$1:$1048576,$B405,MATCH("Initial Probability",'RAID Log'!$1:$1,0)),"")="","",IFERROR(INDEX('RAID Log'!$1:$1048576,$B405,MATCH("Initial Probability",'RAID Log'!$1:$1,0)),"")))</f>
        <v/>
      </c>
      <c r="I405" s="86" t="str">
        <f t="shared" si="18"/>
        <v/>
      </c>
      <c r="J405" s="85" t="str">
        <f t="shared" si="19"/>
        <v/>
      </c>
      <c r="K405" s="86" t="str">
        <f t="shared" si="20"/>
        <v/>
      </c>
      <c r="L405" s="85" t="str">
        <f>IF($B405="","",IF(IFERROR(INDEX('RAID Log'!$1:$1048576,$B405,MATCH("Status",'RAID Log'!$1:$1,0)),"")="","",IFERROR(INDEX('RAID Log'!$1:$1048576,$B405,MATCH("Status",'RAID Log'!$1:$1,0)),"")))</f>
        <v/>
      </c>
      <c r="M405" s="85" t="str">
        <f>IF($B405="","",IF(IFERROR(INDEX('RAID Log'!$1:$1048576,$B405,MATCH("RAID Owner",'RAID Log'!$1:$1,0)),"")="","",IFERROR(INDEX('RAID Log'!$1:$1048576,$B405,MATCH("RAID Owner",'RAID Log'!$1:$1,0)),"")))</f>
        <v/>
      </c>
      <c r="N405" s="87" t="str">
        <f>IF($B405="","",IF(IFERROR(INDEX('RAID Log'!$1:$1048576,$B405,MATCH("Date Raised",'RAID Log'!$1:$1,0)),"")="","",IFERROR(INDEX('RAID Log'!$1:$1048576,$B405,MATCH("Date Raised",'RAID Log'!$1:$1,0)),"")))</f>
        <v/>
      </c>
      <c r="O405" s="87" t="str">
        <f>IF($B405="","",IF(IFERROR(INDEX('RAID Log'!$1:$1048576,$B405,MATCH("Closed Date",'RAID Log'!$1:$1,0)),"")="","",IFERROR(INDEX('RAID Log'!$1:$1048576,$B405,MATCH("Closed Date",'RAID Log'!$1:$1,0)),"")))</f>
        <v/>
      </c>
      <c r="P405" s="85" t="str">
        <f>IF($B405="","",IF(IFERROR(INDEX('RAID Log'!$1:$1048576,$B405,MATCH("Mitigation Strategy",'RAID Log'!$1:$1,0)),"")="","",IFERROR(INDEX('RAID Log'!$1:$1048576,$B405,MATCH("Mitigation Strategy",'RAID Log'!$1:$1,0)),"")))</f>
        <v/>
      </c>
      <c r="Q405" s="88" t="str">
        <f>IF($B405="","",IF(IFERROR(INDEX('RAID Log'!$1:$1048576,$B405,MATCH("RAID Response/Plan",'RAID Log'!$1:$1,0)),"")="","",IFERROR(INDEX('RAID Log'!$1:$1048576,$B405,MATCH("RAID Response/Plan",'RAID Log'!$1:$1,0)),"")))</f>
        <v/>
      </c>
    </row>
    <row r="406" spans="1:17" ht="14.25" customHeight="1">
      <c r="A406" s="82" t="str">
        <f>IF($B406="","",IF(IFERROR(INDEX('RAID Log'!$1:$1048576,$B406,MATCH("RAID ID",'RAID Log'!$1:$1,0)),"")="","",IFERROR(INDEX('RAID Log'!$1:$1048576,$B406,MATCH("RAID ID",'RAID Log'!$1:$1,0)),"")))</f>
        <v/>
      </c>
      <c r="B406" s="83" t="str">
        <f>IFERROR(MATCH(ROW()-1,'RAID Log'!$S:$S,0),"")</f>
        <v/>
      </c>
      <c r="C406" s="84" t="str">
        <f>IF($B406="","",IF(IFERROR(INDEX('RAID Log'!$1:$1048576,$B406,MATCH("Description",'RAID Log'!$1:$1,0)),"")="","",IFERROR(INDEX('RAID Log'!$1:$1048576,$B406,MATCH("Description",'RAID Log'!$1:$1,0)),"")))</f>
        <v/>
      </c>
      <c r="D406" s="84" t="str">
        <f>IF($B406="","",IF(IFERROR(INDEX('RAID Log'!$1:$1048576,$B406,MATCH("Impact/Effect of the RAID",'RAID Log'!$1:$1,0)),"")="","",IFERROR(INDEX('RAID Log'!$1:$1048576,$B406,MATCH("Impact/Effect of the RAID",'RAID Log'!$1:$1,0)),"")))</f>
        <v/>
      </c>
      <c r="E406" s="85" t="str">
        <f>IF($B406="","",IF(IFERROR(INDEX('RAID Log'!$1:$1048576,$B406,MATCH("Impact Area",'RAID Log'!$1:$1,0)),"")="","",IFERROR(INDEX('RAID Log'!$1:$1048576,$B406,MATCH("Impact Area",'RAID Log'!$1:$1,0)),"")))</f>
        <v/>
      </c>
      <c r="F406" s="85" t="str">
        <f>IF($B406="","",IF(IFERROR(INDEX('RAID Log'!$1:$1048576,$B406,MATCH("Impact Area",'RAID Log'!$1:$1,0)),"")="","",IFERROR(INDEX('RAID Log'!$1:$1048576,$B406,MATCH("Impact Area",'RAID Log'!$1:$1,0)),"")))</f>
        <v/>
      </c>
      <c r="G406" s="85" t="str">
        <f>IF($B406="","",IF(IFERROR(INDEX('RAID Log'!$1:$1048576,$B406,MATCH("Impact Rating",'RAID Log'!$1:$1,0)),"")="","",IFERROR(INDEX('RAID Log'!$1:$1048576,$B406,MATCH("Impact Rating",'RAID Log'!$1:$1,0)),"")))</f>
        <v/>
      </c>
      <c r="H406" s="85" t="str">
        <f>IF($B406="","",IF(IFERROR(INDEX('RAID Log'!$1:$1048576,$B406,MATCH("Initial Probability",'RAID Log'!$1:$1,0)),"")="","",IFERROR(INDEX('RAID Log'!$1:$1048576,$B406,MATCH("Initial Probability",'RAID Log'!$1:$1,0)),"")))</f>
        <v/>
      </c>
      <c r="I406" s="86" t="str">
        <f t="shared" si="18"/>
        <v/>
      </c>
      <c r="J406" s="85" t="str">
        <f t="shared" si="19"/>
        <v/>
      </c>
      <c r="K406" s="86" t="str">
        <f t="shared" si="20"/>
        <v/>
      </c>
      <c r="L406" s="85" t="str">
        <f>IF($B406="","",IF(IFERROR(INDEX('RAID Log'!$1:$1048576,$B406,MATCH("Status",'RAID Log'!$1:$1,0)),"")="","",IFERROR(INDEX('RAID Log'!$1:$1048576,$B406,MATCH("Status",'RAID Log'!$1:$1,0)),"")))</f>
        <v/>
      </c>
      <c r="M406" s="85" t="str">
        <f>IF($B406="","",IF(IFERROR(INDEX('RAID Log'!$1:$1048576,$B406,MATCH("RAID Owner",'RAID Log'!$1:$1,0)),"")="","",IFERROR(INDEX('RAID Log'!$1:$1048576,$B406,MATCH("RAID Owner",'RAID Log'!$1:$1,0)),"")))</f>
        <v/>
      </c>
      <c r="N406" s="87" t="str">
        <f>IF($B406="","",IF(IFERROR(INDEX('RAID Log'!$1:$1048576,$B406,MATCH("Date Raised",'RAID Log'!$1:$1,0)),"")="","",IFERROR(INDEX('RAID Log'!$1:$1048576,$B406,MATCH("Date Raised",'RAID Log'!$1:$1,0)),"")))</f>
        <v/>
      </c>
      <c r="O406" s="87" t="str">
        <f>IF($B406="","",IF(IFERROR(INDEX('RAID Log'!$1:$1048576,$B406,MATCH("Closed Date",'RAID Log'!$1:$1,0)),"")="","",IFERROR(INDEX('RAID Log'!$1:$1048576,$B406,MATCH("Closed Date",'RAID Log'!$1:$1,0)),"")))</f>
        <v/>
      </c>
      <c r="P406" s="85" t="str">
        <f>IF($B406="","",IF(IFERROR(INDEX('RAID Log'!$1:$1048576,$B406,MATCH("Mitigation Strategy",'RAID Log'!$1:$1,0)),"")="","",IFERROR(INDEX('RAID Log'!$1:$1048576,$B406,MATCH("Mitigation Strategy",'RAID Log'!$1:$1,0)),"")))</f>
        <v/>
      </c>
      <c r="Q406" s="88" t="str">
        <f>IF($B406="","",IF(IFERROR(INDEX('RAID Log'!$1:$1048576,$B406,MATCH("RAID Response/Plan",'RAID Log'!$1:$1,0)),"")="","",IFERROR(INDEX('RAID Log'!$1:$1048576,$B406,MATCH("RAID Response/Plan",'RAID Log'!$1:$1,0)),"")))</f>
        <v/>
      </c>
    </row>
    <row r="407" spans="1:17" ht="14.25" customHeight="1">
      <c r="A407" s="82" t="str">
        <f>IF($B407="","",IF(IFERROR(INDEX('RAID Log'!$1:$1048576,$B407,MATCH("RAID ID",'RAID Log'!$1:$1,0)),"")="","",IFERROR(INDEX('RAID Log'!$1:$1048576,$B407,MATCH("RAID ID",'RAID Log'!$1:$1,0)),"")))</f>
        <v/>
      </c>
      <c r="B407" s="83" t="str">
        <f>IFERROR(MATCH(ROW()-1,'RAID Log'!$S:$S,0),"")</f>
        <v/>
      </c>
      <c r="C407" s="84" t="str">
        <f>IF($B407="","",IF(IFERROR(INDEX('RAID Log'!$1:$1048576,$B407,MATCH("Description",'RAID Log'!$1:$1,0)),"")="","",IFERROR(INDEX('RAID Log'!$1:$1048576,$B407,MATCH("Description",'RAID Log'!$1:$1,0)),"")))</f>
        <v/>
      </c>
      <c r="D407" s="84" t="str">
        <f>IF($B407="","",IF(IFERROR(INDEX('RAID Log'!$1:$1048576,$B407,MATCH("Impact/Effect of the RAID",'RAID Log'!$1:$1,0)),"")="","",IFERROR(INDEX('RAID Log'!$1:$1048576,$B407,MATCH("Impact/Effect of the RAID",'RAID Log'!$1:$1,0)),"")))</f>
        <v/>
      </c>
      <c r="E407" s="85" t="str">
        <f>IF($B407="","",IF(IFERROR(INDEX('RAID Log'!$1:$1048576,$B407,MATCH("Impact Area",'RAID Log'!$1:$1,0)),"")="","",IFERROR(INDEX('RAID Log'!$1:$1048576,$B407,MATCH("Impact Area",'RAID Log'!$1:$1,0)),"")))</f>
        <v/>
      </c>
      <c r="F407" s="85" t="str">
        <f>IF($B407="","",IF(IFERROR(INDEX('RAID Log'!$1:$1048576,$B407,MATCH("Impact Area",'RAID Log'!$1:$1,0)),"")="","",IFERROR(INDEX('RAID Log'!$1:$1048576,$B407,MATCH("Impact Area",'RAID Log'!$1:$1,0)),"")))</f>
        <v/>
      </c>
      <c r="G407" s="85" t="str">
        <f>IF($B407="","",IF(IFERROR(INDEX('RAID Log'!$1:$1048576,$B407,MATCH("Impact Rating",'RAID Log'!$1:$1,0)),"")="","",IFERROR(INDEX('RAID Log'!$1:$1048576,$B407,MATCH("Impact Rating",'RAID Log'!$1:$1,0)),"")))</f>
        <v/>
      </c>
      <c r="H407" s="85" t="str">
        <f>IF($B407="","",IF(IFERROR(INDEX('RAID Log'!$1:$1048576,$B407,MATCH("Initial Probability",'RAID Log'!$1:$1,0)),"")="","",IFERROR(INDEX('RAID Log'!$1:$1048576,$B407,MATCH("Initial Probability",'RAID Log'!$1:$1,0)),"")))</f>
        <v/>
      </c>
      <c r="I407" s="86" t="str">
        <f t="shared" si="18"/>
        <v/>
      </c>
      <c r="J407" s="85" t="str">
        <f t="shared" si="19"/>
        <v/>
      </c>
      <c r="K407" s="86" t="str">
        <f t="shared" si="20"/>
        <v/>
      </c>
      <c r="L407" s="85" t="str">
        <f>IF($B407="","",IF(IFERROR(INDEX('RAID Log'!$1:$1048576,$B407,MATCH("Status",'RAID Log'!$1:$1,0)),"")="","",IFERROR(INDEX('RAID Log'!$1:$1048576,$B407,MATCH("Status",'RAID Log'!$1:$1,0)),"")))</f>
        <v/>
      </c>
      <c r="M407" s="85" t="str">
        <f>IF($B407="","",IF(IFERROR(INDEX('RAID Log'!$1:$1048576,$B407,MATCH("RAID Owner",'RAID Log'!$1:$1,0)),"")="","",IFERROR(INDEX('RAID Log'!$1:$1048576,$B407,MATCH("RAID Owner",'RAID Log'!$1:$1,0)),"")))</f>
        <v/>
      </c>
      <c r="N407" s="87" t="str">
        <f>IF($B407="","",IF(IFERROR(INDEX('RAID Log'!$1:$1048576,$B407,MATCH("Date Raised",'RAID Log'!$1:$1,0)),"")="","",IFERROR(INDEX('RAID Log'!$1:$1048576,$B407,MATCH("Date Raised",'RAID Log'!$1:$1,0)),"")))</f>
        <v/>
      </c>
      <c r="O407" s="87" t="str">
        <f>IF($B407="","",IF(IFERROR(INDEX('RAID Log'!$1:$1048576,$B407,MATCH("Closed Date",'RAID Log'!$1:$1,0)),"")="","",IFERROR(INDEX('RAID Log'!$1:$1048576,$B407,MATCH("Closed Date",'RAID Log'!$1:$1,0)),"")))</f>
        <v/>
      </c>
      <c r="P407" s="85" t="str">
        <f>IF($B407="","",IF(IFERROR(INDEX('RAID Log'!$1:$1048576,$B407,MATCH("Mitigation Strategy",'RAID Log'!$1:$1,0)),"")="","",IFERROR(INDEX('RAID Log'!$1:$1048576,$B407,MATCH("Mitigation Strategy",'RAID Log'!$1:$1,0)),"")))</f>
        <v/>
      </c>
      <c r="Q407" s="88" t="str">
        <f>IF($B407="","",IF(IFERROR(INDEX('RAID Log'!$1:$1048576,$B407,MATCH("RAID Response/Plan",'RAID Log'!$1:$1,0)),"")="","",IFERROR(INDEX('RAID Log'!$1:$1048576,$B407,MATCH("RAID Response/Plan",'RAID Log'!$1:$1,0)),"")))</f>
        <v/>
      </c>
    </row>
    <row r="408" spans="1:17" ht="14.25" customHeight="1">
      <c r="A408" s="82" t="str">
        <f>IF($B408="","",IF(IFERROR(INDEX('RAID Log'!$1:$1048576,$B408,MATCH("RAID ID",'RAID Log'!$1:$1,0)),"")="","",IFERROR(INDEX('RAID Log'!$1:$1048576,$B408,MATCH("RAID ID",'RAID Log'!$1:$1,0)),"")))</f>
        <v/>
      </c>
      <c r="B408" s="83" t="str">
        <f>IFERROR(MATCH(ROW()-1,'RAID Log'!$S:$S,0),"")</f>
        <v/>
      </c>
      <c r="C408" s="84" t="str">
        <f>IF($B408="","",IF(IFERROR(INDEX('RAID Log'!$1:$1048576,$B408,MATCH("Description",'RAID Log'!$1:$1,0)),"")="","",IFERROR(INDEX('RAID Log'!$1:$1048576,$B408,MATCH("Description",'RAID Log'!$1:$1,0)),"")))</f>
        <v/>
      </c>
      <c r="D408" s="84" t="str">
        <f>IF($B408="","",IF(IFERROR(INDEX('RAID Log'!$1:$1048576,$B408,MATCH("Impact/Effect of the RAID",'RAID Log'!$1:$1,0)),"")="","",IFERROR(INDEX('RAID Log'!$1:$1048576,$B408,MATCH("Impact/Effect of the RAID",'RAID Log'!$1:$1,0)),"")))</f>
        <v/>
      </c>
      <c r="E408" s="85" t="str">
        <f>IF($B408="","",IF(IFERROR(INDEX('RAID Log'!$1:$1048576,$B408,MATCH("Impact Area",'RAID Log'!$1:$1,0)),"")="","",IFERROR(INDEX('RAID Log'!$1:$1048576,$B408,MATCH("Impact Area",'RAID Log'!$1:$1,0)),"")))</f>
        <v/>
      </c>
      <c r="F408" s="85" t="str">
        <f>IF($B408="","",IF(IFERROR(INDEX('RAID Log'!$1:$1048576,$B408,MATCH("Impact Area",'RAID Log'!$1:$1,0)),"")="","",IFERROR(INDEX('RAID Log'!$1:$1048576,$B408,MATCH("Impact Area",'RAID Log'!$1:$1,0)),"")))</f>
        <v/>
      </c>
      <c r="G408" s="85" t="str">
        <f>IF($B408="","",IF(IFERROR(INDEX('RAID Log'!$1:$1048576,$B408,MATCH("Impact Rating",'RAID Log'!$1:$1,0)),"")="","",IFERROR(INDEX('RAID Log'!$1:$1048576,$B408,MATCH("Impact Rating",'RAID Log'!$1:$1,0)),"")))</f>
        <v/>
      </c>
      <c r="H408" s="85" t="str">
        <f>IF($B408="","",IF(IFERROR(INDEX('RAID Log'!$1:$1048576,$B408,MATCH("Initial Probability",'RAID Log'!$1:$1,0)),"")="","",IFERROR(INDEX('RAID Log'!$1:$1048576,$B408,MATCH("Initial Probability",'RAID Log'!$1:$1,0)),"")))</f>
        <v/>
      </c>
      <c r="I408" s="86" t="str">
        <f t="shared" si="18"/>
        <v/>
      </c>
      <c r="J408" s="85" t="str">
        <f t="shared" si="19"/>
        <v/>
      </c>
      <c r="K408" s="86" t="str">
        <f t="shared" si="20"/>
        <v/>
      </c>
      <c r="L408" s="85" t="str">
        <f>IF($B408="","",IF(IFERROR(INDEX('RAID Log'!$1:$1048576,$B408,MATCH("Status",'RAID Log'!$1:$1,0)),"")="","",IFERROR(INDEX('RAID Log'!$1:$1048576,$B408,MATCH("Status",'RAID Log'!$1:$1,0)),"")))</f>
        <v/>
      </c>
      <c r="M408" s="85" t="str">
        <f>IF($B408="","",IF(IFERROR(INDEX('RAID Log'!$1:$1048576,$B408,MATCH("RAID Owner",'RAID Log'!$1:$1,0)),"")="","",IFERROR(INDEX('RAID Log'!$1:$1048576,$B408,MATCH("RAID Owner",'RAID Log'!$1:$1,0)),"")))</f>
        <v/>
      </c>
      <c r="N408" s="87" t="str">
        <f>IF($B408="","",IF(IFERROR(INDEX('RAID Log'!$1:$1048576,$B408,MATCH("Date Raised",'RAID Log'!$1:$1,0)),"")="","",IFERROR(INDEX('RAID Log'!$1:$1048576,$B408,MATCH("Date Raised",'RAID Log'!$1:$1,0)),"")))</f>
        <v/>
      </c>
      <c r="O408" s="87" t="str">
        <f>IF($B408="","",IF(IFERROR(INDEX('RAID Log'!$1:$1048576,$B408,MATCH("Closed Date",'RAID Log'!$1:$1,0)),"")="","",IFERROR(INDEX('RAID Log'!$1:$1048576,$B408,MATCH("Closed Date",'RAID Log'!$1:$1,0)),"")))</f>
        <v/>
      </c>
      <c r="P408" s="85" t="str">
        <f>IF($B408="","",IF(IFERROR(INDEX('RAID Log'!$1:$1048576,$B408,MATCH("Mitigation Strategy",'RAID Log'!$1:$1,0)),"")="","",IFERROR(INDEX('RAID Log'!$1:$1048576,$B408,MATCH("Mitigation Strategy",'RAID Log'!$1:$1,0)),"")))</f>
        <v/>
      </c>
      <c r="Q408" s="88" t="str">
        <f>IF($B408="","",IF(IFERROR(INDEX('RAID Log'!$1:$1048576,$B408,MATCH("RAID Response/Plan",'RAID Log'!$1:$1,0)),"")="","",IFERROR(INDEX('RAID Log'!$1:$1048576,$B408,MATCH("RAID Response/Plan",'RAID Log'!$1:$1,0)),"")))</f>
        <v/>
      </c>
    </row>
    <row r="409" spans="1:17" ht="14.25" customHeight="1">
      <c r="A409" s="82" t="str">
        <f>IF($B409="","",IF(IFERROR(INDEX('RAID Log'!$1:$1048576,$B409,MATCH("RAID ID",'RAID Log'!$1:$1,0)),"")="","",IFERROR(INDEX('RAID Log'!$1:$1048576,$B409,MATCH("RAID ID",'RAID Log'!$1:$1,0)),"")))</f>
        <v/>
      </c>
      <c r="B409" s="83" t="str">
        <f>IFERROR(MATCH(ROW()-1,'RAID Log'!$S:$S,0),"")</f>
        <v/>
      </c>
      <c r="C409" s="84" t="str">
        <f>IF($B409="","",IF(IFERROR(INDEX('RAID Log'!$1:$1048576,$B409,MATCH("Description",'RAID Log'!$1:$1,0)),"")="","",IFERROR(INDEX('RAID Log'!$1:$1048576,$B409,MATCH("Description",'RAID Log'!$1:$1,0)),"")))</f>
        <v/>
      </c>
      <c r="D409" s="84" t="str">
        <f>IF($B409="","",IF(IFERROR(INDEX('RAID Log'!$1:$1048576,$B409,MATCH("Impact/Effect of the RAID",'RAID Log'!$1:$1,0)),"")="","",IFERROR(INDEX('RAID Log'!$1:$1048576,$B409,MATCH("Impact/Effect of the RAID",'RAID Log'!$1:$1,0)),"")))</f>
        <v/>
      </c>
      <c r="E409" s="85" t="str">
        <f>IF($B409="","",IF(IFERROR(INDEX('RAID Log'!$1:$1048576,$B409,MATCH("Impact Area",'RAID Log'!$1:$1,0)),"")="","",IFERROR(INDEX('RAID Log'!$1:$1048576,$B409,MATCH("Impact Area",'RAID Log'!$1:$1,0)),"")))</f>
        <v/>
      </c>
      <c r="F409" s="85" t="str">
        <f>IF($B409="","",IF(IFERROR(INDEX('RAID Log'!$1:$1048576,$B409,MATCH("Impact Area",'RAID Log'!$1:$1,0)),"")="","",IFERROR(INDEX('RAID Log'!$1:$1048576,$B409,MATCH("Impact Area",'RAID Log'!$1:$1,0)),"")))</f>
        <v/>
      </c>
      <c r="G409" s="85" t="str">
        <f>IF($B409="","",IF(IFERROR(INDEX('RAID Log'!$1:$1048576,$B409,MATCH("Impact Rating",'RAID Log'!$1:$1,0)),"")="","",IFERROR(INDEX('RAID Log'!$1:$1048576,$B409,MATCH("Impact Rating",'RAID Log'!$1:$1,0)),"")))</f>
        <v/>
      </c>
      <c r="H409" s="85" t="str">
        <f>IF($B409="","",IF(IFERROR(INDEX('RAID Log'!$1:$1048576,$B409,MATCH("Initial Probability",'RAID Log'!$1:$1,0)),"")="","",IFERROR(INDEX('RAID Log'!$1:$1048576,$B409,MATCH("Initial Probability",'RAID Log'!$1:$1,0)),"")))</f>
        <v/>
      </c>
      <c r="I409" s="86" t="str">
        <f t="shared" si="18"/>
        <v/>
      </c>
      <c r="J409" s="85" t="str">
        <f t="shared" si="19"/>
        <v/>
      </c>
      <c r="K409" s="86" t="str">
        <f t="shared" si="20"/>
        <v/>
      </c>
      <c r="L409" s="85" t="str">
        <f>IF($B409="","",IF(IFERROR(INDEX('RAID Log'!$1:$1048576,$B409,MATCH("Status",'RAID Log'!$1:$1,0)),"")="","",IFERROR(INDEX('RAID Log'!$1:$1048576,$B409,MATCH("Status",'RAID Log'!$1:$1,0)),"")))</f>
        <v/>
      </c>
      <c r="M409" s="85" t="str">
        <f>IF($B409="","",IF(IFERROR(INDEX('RAID Log'!$1:$1048576,$B409,MATCH("RAID Owner",'RAID Log'!$1:$1,0)),"")="","",IFERROR(INDEX('RAID Log'!$1:$1048576,$B409,MATCH("RAID Owner",'RAID Log'!$1:$1,0)),"")))</f>
        <v/>
      </c>
      <c r="N409" s="87" t="str">
        <f>IF($B409="","",IF(IFERROR(INDEX('RAID Log'!$1:$1048576,$B409,MATCH("Date Raised",'RAID Log'!$1:$1,0)),"")="","",IFERROR(INDEX('RAID Log'!$1:$1048576,$B409,MATCH("Date Raised",'RAID Log'!$1:$1,0)),"")))</f>
        <v/>
      </c>
      <c r="O409" s="87" t="str">
        <f>IF($B409="","",IF(IFERROR(INDEX('RAID Log'!$1:$1048576,$B409,MATCH("Closed Date",'RAID Log'!$1:$1,0)),"")="","",IFERROR(INDEX('RAID Log'!$1:$1048576,$B409,MATCH("Closed Date",'RAID Log'!$1:$1,0)),"")))</f>
        <v/>
      </c>
      <c r="P409" s="85" t="str">
        <f>IF($B409="","",IF(IFERROR(INDEX('RAID Log'!$1:$1048576,$B409,MATCH("Mitigation Strategy",'RAID Log'!$1:$1,0)),"")="","",IFERROR(INDEX('RAID Log'!$1:$1048576,$B409,MATCH("Mitigation Strategy",'RAID Log'!$1:$1,0)),"")))</f>
        <v/>
      </c>
      <c r="Q409" s="88" t="str">
        <f>IF($B409="","",IF(IFERROR(INDEX('RAID Log'!$1:$1048576,$B409,MATCH("RAID Response/Plan",'RAID Log'!$1:$1,0)),"")="","",IFERROR(INDEX('RAID Log'!$1:$1048576,$B409,MATCH("RAID Response/Plan",'RAID Log'!$1:$1,0)),"")))</f>
        <v/>
      </c>
    </row>
    <row r="410" spans="1:17" ht="14.25" customHeight="1">
      <c r="A410" s="82" t="str">
        <f>IF($B410="","",IF(IFERROR(INDEX('RAID Log'!$1:$1048576,$B410,MATCH("RAID ID",'RAID Log'!$1:$1,0)),"")="","",IFERROR(INDEX('RAID Log'!$1:$1048576,$B410,MATCH("RAID ID",'RAID Log'!$1:$1,0)),"")))</f>
        <v/>
      </c>
      <c r="B410" s="83" t="str">
        <f>IFERROR(MATCH(ROW()-1,'RAID Log'!$S:$S,0),"")</f>
        <v/>
      </c>
      <c r="C410" s="84" t="str">
        <f>IF($B410="","",IF(IFERROR(INDEX('RAID Log'!$1:$1048576,$B410,MATCH("Description",'RAID Log'!$1:$1,0)),"")="","",IFERROR(INDEX('RAID Log'!$1:$1048576,$B410,MATCH("Description",'RAID Log'!$1:$1,0)),"")))</f>
        <v/>
      </c>
      <c r="D410" s="84" t="str">
        <f>IF($B410="","",IF(IFERROR(INDEX('RAID Log'!$1:$1048576,$B410,MATCH("Impact/Effect of the RAID",'RAID Log'!$1:$1,0)),"")="","",IFERROR(INDEX('RAID Log'!$1:$1048576,$B410,MATCH("Impact/Effect of the RAID",'RAID Log'!$1:$1,0)),"")))</f>
        <v/>
      </c>
      <c r="E410" s="85" t="str">
        <f>IF($B410="","",IF(IFERROR(INDEX('RAID Log'!$1:$1048576,$B410,MATCH("Impact Area",'RAID Log'!$1:$1,0)),"")="","",IFERROR(INDEX('RAID Log'!$1:$1048576,$B410,MATCH("Impact Area",'RAID Log'!$1:$1,0)),"")))</f>
        <v/>
      </c>
      <c r="F410" s="85" t="str">
        <f>IF($B410="","",IF(IFERROR(INDEX('RAID Log'!$1:$1048576,$B410,MATCH("Impact Area",'RAID Log'!$1:$1,0)),"")="","",IFERROR(INDEX('RAID Log'!$1:$1048576,$B410,MATCH("Impact Area",'RAID Log'!$1:$1,0)),"")))</f>
        <v/>
      </c>
      <c r="G410" s="85" t="str">
        <f>IF($B410="","",IF(IFERROR(INDEX('RAID Log'!$1:$1048576,$B410,MATCH("Impact Rating",'RAID Log'!$1:$1,0)),"")="","",IFERROR(INDEX('RAID Log'!$1:$1048576,$B410,MATCH("Impact Rating",'RAID Log'!$1:$1,0)),"")))</f>
        <v/>
      </c>
      <c r="H410" s="85" t="str">
        <f>IF($B410="","",IF(IFERROR(INDEX('RAID Log'!$1:$1048576,$B410,MATCH("Initial Probability",'RAID Log'!$1:$1,0)),"")="","",IFERROR(INDEX('RAID Log'!$1:$1048576,$B410,MATCH("Initial Probability",'RAID Log'!$1:$1,0)),"")))</f>
        <v/>
      </c>
      <c r="I410" s="86" t="str">
        <f t="shared" si="18"/>
        <v/>
      </c>
      <c r="J410" s="85" t="str">
        <f t="shared" si="19"/>
        <v/>
      </c>
      <c r="K410" s="86" t="str">
        <f t="shared" si="20"/>
        <v/>
      </c>
      <c r="L410" s="85" t="str">
        <f>IF($B410="","",IF(IFERROR(INDEX('RAID Log'!$1:$1048576,$B410,MATCH("Status",'RAID Log'!$1:$1,0)),"")="","",IFERROR(INDEX('RAID Log'!$1:$1048576,$B410,MATCH("Status",'RAID Log'!$1:$1,0)),"")))</f>
        <v/>
      </c>
      <c r="M410" s="85" t="str">
        <f>IF($B410="","",IF(IFERROR(INDEX('RAID Log'!$1:$1048576,$B410,MATCH("RAID Owner",'RAID Log'!$1:$1,0)),"")="","",IFERROR(INDEX('RAID Log'!$1:$1048576,$B410,MATCH("RAID Owner",'RAID Log'!$1:$1,0)),"")))</f>
        <v/>
      </c>
      <c r="N410" s="87" t="str">
        <f>IF($B410="","",IF(IFERROR(INDEX('RAID Log'!$1:$1048576,$B410,MATCH("Date Raised",'RAID Log'!$1:$1,0)),"")="","",IFERROR(INDEX('RAID Log'!$1:$1048576,$B410,MATCH("Date Raised",'RAID Log'!$1:$1,0)),"")))</f>
        <v/>
      </c>
      <c r="O410" s="87" t="str">
        <f>IF($B410="","",IF(IFERROR(INDEX('RAID Log'!$1:$1048576,$B410,MATCH("Closed Date",'RAID Log'!$1:$1,0)),"")="","",IFERROR(INDEX('RAID Log'!$1:$1048576,$B410,MATCH("Closed Date",'RAID Log'!$1:$1,0)),"")))</f>
        <v/>
      </c>
      <c r="P410" s="85" t="str">
        <f>IF($B410="","",IF(IFERROR(INDEX('RAID Log'!$1:$1048576,$B410,MATCH("Mitigation Strategy",'RAID Log'!$1:$1,0)),"")="","",IFERROR(INDEX('RAID Log'!$1:$1048576,$B410,MATCH("Mitigation Strategy",'RAID Log'!$1:$1,0)),"")))</f>
        <v/>
      </c>
      <c r="Q410" s="88" t="str">
        <f>IF($B410="","",IF(IFERROR(INDEX('RAID Log'!$1:$1048576,$B410,MATCH("RAID Response/Plan",'RAID Log'!$1:$1,0)),"")="","",IFERROR(INDEX('RAID Log'!$1:$1048576,$B410,MATCH("RAID Response/Plan",'RAID Log'!$1:$1,0)),"")))</f>
        <v/>
      </c>
    </row>
    <row r="411" spans="1:17" ht="14.25" customHeight="1">
      <c r="A411" s="82" t="str">
        <f>IF($B411="","",IF(IFERROR(INDEX('RAID Log'!$1:$1048576,$B411,MATCH("RAID ID",'RAID Log'!$1:$1,0)),"")="","",IFERROR(INDEX('RAID Log'!$1:$1048576,$B411,MATCH("RAID ID",'RAID Log'!$1:$1,0)),"")))</f>
        <v/>
      </c>
      <c r="B411" s="83" t="str">
        <f>IFERROR(MATCH(ROW()-1,'RAID Log'!$S:$S,0),"")</f>
        <v/>
      </c>
      <c r="C411" s="84" t="str">
        <f>IF($B411="","",IF(IFERROR(INDEX('RAID Log'!$1:$1048576,$B411,MATCH("Description",'RAID Log'!$1:$1,0)),"")="","",IFERROR(INDEX('RAID Log'!$1:$1048576,$B411,MATCH("Description",'RAID Log'!$1:$1,0)),"")))</f>
        <v/>
      </c>
      <c r="D411" s="84" t="str">
        <f>IF($B411="","",IF(IFERROR(INDEX('RAID Log'!$1:$1048576,$B411,MATCH("Impact/Effect of the RAID",'RAID Log'!$1:$1,0)),"")="","",IFERROR(INDEX('RAID Log'!$1:$1048576,$B411,MATCH("Impact/Effect of the RAID",'RAID Log'!$1:$1,0)),"")))</f>
        <v/>
      </c>
      <c r="E411" s="85" t="str">
        <f>IF($B411="","",IF(IFERROR(INDEX('RAID Log'!$1:$1048576,$B411,MATCH("Impact Area",'RAID Log'!$1:$1,0)),"")="","",IFERROR(INDEX('RAID Log'!$1:$1048576,$B411,MATCH("Impact Area",'RAID Log'!$1:$1,0)),"")))</f>
        <v/>
      </c>
      <c r="F411" s="85" t="str">
        <f>IF($B411="","",IF(IFERROR(INDEX('RAID Log'!$1:$1048576,$B411,MATCH("Impact Area",'RAID Log'!$1:$1,0)),"")="","",IFERROR(INDEX('RAID Log'!$1:$1048576,$B411,MATCH("Impact Area",'RAID Log'!$1:$1,0)),"")))</f>
        <v/>
      </c>
      <c r="G411" s="85" t="str">
        <f>IF($B411="","",IF(IFERROR(INDEX('RAID Log'!$1:$1048576,$B411,MATCH("Impact Rating",'RAID Log'!$1:$1,0)),"")="","",IFERROR(INDEX('RAID Log'!$1:$1048576,$B411,MATCH("Impact Rating",'RAID Log'!$1:$1,0)),"")))</f>
        <v/>
      </c>
      <c r="H411" s="85" t="str">
        <f>IF($B411="","",IF(IFERROR(INDEX('RAID Log'!$1:$1048576,$B411,MATCH("Initial Probability",'RAID Log'!$1:$1,0)),"")="","",IFERROR(INDEX('RAID Log'!$1:$1048576,$B411,MATCH("Initial Probability",'RAID Log'!$1:$1,0)),"")))</f>
        <v/>
      </c>
      <c r="I411" s="86" t="str">
        <f t="shared" si="18"/>
        <v/>
      </c>
      <c r="J411" s="85" t="str">
        <f t="shared" si="19"/>
        <v/>
      </c>
      <c r="K411" s="86" t="str">
        <f t="shared" si="20"/>
        <v/>
      </c>
      <c r="L411" s="85" t="str">
        <f>IF($B411="","",IF(IFERROR(INDEX('RAID Log'!$1:$1048576,$B411,MATCH("Status",'RAID Log'!$1:$1,0)),"")="","",IFERROR(INDEX('RAID Log'!$1:$1048576,$B411,MATCH("Status",'RAID Log'!$1:$1,0)),"")))</f>
        <v/>
      </c>
      <c r="M411" s="85" t="str">
        <f>IF($B411="","",IF(IFERROR(INDEX('RAID Log'!$1:$1048576,$B411,MATCH("RAID Owner",'RAID Log'!$1:$1,0)),"")="","",IFERROR(INDEX('RAID Log'!$1:$1048576,$B411,MATCH("RAID Owner",'RAID Log'!$1:$1,0)),"")))</f>
        <v/>
      </c>
      <c r="N411" s="87" t="str">
        <f>IF($B411="","",IF(IFERROR(INDEX('RAID Log'!$1:$1048576,$B411,MATCH("Date Raised",'RAID Log'!$1:$1,0)),"")="","",IFERROR(INDEX('RAID Log'!$1:$1048576,$B411,MATCH("Date Raised",'RAID Log'!$1:$1,0)),"")))</f>
        <v/>
      </c>
      <c r="O411" s="87" t="str">
        <f>IF($B411="","",IF(IFERROR(INDEX('RAID Log'!$1:$1048576,$B411,MATCH("Closed Date",'RAID Log'!$1:$1,0)),"")="","",IFERROR(INDEX('RAID Log'!$1:$1048576,$B411,MATCH("Closed Date",'RAID Log'!$1:$1,0)),"")))</f>
        <v/>
      </c>
      <c r="P411" s="85" t="str">
        <f>IF($B411="","",IF(IFERROR(INDEX('RAID Log'!$1:$1048576,$B411,MATCH("Mitigation Strategy",'RAID Log'!$1:$1,0)),"")="","",IFERROR(INDEX('RAID Log'!$1:$1048576,$B411,MATCH("Mitigation Strategy",'RAID Log'!$1:$1,0)),"")))</f>
        <v/>
      </c>
      <c r="Q411" s="88" t="str">
        <f>IF($B411="","",IF(IFERROR(INDEX('RAID Log'!$1:$1048576,$B411,MATCH("RAID Response/Plan",'RAID Log'!$1:$1,0)),"")="","",IFERROR(INDEX('RAID Log'!$1:$1048576,$B411,MATCH("RAID Response/Plan",'RAID Log'!$1:$1,0)),"")))</f>
        <v/>
      </c>
    </row>
    <row r="412" spans="1:17" ht="14.25" customHeight="1">
      <c r="A412" s="82" t="str">
        <f>IF($B412="","",IF(IFERROR(INDEX('RAID Log'!$1:$1048576,$B412,MATCH("RAID ID",'RAID Log'!$1:$1,0)),"")="","",IFERROR(INDEX('RAID Log'!$1:$1048576,$B412,MATCH("RAID ID",'RAID Log'!$1:$1,0)),"")))</f>
        <v/>
      </c>
      <c r="B412" s="83" t="str">
        <f>IFERROR(MATCH(ROW()-1,'RAID Log'!$S:$S,0),"")</f>
        <v/>
      </c>
      <c r="C412" s="84" t="str">
        <f>IF($B412="","",IF(IFERROR(INDEX('RAID Log'!$1:$1048576,$B412,MATCH("Description",'RAID Log'!$1:$1,0)),"")="","",IFERROR(INDEX('RAID Log'!$1:$1048576,$B412,MATCH("Description",'RAID Log'!$1:$1,0)),"")))</f>
        <v/>
      </c>
      <c r="D412" s="84" t="str">
        <f>IF($B412="","",IF(IFERROR(INDEX('RAID Log'!$1:$1048576,$B412,MATCH("Impact/Effect of the RAID",'RAID Log'!$1:$1,0)),"")="","",IFERROR(INDEX('RAID Log'!$1:$1048576,$B412,MATCH("Impact/Effect of the RAID",'RAID Log'!$1:$1,0)),"")))</f>
        <v/>
      </c>
      <c r="E412" s="85" t="str">
        <f>IF($B412="","",IF(IFERROR(INDEX('RAID Log'!$1:$1048576,$B412,MATCH("Impact Area",'RAID Log'!$1:$1,0)),"")="","",IFERROR(INDEX('RAID Log'!$1:$1048576,$B412,MATCH("Impact Area",'RAID Log'!$1:$1,0)),"")))</f>
        <v/>
      </c>
      <c r="F412" s="85" t="str">
        <f>IF($B412="","",IF(IFERROR(INDEX('RAID Log'!$1:$1048576,$B412,MATCH("Impact Area",'RAID Log'!$1:$1,0)),"")="","",IFERROR(INDEX('RAID Log'!$1:$1048576,$B412,MATCH("Impact Area",'RAID Log'!$1:$1,0)),"")))</f>
        <v/>
      </c>
      <c r="G412" s="85" t="str">
        <f>IF($B412="","",IF(IFERROR(INDEX('RAID Log'!$1:$1048576,$B412,MATCH("Impact Rating",'RAID Log'!$1:$1,0)),"")="","",IFERROR(INDEX('RAID Log'!$1:$1048576,$B412,MATCH("Impact Rating",'RAID Log'!$1:$1,0)),"")))</f>
        <v/>
      </c>
      <c r="H412" s="85" t="str">
        <f>IF($B412="","",IF(IFERROR(INDEX('RAID Log'!$1:$1048576,$B412,MATCH("Initial Probability",'RAID Log'!$1:$1,0)),"")="","",IFERROR(INDEX('RAID Log'!$1:$1048576,$B412,MATCH("Initial Probability",'RAID Log'!$1:$1,0)),"")))</f>
        <v/>
      </c>
      <c r="I412" s="86" t="str">
        <f t="shared" si="18"/>
        <v/>
      </c>
      <c r="J412" s="85" t="str">
        <f t="shared" si="19"/>
        <v/>
      </c>
      <c r="K412" s="86" t="str">
        <f t="shared" si="20"/>
        <v/>
      </c>
      <c r="L412" s="85" t="str">
        <f>IF($B412="","",IF(IFERROR(INDEX('RAID Log'!$1:$1048576,$B412,MATCH("Status",'RAID Log'!$1:$1,0)),"")="","",IFERROR(INDEX('RAID Log'!$1:$1048576,$B412,MATCH("Status",'RAID Log'!$1:$1,0)),"")))</f>
        <v/>
      </c>
      <c r="M412" s="85" t="str">
        <f>IF($B412="","",IF(IFERROR(INDEX('RAID Log'!$1:$1048576,$B412,MATCH("RAID Owner",'RAID Log'!$1:$1,0)),"")="","",IFERROR(INDEX('RAID Log'!$1:$1048576,$B412,MATCH("RAID Owner",'RAID Log'!$1:$1,0)),"")))</f>
        <v/>
      </c>
      <c r="N412" s="87" t="str">
        <f>IF($B412="","",IF(IFERROR(INDEX('RAID Log'!$1:$1048576,$B412,MATCH("Date Raised",'RAID Log'!$1:$1,0)),"")="","",IFERROR(INDEX('RAID Log'!$1:$1048576,$B412,MATCH("Date Raised",'RAID Log'!$1:$1,0)),"")))</f>
        <v/>
      </c>
      <c r="O412" s="87" t="str">
        <f>IF($B412="","",IF(IFERROR(INDEX('RAID Log'!$1:$1048576,$B412,MATCH("Closed Date",'RAID Log'!$1:$1,0)),"")="","",IFERROR(INDEX('RAID Log'!$1:$1048576,$B412,MATCH("Closed Date",'RAID Log'!$1:$1,0)),"")))</f>
        <v/>
      </c>
      <c r="P412" s="85" t="str">
        <f>IF($B412="","",IF(IFERROR(INDEX('RAID Log'!$1:$1048576,$B412,MATCH("Mitigation Strategy",'RAID Log'!$1:$1,0)),"")="","",IFERROR(INDEX('RAID Log'!$1:$1048576,$B412,MATCH("Mitigation Strategy",'RAID Log'!$1:$1,0)),"")))</f>
        <v/>
      </c>
      <c r="Q412" s="88" t="str">
        <f>IF($B412="","",IF(IFERROR(INDEX('RAID Log'!$1:$1048576,$B412,MATCH("RAID Response/Plan",'RAID Log'!$1:$1,0)),"")="","",IFERROR(INDEX('RAID Log'!$1:$1048576,$B412,MATCH("RAID Response/Plan",'RAID Log'!$1:$1,0)),"")))</f>
        <v/>
      </c>
    </row>
    <row r="413" spans="1:17" ht="14.25" customHeight="1">
      <c r="A413" s="82" t="str">
        <f>IF($B413="","",IF(IFERROR(INDEX('RAID Log'!$1:$1048576,$B413,MATCH("RAID ID",'RAID Log'!$1:$1,0)),"")="","",IFERROR(INDEX('RAID Log'!$1:$1048576,$B413,MATCH("RAID ID",'RAID Log'!$1:$1,0)),"")))</f>
        <v/>
      </c>
      <c r="B413" s="83" t="str">
        <f>IFERROR(MATCH(ROW()-1,'RAID Log'!$S:$S,0),"")</f>
        <v/>
      </c>
      <c r="C413" s="84" t="str">
        <f>IF($B413="","",IF(IFERROR(INDEX('RAID Log'!$1:$1048576,$B413,MATCH("Description",'RAID Log'!$1:$1,0)),"")="","",IFERROR(INDEX('RAID Log'!$1:$1048576,$B413,MATCH("Description",'RAID Log'!$1:$1,0)),"")))</f>
        <v/>
      </c>
      <c r="D413" s="84" t="str">
        <f>IF($B413="","",IF(IFERROR(INDEX('RAID Log'!$1:$1048576,$B413,MATCH("Impact/Effect of the RAID",'RAID Log'!$1:$1,0)),"")="","",IFERROR(INDEX('RAID Log'!$1:$1048576,$B413,MATCH("Impact/Effect of the RAID",'RAID Log'!$1:$1,0)),"")))</f>
        <v/>
      </c>
      <c r="E413" s="85" t="str">
        <f>IF($B413="","",IF(IFERROR(INDEX('RAID Log'!$1:$1048576,$B413,MATCH("Impact Area",'RAID Log'!$1:$1,0)),"")="","",IFERROR(INDEX('RAID Log'!$1:$1048576,$B413,MATCH("Impact Area",'RAID Log'!$1:$1,0)),"")))</f>
        <v/>
      </c>
      <c r="F413" s="85" t="str">
        <f>IF($B413="","",IF(IFERROR(INDEX('RAID Log'!$1:$1048576,$B413,MATCH("Impact Area",'RAID Log'!$1:$1,0)),"")="","",IFERROR(INDEX('RAID Log'!$1:$1048576,$B413,MATCH("Impact Area",'RAID Log'!$1:$1,0)),"")))</f>
        <v/>
      </c>
      <c r="G413" s="85" t="str">
        <f>IF($B413="","",IF(IFERROR(INDEX('RAID Log'!$1:$1048576,$B413,MATCH("Impact Rating",'RAID Log'!$1:$1,0)),"")="","",IFERROR(INDEX('RAID Log'!$1:$1048576,$B413,MATCH("Impact Rating",'RAID Log'!$1:$1,0)),"")))</f>
        <v/>
      </c>
      <c r="H413" s="85" t="str">
        <f>IF($B413="","",IF(IFERROR(INDEX('RAID Log'!$1:$1048576,$B413,MATCH("Initial Probability",'RAID Log'!$1:$1,0)),"")="","",IFERROR(INDEX('RAID Log'!$1:$1048576,$B413,MATCH("Initial Probability",'RAID Log'!$1:$1,0)),"")))</f>
        <v/>
      </c>
      <c r="I413" s="86" t="str">
        <f t="shared" si="18"/>
        <v/>
      </c>
      <c r="J413" s="85" t="str">
        <f t="shared" si="19"/>
        <v/>
      </c>
      <c r="K413" s="86" t="str">
        <f t="shared" si="20"/>
        <v/>
      </c>
      <c r="L413" s="85" t="str">
        <f>IF($B413="","",IF(IFERROR(INDEX('RAID Log'!$1:$1048576,$B413,MATCH("Status",'RAID Log'!$1:$1,0)),"")="","",IFERROR(INDEX('RAID Log'!$1:$1048576,$B413,MATCH("Status",'RAID Log'!$1:$1,0)),"")))</f>
        <v/>
      </c>
      <c r="M413" s="85" t="str">
        <f>IF($B413="","",IF(IFERROR(INDEX('RAID Log'!$1:$1048576,$B413,MATCH("RAID Owner",'RAID Log'!$1:$1,0)),"")="","",IFERROR(INDEX('RAID Log'!$1:$1048576,$B413,MATCH("RAID Owner",'RAID Log'!$1:$1,0)),"")))</f>
        <v/>
      </c>
      <c r="N413" s="87" t="str">
        <f>IF($B413="","",IF(IFERROR(INDEX('RAID Log'!$1:$1048576,$B413,MATCH("Date Raised",'RAID Log'!$1:$1,0)),"")="","",IFERROR(INDEX('RAID Log'!$1:$1048576,$B413,MATCH("Date Raised",'RAID Log'!$1:$1,0)),"")))</f>
        <v/>
      </c>
      <c r="O413" s="87" t="str">
        <f>IF($B413="","",IF(IFERROR(INDEX('RAID Log'!$1:$1048576,$B413,MATCH("Closed Date",'RAID Log'!$1:$1,0)),"")="","",IFERROR(INDEX('RAID Log'!$1:$1048576,$B413,MATCH("Closed Date",'RAID Log'!$1:$1,0)),"")))</f>
        <v/>
      </c>
      <c r="P413" s="85" t="str">
        <f>IF($B413="","",IF(IFERROR(INDEX('RAID Log'!$1:$1048576,$B413,MATCH("Mitigation Strategy",'RAID Log'!$1:$1,0)),"")="","",IFERROR(INDEX('RAID Log'!$1:$1048576,$B413,MATCH("Mitigation Strategy",'RAID Log'!$1:$1,0)),"")))</f>
        <v/>
      </c>
      <c r="Q413" s="88" t="str">
        <f>IF($B413="","",IF(IFERROR(INDEX('RAID Log'!$1:$1048576,$B413,MATCH("RAID Response/Plan",'RAID Log'!$1:$1,0)),"")="","",IFERROR(INDEX('RAID Log'!$1:$1048576,$B413,MATCH("RAID Response/Plan",'RAID Log'!$1:$1,0)),"")))</f>
        <v/>
      </c>
    </row>
    <row r="414" spans="1:17" ht="14.25" customHeight="1">
      <c r="A414" s="82" t="str">
        <f>IF($B414="","",IF(IFERROR(INDEX('RAID Log'!$1:$1048576,$B414,MATCH("RAID ID",'RAID Log'!$1:$1,0)),"")="","",IFERROR(INDEX('RAID Log'!$1:$1048576,$B414,MATCH("RAID ID",'RAID Log'!$1:$1,0)),"")))</f>
        <v/>
      </c>
      <c r="B414" s="83" t="str">
        <f>IFERROR(MATCH(ROW()-1,'RAID Log'!$S:$S,0),"")</f>
        <v/>
      </c>
      <c r="C414" s="84" t="str">
        <f>IF($B414="","",IF(IFERROR(INDEX('RAID Log'!$1:$1048576,$B414,MATCH("Description",'RAID Log'!$1:$1,0)),"")="","",IFERROR(INDEX('RAID Log'!$1:$1048576,$B414,MATCH("Description",'RAID Log'!$1:$1,0)),"")))</f>
        <v/>
      </c>
      <c r="D414" s="84" t="str">
        <f>IF($B414="","",IF(IFERROR(INDEX('RAID Log'!$1:$1048576,$B414,MATCH("Impact/Effect of the RAID",'RAID Log'!$1:$1,0)),"")="","",IFERROR(INDEX('RAID Log'!$1:$1048576,$B414,MATCH("Impact/Effect of the RAID",'RAID Log'!$1:$1,0)),"")))</f>
        <v/>
      </c>
      <c r="E414" s="85" t="str">
        <f>IF($B414="","",IF(IFERROR(INDEX('RAID Log'!$1:$1048576,$B414,MATCH("Impact Area",'RAID Log'!$1:$1,0)),"")="","",IFERROR(INDEX('RAID Log'!$1:$1048576,$B414,MATCH("Impact Area",'RAID Log'!$1:$1,0)),"")))</f>
        <v/>
      </c>
      <c r="F414" s="85" t="str">
        <f>IF($B414="","",IF(IFERROR(INDEX('RAID Log'!$1:$1048576,$B414,MATCH("Impact Area",'RAID Log'!$1:$1,0)),"")="","",IFERROR(INDEX('RAID Log'!$1:$1048576,$B414,MATCH("Impact Area",'RAID Log'!$1:$1,0)),"")))</f>
        <v/>
      </c>
      <c r="G414" s="85" t="str">
        <f>IF($B414="","",IF(IFERROR(INDEX('RAID Log'!$1:$1048576,$B414,MATCH("Impact Rating",'RAID Log'!$1:$1,0)),"")="","",IFERROR(INDEX('RAID Log'!$1:$1048576,$B414,MATCH("Impact Rating",'RAID Log'!$1:$1,0)),"")))</f>
        <v/>
      </c>
      <c r="H414" s="85" t="str">
        <f>IF($B414="","",IF(IFERROR(INDEX('RAID Log'!$1:$1048576,$B414,MATCH("Initial Probability",'RAID Log'!$1:$1,0)),"")="","",IFERROR(INDEX('RAID Log'!$1:$1048576,$B414,MATCH("Initial Probability",'RAID Log'!$1:$1,0)),"")))</f>
        <v/>
      </c>
      <c r="I414" s="86" t="str">
        <f t="shared" si="18"/>
        <v/>
      </c>
      <c r="J414" s="85" t="str">
        <f t="shared" si="19"/>
        <v/>
      </c>
      <c r="K414" s="86" t="str">
        <f t="shared" si="20"/>
        <v/>
      </c>
      <c r="L414" s="85" t="str">
        <f>IF($B414="","",IF(IFERROR(INDEX('RAID Log'!$1:$1048576,$B414,MATCH("Status",'RAID Log'!$1:$1,0)),"")="","",IFERROR(INDEX('RAID Log'!$1:$1048576,$B414,MATCH("Status",'RAID Log'!$1:$1,0)),"")))</f>
        <v/>
      </c>
      <c r="M414" s="85" t="str">
        <f>IF($B414="","",IF(IFERROR(INDEX('RAID Log'!$1:$1048576,$B414,MATCH("RAID Owner",'RAID Log'!$1:$1,0)),"")="","",IFERROR(INDEX('RAID Log'!$1:$1048576,$B414,MATCH("RAID Owner",'RAID Log'!$1:$1,0)),"")))</f>
        <v/>
      </c>
      <c r="N414" s="87" t="str">
        <f>IF($B414="","",IF(IFERROR(INDEX('RAID Log'!$1:$1048576,$B414,MATCH("Date Raised",'RAID Log'!$1:$1,0)),"")="","",IFERROR(INDEX('RAID Log'!$1:$1048576,$B414,MATCH("Date Raised",'RAID Log'!$1:$1,0)),"")))</f>
        <v/>
      </c>
      <c r="O414" s="87" t="str">
        <f>IF($B414="","",IF(IFERROR(INDEX('RAID Log'!$1:$1048576,$B414,MATCH("Closed Date",'RAID Log'!$1:$1,0)),"")="","",IFERROR(INDEX('RAID Log'!$1:$1048576,$B414,MATCH("Closed Date",'RAID Log'!$1:$1,0)),"")))</f>
        <v/>
      </c>
      <c r="P414" s="85" t="str">
        <f>IF($B414="","",IF(IFERROR(INDEX('RAID Log'!$1:$1048576,$B414,MATCH("Mitigation Strategy",'RAID Log'!$1:$1,0)),"")="","",IFERROR(INDEX('RAID Log'!$1:$1048576,$B414,MATCH("Mitigation Strategy",'RAID Log'!$1:$1,0)),"")))</f>
        <v/>
      </c>
      <c r="Q414" s="88" t="str">
        <f>IF($B414="","",IF(IFERROR(INDEX('RAID Log'!$1:$1048576,$B414,MATCH("RAID Response/Plan",'RAID Log'!$1:$1,0)),"")="","",IFERROR(INDEX('RAID Log'!$1:$1048576,$B414,MATCH("RAID Response/Plan",'RAID Log'!$1:$1,0)),"")))</f>
        <v/>
      </c>
    </row>
    <row r="415" spans="1:17" ht="14.25" customHeight="1">
      <c r="A415" s="82" t="str">
        <f>IF($B415="","",IF(IFERROR(INDEX('RAID Log'!$1:$1048576,$B415,MATCH("RAID ID",'RAID Log'!$1:$1,0)),"")="","",IFERROR(INDEX('RAID Log'!$1:$1048576,$B415,MATCH("RAID ID",'RAID Log'!$1:$1,0)),"")))</f>
        <v/>
      </c>
      <c r="B415" s="83" t="str">
        <f>IFERROR(MATCH(ROW()-1,'RAID Log'!$S:$S,0),"")</f>
        <v/>
      </c>
      <c r="C415" s="84" t="str">
        <f>IF($B415="","",IF(IFERROR(INDEX('RAID Log'!$1:$1048576,$B415,MATCH("Description",'RAID Log'!$1:$1,0)),"")="","",IFERROR(INDEX('RAID Log'!$1:$1048576,$B415,MATCH("Description",'RAID Log'!$1:$1,0)),"")))</f>
        <v/>
      </c>
      <c r="D415" s="84" t="str">
        <f>IF($B415="","",IF(IFERROR(INDEX('RAID Log'!$1:$1048576,$B415,MATCH("Impact/Effect of the RAID",'RAID Log'!$1:$1,0)),"")="","",IFERROR(INDEX('RAID Log'!$1:$1048576,$B415,MATCH("Impact/Effect of the RAID",'RAID Log'!$1:$1,0)),"")))</f>
        <v/>
      </c>
      <c r="E415" s="85" t="str">
        <f>IF($B415="","",IF(IFERROR(INDEX('RAID Log'!$1:$1048576,$B415,MATCH("Impact Area",'RAID Log'!$1:$1,0)),"")="","",IFERROR(INDEX('RAID Log'!$1:$1048576,$B415,MATCH("Impact Area",'RAID Log'!$1:$1,0)),"")))</f>
        <v/>
      </c>
      <c r="F415" s="85" t="str">
        <f>IF($B415="","",IF(IFERROR(INDEX('RAID Log'!$1:$1048576,$B415,MATCH("Impact Area",'RAID Log'!$1:$1,0)),"")="","",IFERROR(INDEX('RAID Log'!$1:$1048576,$B415,MATCH("Impact Area",'RAID Log'!$1:$1,0)),"")))</f>
        <v/>
      </c>
      <c r="G415" s="85" t="str">
        <f>IF($B415="","",IF(IFERROR(INDEX('RAID Log'!$1:$1048576,$B415,MATCH("Impact Rating",'RAID Log'!$1:$1,0)),"")="","",IFERROR(INDEX('RAID Log'!$1:$1048576,$B415,MATCH("Impact Rating",'RAID Log'!$1:$1,0)),"")))</f>
        <v/>
      </c>
      <c r="H415" s="85" t="str">
        <f>IF($B415="","",IF(IFERROR(INDEX('RAID Log'!$1:$1048576,$B415,MATCH("Initial Probability",'RAID Log'!$1:$1,0)),"")="","",IFERROR(INDEX('RAID Log'!$1:$1048576,$B415,MATCH("Initial Probability",'RAID Log'!$1:$1,0)),"")))</f>
        <v/>
      </c>
      <c r="I415" s="86" t="str">
        <f t="shared" si="18"/>
        <v/>
      </c>
      <c r="J415" s="85" t="str">
        <f t="shared" si="19"/>
        <v/>
      </c>
      <c r="K415" s="86" t="str">
        <f t="shared" si="20"/>
        <v/>
      </c>
      <c r="L415" s="85" t="str">
        <f>IF($B415="","",IF(IFERROR(INDEX('RAID Log'!$1:$1048576,$B415,MATCH("Status",'RAID Log'!$1:$1,0)),"")="","",IFERROR(INDEX('RAID Log'!$1:$1048576,$B415,MATCH("Status",'RAID Log'!$1:$1,0)),"")))</f>
        <v/>
      </c>
      <c r="M415" s="85" t="str">
        <f>IF($B415="","",IF(IFERROR(INDEX('RAID Log'!$1:$1048576,$B415,MATCH("RAID Owner",'RAID Log'!$1:$1,0)),"")="","",IFERROR(INDEX('RAID Log'!$1:$1048576,$B415,MATCH("RAID Owner",'RAID Log'!$1:$1,0)),"")))</f>
        <v/>
      </c>
      <c r="N415" s="87" t="str">
        <f>IF($B415="","",IF(IFERROR(INDEX('RAID Log'!$1:$1048576,$B415,MATCH("Date Raised",'RAID Log'!$1:$1,0)),"")="","",IFERROR(INDEX('RAID Log'!$1:$1048576,$B415,MATCH("Date Raised",'RAID Log'!$1:$1,0)),"")))</f>
        <v/>
      </c>
      <c r="O415" s="87" t="str">
        <f>IF($B415="","",IF(IFERROR(INDEX('RAID Log'!$1:$1048576,$B415,MATCH("Closed Date",'RAID Log'!$1:$1,0)),"")="","",IFERROR(INDEX('RAID Log'!$1:$1048576,$B415,MATCH("Closed Date",'RAID Log'!$1:$1,0)),"")))</f>
        <v/>
      </c>
      <c r="P415" s="85" t="str">
        <f>IF($B415="","",IF(IFERROR(INDEX('RAID Log'!$1:$1048576,$B415,MATCH("Mitigation Strategy",'RAID Log'!$1:$1,0)),"")="","",IFERROR(INDEX('RAID Log'!$1:$1048576,$B415,MATCH("Mitigation Strategy",'RAID Log'!$1:$1,0)),"")))</f>
        <v/>
      </c>
      <c r="Q415" s="88" t="str">
        <f>IF($B415="","",IF(IFERROR(INDEX('RAID Log'!$1:$1048576,$B415,MATCH("RAID Response/Plan",'RAID Log'!$1:$1,0)),"")="","",IFERROR(INDEX('RAID Log'!$1:$1048576,$B415,MATCH("RAID Response/Plan",'RAID Log'!$1:$1,0)),"")))</f>
        <v/>
      </c>
    </row>
    <row r="416" spans="1:17" ht="14.25" customHeight="1">
      <c r="A416" s="82" t="str">
        <f>IF($B416="","",IF(IFERROR(INDEX('RAID Log'!$1:$1048576,$B416,MATCH("RAID ID",'RAID Log'!$1:$1,0)),"")="","",IFERROR(INDEX('RAID Log'!$1:$1048576,$B416,MATCH("RAID ID",'RAID Log'!$1:$1,0)),"")))</f>
        <v/>
      </c>
      <c r="B416" s="83" t="str">
        <f>IFERROR(MATCH(ROW()-1,'RAID Log'!$S:$S,0),"")</f>
        <v/>
      </c>
      <c r="C416" s="84" t="str">
        <f>IF($B416="","",IF(IFERROR(INDEX('RAID Log'!$1:$1048576,$B416,MATCH("Description",'RAID Log'!$1:$1,0)),"")="","",IFERROR(INDEX('RAID Log'!$1:$1048576,$B416,MATCH("Description",'RAID Log'!$1:$1,0)),"")))</f>
        <v/>
      </c>
      <c r="D416" s="84" t="str">
        <f>IF($B416="","",IF(IFERROR(INDEX('RAID Log'!$1:$1048576,$B416,MATCH("Impact/Effect of the RAID",'RAID Log'!$1:$1,0)),"")="","",IFERROR(INDEX('RAID Log'!$1:$1048576,$B416,MATCH("Impact/Effect of the RAID",'RAID Log'!$1:$1,0)),"")))</f>
        <v/>
      </c>
      <c r="E416" s="85" t="str">
        <f>IF($B416="","",IF(IFERROR(INDEX('RAID Log'!$1:$1048576,$B416,MATCH("Impact Area",'RAID Log'!$1:$1,0)),"")="","",IFERROR(INDEX('RAID Log'!$1:$1048576,$B416,MATCH("Impact Area",'RAID Log'!$1:$1,0)),"")))</f>
        <v/>
      </c>
      <c r="F416" s="85" t="str">
        <f>IF($B416="","",IF(IFERROR(INDEX('RAID Log'!$1:$1048576,$B416,MATCH("Impact Area",'RAID Log'!$1:$1,0)),"")="","",IFERROR(INDEX('RAID Log'!$1:$1048576,$B416,MATCH("Impact Area",'RAID Log'!$1:$1,0)),"")))</f>
        <v/>
      </c>
      <c r="G416" s="85" t="str">
        <f>IF($B416="","",IF(IFERROR(INDEX('RAID Log'!$1:$1048576,$B416,MATCH("Impact Rating",'RAID Log'!$1:$1,0)),"")="","",IFERROR(INDEX('RAID Log'!$1:$1048576,$B416,MATCH("Impact Rating",'RAID Log'!$1:$1,0)),"")))</f>
        <v/>
      </c>
      <c r="H416" s="85" t="str">
        <f>IF($B416="","",IF(IFERROR(INDEX('RAID Log'!$1:$1048576,$B416,MATCH("Initial Probability",'RAID Log'!$1:$1,0)),"")="","",IFERROR(INDEX('RAID Log'!$1:$1048576,$B416,MATCH("Initial Probability",'RAID Log'!$1:$1,0)),"")))</f>
        <v/>
      </c>
      <c r="I416" s="86" t="str">
        <f t="shared" si="18"/>
        <v/>
      </c>
      <c r="J416" s="85" t="str">
        <f t="shared" si="19"/>
        <v/>
      </c>
      <c r="K416" s="86" t="str">
        <f t="shared" si="20"/>
        <v/>
      </c>
      <c r="L416" s="85" t="str">
        <f>IF($B416="","",IF(IFERROR(INDEX('RAID Log'!$1:$1048576,$B416,MATCH("Status",'RAID Log'!$1:$1,0)),"")="","",IFERROR(INDEX('RAID Log'!$1:$1048576,$B416,MATCH("Status",'RAID Log'!$1:$1,0)),"")))</f>
        <v/>
      </c>
      <c r="M416" s="85" t="str">
        <f>IF($B416="","",IF(IFERROR(INDEX('RAID Log'!$1:$1048576,$B416,MATCH("RAID Owner",'RAID Log'!$1:$1,0)),"")="","",IFERROR(INDEX('RAID Log'!$1:$1048576,$B416,MATCH("RAID Owner",'RAID Log'!$1:$1,0)),"")))</f>
        <v/>
      </c>
      <c r="N416" s="87" t="str">
        <f>IF($B416="","",IF(IFERROR(INDEX('RAID Log'!$1:$1048576,$B416,MATCH("Date Raised",'RAID Log'!$1:$1,0)),"")="","",IFERROR(INDEX('RAID Log'!$1:$1048576,$B416,MATCH("Date Raised",'RAID Log'!$1:$1,0)),"")))</f>
        <v/>
      </c>
      <c r="O416" s="87" t="str">
        <f>IF($B416="","",IF(IFERROR(INDEX('RAID Log'!$1:$1048576,$B416,MATCH("Closed Date",'RAID Log'!$1:$1,0)),"")="","",IFERROR(INDEX('RAID Log'!$1:$1048576,$B416,MATCH("Closed Date",'RAID Log'!$1:$1,0)),"")))</f>
        <v/>
      </c>
      <c r="P416" s="85" t="str">
        <f>IF($B416="","",IF(IFERROR(INDEX('RAID Log'!$1:$1048576,$B416,MATCH("Mitigation Strategy",'RAID Log'!$1:$1,0)),"")="","",IFERROR(INDEX('RAID Log'!$1:$1048576,$B416,MATCH("Mitigation Strategy",'RAID Log'!$1:$1,0)),"")))</f>
        <v/>
      </c>
      <c r="Q416" s="88" t="str">
        <f>IF($B416="","",IF(IFERROR(INDEX('RAID Log'!$1:$1048576,$B416,MATCH("RAID Response/Plan",'RAID Log'!$1:$1,0)),"")="","",IFERROR(INDEX('RAID Log'!$1:$1048576,$B416,MATCH("RAID Response/Plan",'RAID Log'!$1:$1,0)),"")))</f>
        <v/>
      </c>
    </row>
    <row r="417" spans="1:17" ht="14.25" customHeight="1">
      <c r="A417" s="82" t="str">
        <f>IF($B417="","",IF(IFERROR(INDEX('RAID Log'!$1:$1048576,$B417,MATCH("RAID ID",'RAID Log'!$1:$1,0)),"")="","",IFERROR(INDEX('RAID Log'!$1:$1048576,$B417,MATCH("RAID ID",'RAID Log'!$1:$1,0)),"")))</f>
        <v/>
      </c>
      <c r="B417" s="83" t="str">
        <f>IFERROR(MATCH(ROW()-1,'RAID Log'!$S:$S,0),"")</f>
        <v/>
      </c>
      <c r="C417" s="84" t="str">
        <f>IF($B417="","",IF(IFERROR(INDEX('RAID Log'!$1:$1048576,$B417,MATCH("Description",'RAID Log'!$1:$1,0)),"")="","",IFERROR(INDEX('RAID Log'!$1:$1048576,$B417,MATCH("Description",'RAID Log'!$1:$1,0)),"")))</f>
        <v/>
      </c>
      <c r="D417" s="84" t="str">
        <f>IF($B417="","",IF(IFERROR(INDEX('RAID Log'!$1:$1048576,$B417,MATCH("Impact/Effect of the RAID",'RAID Log'!$1:$1,0)),"")="","",IFERROR(INDEX('RAID Log'!$1:$1048576,$B417,MATCH("Impact/Effect of the RAID",'RAID Log'!$1:$1,0)),"")))</f>
        <v/>
      </c>
      <c r="E417" s="85" t="str">
        <f>IF($B417="","",IF(IFERROR(INDEX('RAID Log'!$1:$1048576,$B417,MATCH("Impact Area",'RAID Log'!$1:$1,0)),"")="","",IFERROR(INDEX('RAID Log'!$1:$1048576,$B417,MATCH("Impact Area",'RAID Log'!$1:$1,0)),"")))</f>
        <v/>
      </c>
      <c r="F417" s="85" t="str">
        <f>IF($B417="","",IF(IFERROR(INDEX('RAID Log'!$1:$1048576,$B417,MATCH("Impact Area",'RAID Log'!$1:$1,0)),"")="","",IFERROR(INDEX('RAID Log'!$1:$1048576,$B417,MATCH("Impact Area",'RAID Log'!$1:$1,0)),"")))</f>
        <v/>
      </c>
      <c r="G417" s="85" t="str">
        <f>IF($B417="","",IF(IFERROR(INDEX('RAID Log'!$1:$1048576,$B417,MATCH("Impact Rating",'RAID Log'!$1:$1,0)),"")="","",IFERROR(INDEX('RAID Log'!$1:$1048576,$B417,MATCH("Impact Rating",'RAID Log'!$1:$1,0)),"")))</f>
        <v/>
      </c>
      <c r="H417" s="85" t="str">
        <f>IF($B417="","",IF(IFERROR(INDEX('RAID Log'!$1:$1048576,$B417,MATCH("Initial Probability",'RAID Log'!$1:$1,0)),"")="","",IFERROR(INDEX('RAID Log'!$1:$1048576,$B417,MATCH("Initial Probability",'RAID Log'!$1:$1,0)),"")))</f>
        <v/>
      </c>
      <c r="I417" s="86" t="str">
        <f t="shared" si="18"/>
        <v/>
      </c>
      <c r="J417" s="85" t="str">
        <f t="shared" si="19"/>
        <v/>
      </c>
      <c r="K417" s="86" t="str">
        <f t="shared" si="20"/>
        <v/>
      </c>
      <c r="L417" s="85" t="str">
        <f>IF($B417="","",IF(IFERROR(INDEX('RAID Log'!$1:$1048576,$B417,MATCH("Status",'RAID Log'!$1:$1,0)),"")="","",IFERROR(INDEX('RAID Log'!$1:$1048576,$B417,MATCH("Status",'RAID Log'!$1:$1,0)),"")))</f>
        <v/>
      </c>
      <c r="M417" s="85" t="str">
        <f>IF($B417="","",IF(IFERROR(INDEX('RAID Log'!$1:$1048576,$B417,MATCH("RAID Owner",'RAID Log'!$1:$1,0)),"")="","",IFERROR(INDEX('RAID Log'!$1:$1048576,$B417,MATCH("RAID Owner",'RAID Log'!$1:$1,0)),"")))</f>
        <v/>
      </c>
      <c r="N417" s="87" t="str">
        <f>IF($B417="","",IF(IFERROR(INDEX('RAID Log'!$1:$1048576,$B417,MATCH("Date Raised",'RAID Log'!$1:$1,0)),"")="","",IFERROR(INDEX('RAID Log'!$1:$1048576,$B417,MATCH("Date Raised",'RAID Log'!$1:$1,0)),"")))</f>
        <v/>
      </c>
      <c r="O417" s="87" t="str">
        <f>IF($B417="","",IF(IFERROR(INDEX('RAID Log'!$1:$1048576,$B417,MATCH("Closed Date",'RAID Log'!$1:$1,0)),"")="","",IFERROR(INDEX('RAID Log'!$1:$1048576,$B417,MATCH("Closed Date",'RAID Log'!$1:$1,0)),"")))</f>
        <v/>
      </c>
      <c r="P417" s="85" t="str">
        <f>IF($B417="","",IF(IFERROR(INDEX('RAID Log'!$1:$1048576,$B417,MATCH("Mitigation Strategy",'RAID Log'!$1:$1,0)),"")="","",IFERROR(INDEX('RAID Log'!$1:$1048576,$B417,MATCH("Mitigation Strategy",'RAID Log'!$1:$1,0)),"")))</f>
        <v/>
      </c>
      <c r="Q417" s="88" t="str">
        <f>IF($B417="","",IF(IFERROR(INDEX('RAID Log'!$1:$1048576,$B417,MATCH("RAID Response/Plan",'RAID Log'!$1:$1,0)),"")="","",IFERROR(INDEX('RAID Log'!$1:$1048576,$B417,MATCH("RAID Response/Plan",'RAID Log'!$1:$1,0)),"")))</f>
        <v/>
      </c>
    </row>
    <row r="418" spans="1:17" ht="14.25" customHeight="1">
      <c r="A418" s="82" t="str">
        <f>IF($B418="","",IF(IFERROR(INDEX('RAID Log'!$1:$1048576,$B418,MATCH("RAID ID",'RAID Log'!$1:$1,0)),"")="","",IFERROR(INDEX('RAID Log'!$1:$1048576,$B418,MATCH("RAID ID",'RAID Log'!$1:$1,0)),"")))</f>
        <v/>
      </c>
      <c r="B418" s="83" t="str">
        <f>IFERROR(MATCH(ROW()-1,'RAID Log'!$S:$S,0),"")</f>
        <v/>
      </c>
      <c r="C418" s="84" t="str">
        <f>IF($B418="","",IF(IFERROR(INDEX('RAID Log'!$1:$1048576,$B418,MATCH("Description",'RAID Log'!$1:$1,0)),"")="","",IFERROR(INDEX('RAID Log'!$1:$1048576,$B418,MATCH("Description",'RAID Log'!$1:$1,0)),"")))</f>
        <v/>
      </c>
      <c r="D418" s="84" t="str">
        <f>IF($B418="","",IF(IFERROR(INDEX('RAID Log'!$1:$1048576,$B418,MATCH("Impact/Effect of the RAID",'RAID Log'!$1:$1,0)),"")="","",IFERROR(INDEX('RAID Log'!$1:$1048576,$B418,MATCH("Impact/Effect of the RAID",'RAID Log'!$1:$1,0)),"")))</f>
        <v/>
      </c>
      <c r="E418" s="85" t="str">
        <f>IF($B418="","",IF(IFERROR(INDEX('RAID Log'!$1:$1048576,$B418,MATCH("Impact Area",'RAID Log'!$1:$1,0)),"")="","",IFERROR(INDEX('RAID Log'!$1:$1048576,$B418,MATCH("Impact Area",'RAID Log'!$1:$1,0)),"")))</f>
        <v/>
      </c>
      <c r="F418" s="85" t="str">
        <f>IF($B418="","",IF(IFERROR(INDEX('RAID Log'!$1:$1048576,$B418,MATCH("Impact Area",'RAID Log'!$1:$1,0)),"")="","",IFERROR(INDEX('RAID Log'!$1:$1048576,$B418,MATCH("Impact Area",'RAID Log'!$1:$1,0)),"")))</f>
        <v/>
      </c>
      <c r="G418" s="85" t="str">
        <f>IF($B418="","",IF(IFERROR(INDEX('RAID Log'!$1:$1048576,$B418,MATCH("Impact Rating",'RAID Log'!$1:$1,0)),"")="","",IFERROR(INDEX('RAID Log'!$1:$1048576,$B418,MATCH("Impact Rating",'RAID Log'!$1:$1,0)),"")))</f>
        <v/>
      </c>
      <c r="H418" s="85" t="str">
        <f>IF($B418="","",IF(IFERROR(INDEX('RAID Log'!$1:$1048576,$B418,MATCH("Initial Probability",'RAID Log'!$1:$1,0)),"")="","",IFERROR(INDEX('RAID Log'!$1:$1048576,$B418,MATCH("Initial Probability",'RAID Log'!$1:$1,0)),"")))</f>
        <v/>
      </c>
      <c r="I418" s="86" t="str">
        <f t="shared" si="18"/>
        <v/>
      </c>
      <c r="J418" s="85" t="str">
        <f t="shared" si="19"/>
        <v/>
      </c>
      <c r="K418" s="86" t="str">
        <f t="shared" si="20"/>
        <v/>
      </c>
      <c r="L418" s="85" t="str">
        <f>IF($B418="","",IF(IFERROR(INDEX('RAID Log'!$1:$1048576,$B418,MATCH("Status",'RAID Log'!$1:$1,0)),"")="","",IFERROR(INDEX('RAID Log'!$1:$1048576,$B418,MATCH("Status",'RAID Log'!$1:$1,0)),"")))</f>
        <v/>
      </c>
      <c r="M418" s="85" t="str">
        <f>IF($B418="","",IF(IFERROR(INDEX('RAID Log'!$1:$1048576,$B418,MATCH("RAID Owner",'RAID Log'!$1:$1,0)),"")="","",IFERROR(INDEX('RAID Log'!$1:$1048576,$B418,MATCH("RAID Owner",'RAID Log'!$1:$1,0)),"")))</f>
        <v/>
      </c>
      <c r="N418" s="87" t="str">
        <f>IF($B418="","",IF(IFERROR(INDEX('RAID Log'!$1:$1048576,$B418,MATCH("Date Raised",'RAID Log'!$1:$1,0)),"")="","",IFERROR(INDEX('RAID Log'!$1:$1048576,$B418,MATCH("Date Raised",'RAID Log'!$1:$1,0)),"")))</f>
        <v/>
      </c>
      <c r="O418" s="87" t="str">
        <f>IF($B418="","",IF(IFERROR(INDEX('RAID Log'!$1:$1048576,$B418,MATCH("Closed Date",'RAID Log'!$1:$1,0)),"")="","",IFERROR(INDEX('RAID Log'!$1:$1048576,$B418,MATCH("Closed Date",'RAID Log'!$1:$1,0)),"")))</f>
        <v/>
      </c>
      <c r="P418" s="85" t="str">
        <f>IF($B418="","",IF(IFERROR(INDEX('RAID Log'!$1:$1048576,$B418,MATCH("Mitigation Strategy",'RAID Log'!$1:$1,0)),"")="","",IFERROR(INDEX('RAID Log'!$1:$1048576,$B418,MATCH("Mitigation Strategy",'RAID Log'!$1:$1,0)),"")))</f>
        <v/>
      </c>
      <c r="Q418" s="88" t="str">
        <f>IF($B418="","",IF(IFERROR(INDEX('RAID Log'!$1:$1048576,$B418,MATCH("RAID Response/Plan",'RAID Log'!$1:$1,0)),"")="","",IFERROR(INDEX('RAID Log'!$1:$1048576,$B418,MATCH("RAID Response/Plan",'RAID Log'!$1:$1,0)),"")))</f>
        <v/>
      </c>
    </row>
    <row r="419" spans="1:17" ht="14.25" customHeight="1">
      <c r="A419" s="82" t="str">
        <f>IF($B419="","",IF(IFERROR(INDEX('RAID Log'!$1:$1048576,$B419,MATCH("RAID ID",'RAID Log'!$1:$1,0)),"")="","",IFERROR(INDEX('RAID Log'!$1:$1048576,$B419,MATCH("RAID ID",'RAID Log'!$1:$1,0)),"")))</f>
        <v/>
      </c>
      <c r="B419" s="83" t="str">
        <f>IFERROR(MATCH(ROW()-1,'RAID Log'!$S:$S,0),"")</f>
        <v/>
      </c>
      <c r="C419" s="84" t="str">
        <f>IF($B419="","",IF(IFERROR(INDEX('RAID Log'!$1:$1048576,$B419,MATCH("Description",'RAID Log'!$1:$1,0)),"")="","",IFERROR(INDEX('RAID Log'!$1:$1048576,$B419,MATCH("Description",'RAID Log'!$1:$1,0)),"")))</f>
        <v/>
      </c>
      <c r="D419" s="84" t="str">
        <f>IF($B419="","",IF(IFERROR(INDEX('RAID Log'!$1:$1048576,$B419,MATCH("Impact/Effect of the RAID",'RAID Log'!$1:$1,0)),"")="","",IFERROR(INDEX('RAID Log'!$1:$1048576,$B419,MATCH("Impact/Effect of the RAID",'RAID Log'!$1:$1,0)),"")))</f>
        <v/>
      </c>
      <c r="E419" s="85" t="str">
        <f>IF($B419="","",IF(IFERROR(INDEX('RAID Log'!$1:$1048576,$B419,MATCH("Impact Area",'RAID Log'!$1:$1,0)),"")="","",IFERROR(INDEX('RAID Log'!$1:$1048576,$B419,MATCH("Impact Area",'RAID Log'!$1:$1,0)),"")))</f>
        <v/>
      </c>
      <c r="F419" s="85" t="str">
        <f>IF($B419="","",IF(IFERROR(INDEX('RAID Log'!$1:$1048576,$B419,MATCH("Impact Area",'RAID Log'!$1:$1,0)),"")="","",IFERROR(INDEX('RAID Log'!$1:$1048576,$B419,MATCH("Impact Area",'RAID Log'!$1:$1,0)),"")))</f>
        <v/>
      </c>
      <c r="G419" s="85" t="str">
        <f>IF($B419="","",IF(IFERROR(INDEX('RAID Log'!$1:$1048576,$B419,MATCH("Impact Rating",'RAID Log'!$1:$1,0)),"")="","",IFERROR(INDEX('RAID Log'!$1:$1048576,$B419,MATCH("Impact Rating",'RAID Log'!$1:$1,0)),"")))</f>
        <v/>
      </c>
      <c r="H419" s="85" t="str">
        <f>IF($B419="","",IF(IFERROR(INDEX('RAID Log'!$1:$1048576,$B419,MATCH("Initial Probability",'RAID Log'!$1:$1,0)),"")="","",IFERROR(INDEX('RAID Log'!$1:$1048576,$B419,MATCH("Initial Probability",'RAID Log'!$1:$1,0)),"")))</f>
        <v/>
      </c>
      <c r="I419" s="86" t="str">
        <f t="shared" si="18"/>
        <v/>
      </c>
      <c r="J419" s="85" t="str">
        <f t="shared" si="19"/>
        <v/>
      </c>
      <c r="K419" s="86" t="str">
        <f t="shared" si="20"/>
        <v/>
      </c>
      <c r="L419" s="85" t="str">
        <f>IF($B419="","",IF(IFERROR(INDEX('RAID Log'!$1:$1048576,$B419,MATCH("Status",'RAID Log'!$1:$1,0)),"")="","",IFERROR(INDEX('RAID Log'!$1:$1048576,$B419,MATCH("Status",'RAID Log'!$1:$1,0)),"")))</f>
        <v/>
      </c>
      <c r="M419" s="85" t="str">
        <f>IF($B419="","",IF(IFERROR(INDEX('RAID Log'!$1:$1048576,$B419,MATCH("RAID Owner",'RAID Log'!$1:$1,0)),"")="","",IFERROR(INDEX('RAID Log'!$1:$1048576,$B419,MATCH("RAID Owner",'RAID Log'!$1:$1,0)),"")))</f>
        <v/>
      </c>
      <c r="N419" s="87" t="str">
        <f>IF($B419="","",IF(IFERROR(INDEX('RAID Log'!$1:$1048576,$B419,MATCH("Date Raised",'RAID Log'!$1:$1,0)),"")="","",IFERROR(INDEX('RAID Log'!$1:$1048576,$B419,MATCH("Date Raised",'RAID Log'!$1:$1,0)),"")))</f>
        <v/>
      </c>
      <c r="O419" s="87" t="str">
        <f>IF($B419="","",IF(IFERROR(INDEX('RAID Log'!$1:$1048576,$B419,MATCH("Closed Date",'RAID Log'!$1:$1,0)),"")="","",IFERROR(INDEX('RAID Log'!$1:$1048576,$B419,MATCH("Closed Date",'RAID Log'!$1:$1,0)),"")))</f>
        <v/>
      </c>
      <c r="P419" s="85" t="str">
        <f>IF($B419="","",IF(IFERROR(INDEX('RAID Log'!$1:$1048576,$B419,MATCH("Mitigation Strategy",'RAID Log'!$1:$1,0)),"")="","",IFERROR(INDEX('RAID Log'!$1:$1048576,$B419,MATCH("Mitigation Strategy",'RAID Log'!$1:$1,0)),"")))</f>
        <v/>
      </c>
      <c r="Q419" s="88" t="str">
        <f>IF($B419="","",IF(IFERROR(INDEX('RAID Log'!$1:$1048576,$B419,MATCH("RAID Response/Plan",'RAID Log'!$1:$1,0)),"")="","",IFERROR(INDEX('RAID Log'!$1:$1048576,$B419,MATCH("RAID Response/Plan",'RAID Log'!$1:$1,0)),"")))</f>
        <v/>
      </c>
    </row>
    <row r="420" spans="1:17" ht="14.25" customHeight="1">
      <c r="A420" s="82" t="str">
        <f>IF($B420="","",IF(IFERROR(INDEX('RAID Log'!$1:$1048576,$B420,MATCH("RAID ID",'RAID Log'!$1:$1,0)),"")="","",IFERROR(INDEX('RAID Log'!$1:$1048576,$B420,MATCH("RAID ID",'RAID Log'!$1:$1,0)),"")))</f>
        <v/>
      </c>
      <c r="B420" s="83" t="str">
        <f>IFERROR(MATCH(ROW()-1,'RAID Log'!$S:$S,0),"")</f>
        <v/>
      </c>
      <c r="C420" s="84" t="str">
        <f>IF($B420="","",IF(IFERROR(INDEX('RAID Log'!$1:$1048576,$B420,MATCH("Description",'RAID Log'!$1:$1,0)),"")="","",IFERROR(INDEX('RAID Log'!$1:$1048576,$B420,MATCH("Description",'RAID Log'!$1:$1,0)),"")))</f>
        <v/>
      </c>
      <c r="D420" s="84" t="str">
        <f>IF($B420="","",IF(IFERROR(INDEX('RAID Log'!$1:$1048576,$B420,MATCH("Impact/Effect of the RAID",'RAID Log'!$1:$1,0)),"")="","",IFERROR(INDEX('RAID Log'!$1:$1048576,$B420,MATCH("Impact/Effect of the RAID",'RAID Log'!$1:$1,0)),"")))</f>
        <v/>
      </c>
      <c r="E420" s="85" t="str">
        <f>IF($B420="","",IF(IFERROR(INDEX('RAID Log'!$1:$1048576,$B420,MATCH("Impact Area",'RAID Log'!$1:$1,0)),"")="","",IFERROR(INDEX('RAID Log'!$1:$1048576,$B420,MATCH("Impact Area",'RAID Log'!$1:$1,0)),"")))</f>
        <v/>
      </c>
      <c r="F420" s="85" t="str">
        <f>IF($B420="","",IF(IFERROR(INDEX('RAID Log'!$1:$1048576,$B420,MATCH("Impact Area",'RAID Log'!$1:$1,0)),"")="","",IFERROR(INDEX('RAID Log'!$1:$1048576,$B420,MATCH("Impact Area",'RAID Log'!$1:$1,0)),"")))</f>
        <v/>
      </c>
      <c r="G420" s="85" t="str">
        <f>IF($B420="","",IF(IFERROR(INDEX('RAID Log'!$1:$1048576,$B420,MATCH("Impact Rating",'RAID Log'!$1:$1,0)),"")="","",IFERROR(INDEX('RAID Log'!$1:$1048576,$B420,MATCH("Impact Rating",'RAID Log'!$1:$1,0)),"")))</f>
        <v/>
      </c>
      <c r="H420" s="85" t="str">
        <f>IF($B420="","",IF(IFERROR(INDEX('RAID Log'!$1:$1048576,$B420,MATCH("Initial Probability",'RAID Log'!$1:$1,0)),"")="","",IFERROR(INDEX('RAID Log'!$1:$1048576,$B420,MATCH("Initial Probability",'RAID Log'!$1:$1,0)),"")))</f>
        <v/>
      </c>
      <c r="I420" s="86" t="str">
        <f t="shared" si="18"/>
        <v/>
      </c>
      <c r="J420" s="85" t="str">
        <f t="shared" si="19"/>
        <v/>
      </c>
      <c r="K420" s="86" t="str">
        <f t="shared" si="20"/>
        <v/>
      </c>
      <c r="L420" s="85" t="str">
        <f>IF($B420="","",IF(IFERROR(INDEX('RAID Log'!$1:$1048576,$B420,MATCH("Status",'RAID Log'!$1:$1,0)),"")="","",IFERROR(INDEX('RAID Log'!$1:$1048576,$B420,MATCH("Status",'RAID Log'!$1:$1,0)),"")))</f>
        <v/>
      </c>
      <c r="M420" s="85" t="str">
        <f>IF($B420="","",IF(IFERROR(INDEX('RAID Log'!$1:$1048576,$B420,MATCH("RAID Owner",'RAID Log'!$1:$1,0)),"")="","",IFERROR(INDEX('RAID Log'!$1:$1048576,$B420,MATCH("RAID Owner",'RAID Log'!$1:$1,0)),"")))</f>
        <v/>
      </c>
      <c r="N420" s="87" t="str">
        <f>IF($B420="","",IF(IFERROR(INDEX('RAID Log'!$1:$1048576,$B420,MATCH("Date Raised",'RAID Log'!$1:$1,0)),"")="","",IFERROR(INDEX('RAID Log'!$1:$1048576,$B420,MATCH("Date Raised",'RAID Log'!$1:$1,0)),"")))</f>
        <v/>
      </c>
      <c r="O420" s="87" t="str">
        <f>IF($B420="","",IF(IFERROR(INDEX('RAID Log'!$1:$1048576,$B420,MATCH("Closed Date",'RAID Log'!$1:$1,0)),"")="","",IFERROR(INDEX('RAID Log'!$1:$1048576,$B420,MATCH("Closed Date",'RAID Log'!$1:$1,0)),"")))</f>
        <v/>
      </c>
      <c r="P420" s="85" t="str">
        <f>IF($B420="","",IF(IFERROR(INDEX('RAID Log'!$1:$1048576,$B420,MATCH("Mitigation Strategy",'RAID Log'!$1:$1,0)),"")="","",IFERROR(INDEX('RAID Log'!$1:$1048576,$B420,MATCH("Mitigation Strategy",'RAID Log'!$1:$1,0)),"")))</f>
        <v/>
      </c>
      <c r="Q420" s="88" t="str">
        <f>IF($B420="","",IF(IFERROR(INDEX('RAID Log'!$1:$1048576,$B420,MATCH("RAID Response/Plan",'RAID Log'!$1:$1,0)),"")="","",IFERROR(INDEX('RAID Log'!$1:$1048576,$B420,MATCH("RAID Response/Plan",'RAID Log'!$1:$1,0)),"")))</f>
        <v/>
      </c>
    </row>
    <row r="421" spans="1:17" ht="14.25" customHeight="1">
      <c r="A421" s="82" t="str">
        <f>IF($B421="","",IF(IFERROR(INDEX('RAID Log'!$1:$1048576,$B421,MATCH("RAID ID",'RAID Log'!$1:$1,0)),"")="","",IFERROR(INDEX('RAID Log'!$1:$1048576,$B421,MATCH("RAID ID",'RAID Log'!$1:$1,0)),"")))</f>
        <v/>
      </c>
      <c r="B421" s="83" t="str">
        <f>IFERROR(MATCH(ROW()-1,'RAID Log'!$S:$S,0),"")</f>
        <v/>
      </c>
      <c r="C421" s="84" t="str">
        <f>IF($B421="","",IF(IFERROR(INDEX('RAID Log'!$1:$1048576,$B421,MATCH("Description",'RAID Log'!$1:$1,0)),"")="","",IFERROR(INDEX('RAID Log'!$1:$1048576,$B421,MATCH("Description",'RAID Log'!$1:$1,0)),"")))</f>
        <v/>
      </c>
      <c r="D421" s="84" t="str">
        <f>IF($B421="","",IF(IFERROR(INDEX('RAID Log'!$1:$1048576,$B421,MATCH("Impact/Effect of the RAID",'RAID Log'!$1:$1,0)),"")="","",IFERROR(INDEX('RAID Log'!$1:$1048576,$B421,MATCH("Impact/Effect of the RAID",'RAID Log'!$1:$1,0)),"")))</f>
        <v/>
      </c>
      <c r="E421" s="85" t="str">
        <f>IF($B421="","",IF(IFERROR(INDEX('RAID Log'!$1:$1048576,$B421,MATCH("Impact Area",'RAID Log'!$1:$1,0)),"")="","",IFERROR(INDEX('RAID Log'!$1:$1048576,$B421,MATCH("Impact Area",'RAID Log'!$1:$1,0)),"")))</f>
        <v/>
      </c>
      <c r="F421" s="85" t="str">
        <f>IF($B421="","",IF(IFERROR(INDEX('RAID Log'!$1:$1048576,$B421,MATCH("Impact Area",'RAID Log'!$1:$1,0)),"")="","",IFERROR(INDEX('RAID Log'!$1:$1048576,$B421,MATCH("Impact Area",'RAID Log'!$1:$1,0)),"")))</f>
        <v/>
      </c>
      <c r="G421" s="85" t="str">
        <f>IF($B421="","",IF(IFERROR(INDEX('RAID Log'!$1:$1048576,$B421,MATCH("Impact Rating",'RAID Log'!$1:$1,0)),"")="","",IFERROR(INDEX('RAID Log'!$1:$1048576,$B421,MATCH("Impact Rating",'RAID Log'!$1:$1,0)),"")))</f>
        <v/>
      </c>
      <c r="H421" s="85" t="str">
        <f>IF($B421="","",IF(IFERROR(INDEX('RAID Log'!$1:$1048576,$B421,MATCH("Initial Probability",'RAID Log'!$1:$1,0)),"")="","",IFERROR(INDEX('RAID Log'!$1:$1048576,$B421,MATCH("Initial Probability",'RAID Log'!$1:$1,0)),"")))</f>
        <v/>
      </c>
      <c r="I421" s="86" t="str">
        <f t="shared" si="18"/>
        <v/>
      </c>
      <c r="J421" s="85" t="str">
        <f t="shared" si="19"/>
        <v/>
      </c>
      <c r="K421" s="86" t="str">
        <f t="shared" si="20"/>
        <v/>
      </c>
      <c r="L421" s="85" t="str">
        <f>IF($B421="","",IF(IFERROR(INDEX('RAID Log'!$1:$1048576,$B421,MATCH("Status",'RAID Log'!$1:$1,0)),"")="","",IFERROR(INDEX('RAID Log'!$1:$1048576,$B421,MATCH("Status",'RAID Log'!$1:$1,0)),"")))</f>
        <v/>
      </c>
      <c r="M421" s="85" t="str">
        <f>IF($B421="","",IF(IFERROR(INDEX('RAID Log'!$1:$1048576,$B421,MATCH("RAID Owner",'RAID Log'!$1:$1,0)),"")="","",IFERROR(INDEX('RAID Log'!$1:$1048576,$B421,MATCH("RAID Owner",'RAID Log'!$1:$1,0)),"")))</f>
        <v/>
      </c>
      <c r="N421" s="87" t="str">
        <f>IF($B421="","",IF(IFERROR(INDEX('RAID Log'!$1:$1048576,$B421,MATCH("Date Raised",'RAID Log'!$1:$1,0)),"")="","",IFERROR(INDEX('RAID Log'!$1:$1048576,$B421,MATCH("Date Raised",'RAID Log'!$1:$1,0)),"")))</f>
        <v/>
      </c>
      <c r="O421" s="87" t="str">
        <f>IF($B421="","",IF(IFERROR(INDEX('RAID Log'!$1:$1048576,$B421,MATCH("Closed Date",'RAID Log'!$1:$1,0)),"")="","",IFERROR(INDEX('RAID Log'!$1:$1048576,$B421,MATCH("Closed Date",'RAID Log'!$1:$1,0)),"")))</f>
        <v/>
      </c>
      <c r="P421" s="85" t="str">
        <f>IF($B421="","",IF(IFERROR(INDEX('RAID Log'!$1:$1048576,$B421,MATCH("Mitigation Strategy",'RAID Log'!$1:$1,0)),"")="","",IFERROR(INDEX('RAID Log'!$1:$1048576,$B421,MATCH("Mitigation Strategy",'RAID Log'!$1:$1,0)),"")))</f>
        <v/>
      </c>
      <c r="Q421" s="88" t="str">
        <f>IF($B421="","",IF(IFERROR(INDEX('RAID Log'!$1:$1048576,$B421,MATCH("RAID Response/Plan",'RAID Log'!$1:$1,0)),"")="","",IFERROR(INDEX('RAID Log'!$1:$1048576,$B421,MATCH("RAID Response/Plan",'RAID Log'!$1:$1,0)),"")))</f>
        <v/>
      </c>
    </row>
    <row r="422" spans="1:17" ht="14.25" customHeight="1">
      <c r="A422" s="82" t="str">
        <f>IF($B422="","",IF(IFERROR(INDEX('RAID Log'!$1:$1048576,$B422,MATCH("RAID ID",'RAID Log'!$1:$1,0)),"")="","",IFERROR(INDEX('RAID Log'!$1:$1048576,$B422,MATCH("RAID ID",'RAID Log'!$1:$1,0)),"")))</f>
        <v/>
      </c>
      <c r="B422" s="83" t="str">
        <f>IFERROR(MATCH(ROW()-1,'RAID Log'!$S:$S,0),"")</f>
        <v/>
      </c>
      <c r="C422" s="84" t="str">
        <f>IF($B422="","",IF(IFERROR(INDEX('RAID Log'!$1:$1048576,$B422,MATCH("Description",'RAID Log'!$1:$1,0)),"")="","",IFERROR(INDEX('RAID Log'!$1:$1048576,$B422,MATCH("Description",'RAID Log'!$1:$1,0)),"")))</f>
        <v/>
      </c>
      <c r="D422" s="84" t="str">
        <f>IF($B422="","",IF(IFERROR(INDEX('RAID Log'!$1:$1048576,$B422,MATCH("Impact/Effect of the RAID",'RAID Log'!$1:$1,0)),"")="","",IFERROR(INDEX('RAID Log'!$1:$1048576,$B422,MATCH("Impact/Effect of the RAID",'RAID Log'!$1:$1,0)),"")))</f>
        <v/>
      </c>
      <c r="E422" s="85" t="str">
        <f>IF($B422="","",IF(IFERROR(INDEX('RAID Log'!$1:$1048576,$B422,MATCH("Impact Area",'RAID Log'!$1:$1,0)),"")="","",IFERROR(INDEX('RAID Log'!$1:$1048576,$B422,MATCH("Impact Area",'RAID Log'!$1:$1,0)),"")))</f>
        <v/>
      </c>
      <c r="F422" s="85" t="str">
        <f>IF($B422="","",IF(IFERROR(INDEX('RAID Log'!$1:$1048576,$B422,MATCH("Impact Area",'RAID Log'!$1:$1,0)),"")="","",IFERROR(INDEX('RAID Log'!$1:$1048576,$B422,MATCH("Impact Area",'RAID Log'!$1:$1,0)),"")))</f>
        <v/>
      </c>
      <c r="G422" s="85" t="str">
        <f>IF($B422="","",IF(IFERROR(INDEX('RAID Log'!$1:$1048576,$B422,MATCH("Impact Rating",'RAID Log'!$1:$1,0)),"")="","",IFERROR(INDEX('RAID Log'!$1:$1048576,$B422,MATCH("Impact Rating",'RAID Log'!$1:$1,0)),"")))</f>
        <v/>
      </c>
      <c r="H422" s="85" t="str">
        <f>IF($B422="","",IF(IFERROR(INDEX('RAID Log'!$1:$1048576,$B422,MATCH("Initial Probability",'RAID Log'!$1:$1,0)),"")="","",IFERROR(INDEX('RAID Log'!$1:$1048576,$B422,MATCH("Initial Probability",'RAID Log'!$1:$1,0)),"")))</f>
        <v/>
      </c>
      <c r="I422" s="86" t="str">
        <f t="shared" si="18"/>
        <v/>
      </c>
      <c r="J422" s="85" t="str">
        <f t="shared" si="19"/>
        <v/>
      </c>
      <c r="K422" s="86" t="str">
        <f t="shared" si="20"/>
        <v/>
      </c>
      <c r="L422" s="85" t="str">
        <f>IF($B422="","",IF(IFERROR(INDEX('RAID Log'!$1:$1048576,$B422,MATCH("Status",'RAID Log'!$1:$1,0)),"")="","",IFERROR(INDEX('RAID Log'!$1:$1048576,$B422,MATCH("Status",'RAID Log'!$1:$1,0)),"")))</f>
        <v/>
      </c>
      <c r="M422" s="85" t="str">
        <f>IF($B422="","",IF(IFERROR(INDEX('RAID Log'!$1:$1048576,$B422,MATCH("RAID Owner",'RAID Log'!$1:$1,0)),"")="","",IFERROR(INDEX('RAID Log'!$1:$1048576,$B422,MATCH("RAID Owner",'RAID Log'!$1:$1,0)),"")))</f>
        <v/>
      </c>
      <c r="N422" s="87" t="str">
        <f>IF($B422="","",IF(IFERROR(INDEX('RAID Log'!$1:$1048576,$B422,MATCH("Date Raised",'RAID Log'!$1:$1,0)),"")="","",IFERROR(INDEX('RAID Log'!$1:$1048576,$B422,MATCH("Date Raised",'RAID Log'!$1:$1,0)),"")))</f>
        <v/>
      </c>
      <c r="O422" s="87" t="str">
        <f>IF($B422="","",IF(IFERROR(INDEX('RAID Log'!$1:$1048576,$B422,MATCH("Closed Date",'RAID Log'!$1:$1,0)),"")="","",IFERROR(INDEX('RAID Log'!$1:$1048576,$B422,MATCH("Closed Date",'RAID Log'!$1:$1,0)),"")))</f>
        <v/>
      </c>
      <c r="P422" s="85" t="str">
        <f>IF($B422="","",IF(IFERROR(INDEX('RAID Log'!$1:$1048576,$B422,MATCH("Mitigation Strategy",'RAID Log'!$1:$1,0)),"")="","",IFERROR(INDEX('RAID Log'!$1:$1048576,$B422,MATCH("Mitigation Strategy",'RAID Log'!$1:$1,0)),"")))</f>
        <v/>
      </c>
      <c r="Q422" s="88" t="str">
        <f>IF($B422="","",IF(IFERROR(INDEX('RAID Log'!$1:$1048576,$B422,MATCH("RAID Response/Plan",'RAID Log'!$1:$1,0)),"")="","",IFERROR(INDEX('RAID Log'!$1:$1048576,$B422,MATCH("RAID Response/Plan",'RAID Log'!$1:$1,0)),"")))</f>
        <v/>
      </c>
    </row>
    <row r="423" spans="1:17" ht="14.25" customHeight="1">
      <c r="A423" s="82" t="str">
        <f>IF($B423="","",IF(IFERROR(INDEX('RAID Log'!$1:$1048576,$B423,MATCH("RAID ID",'RAID Log'!$1:$1,0)),"")="","",IFERROR(INDEX('RAID Log'!$1:$1048576,$B423,MATCH("RAID ID",'RAID Log'!$1:$1,0)),"")))</f>
        <v/>
      </c>
      <c r="B423" s="83" t="str">
        <f>IFERROR(MATCH(ROW()-1,'RAID Log'!$S:$S,0),"")</f>
        <v/>
      </c>
      <c r="C423" s="84" t="str">
        <f>IF($B423="","",IF(IFERROR(INDEX('RAID Log'!$1:$1048576,$B423,MATCH("Description",'RAID Log'!$1:$1,0)),"")="","",IFERROR(INDEX('RAID Log'!$1:$1048576,$B423,MATCH("Description",'RAID Log'!$1:$1,0)),"")))</f>
        <v/>
      </c>
      <c r="D423" s="84" t="str">
        <f>IF($B423="","",IF(IFERROR(INDEX('RAID Log'!$1:$1048576,$B423,MATCH("Impact/Effect of the RAID",'RAID Log'!$1:$1,0)),"")="","",IFERROR(INDEX('RAID Log'!$1:$1048576,$B423,MATCH("Impact/Effect of the RAID",'RAID Log'!$1:$1,0)),"")))</f>
        <v/>
      </c>
      <c r="E423" s="85" t="str">
        <f>IF($B423="","",IF(IFERROR(INDEX('RAID Log'!$1:$1048576,$B423,MATCH("Impact Area",'RAID Log'!$1:$1,0)),"")="","",IFERROR(INDEX('RAID Log'!$1:$1048576,$B423,MATCH("Impact Area",'RAID Log'!$1:$1,0)),"")))</f>
        <v/>
      </c>
      <c r="F423" s="85" t="str">
        <f>IF($B423="","",IF(IFERROR(INDEX('RAID Log'!$1:$1048576,$B423,MATCH("Impact Area",'RAID Log'!$1:$1,0)),"")="","",IFERROR(INDEX('RAID Log'!$1:$1048576,$B423,MATCH("Impact Area",'RAID Log'!$1:$1,0)),"")))</f>
        <v/>
      </c>
      <c r="G423" s="85" t="str">
        <f>IF($B423="","",IF(IFERROR(INDEX('RAID Log'!$1:$1048576,$B423,MATCH("Impact Rating",'RAID Log'!$1:$1,0)),"")="","",IFERROR(INDEX('RAID Log'!$1:$1048576,$B423,MATCH("Impact Rating",'RAID Log'!$1:$1,0)),"")))</f>
        <v/>
      </c>
      <c r="H423" s="85" t="str">
        <f>IF($B423="","",IF(IFERROR(INDEX('RAID Log'!$1:$1048576,$B423,MATCH("Initial Probability",'RAID Log'!$1:$1,0)),"")="","",IFERROR(INDEX('RAID Log'!$1:$1048576,$B423,MATCH("Initial Probability",'RAID Log'!$1:$1,0)),"")))</f>
        <v/>
      </c>
      <c r="I423" s="86" t="str">
        <f t="shared" si="18"/>
        <v/>
      </c>
      <c r="J423" s="85" t="str">
        <f t="shared" si="19"/>
        <v/>
      </c>
      <c r="K423" s="86" t="str">
        <f t="shared" si="20"/>
        <v/>
      </c>
      <c r="L423" s="85" t="str">
        <f>IF($B423="","",IF(IFERROR(INDEX('RAID Log'!$1:$1048576,$B423,MATCH("Status",'RAID Log'!$1:$1,0)),"")="","",IFERROR(INDEX('RAID Log'!$1:$1048576,$B423,MATCH("Status",'RAID Log'!$1:$1,0)),"")))</f>
        <v/>
      </c>
      <c r="M423" s="85" t="str">
        <f>IF($B423="","",IF(IFERROR(INDEX('RAID Log'!$1:$1048576,$B423,MATCH("RAID Owner",'RAID Log'!$1:$1,0)),"")="","",IFERROR(INDEX('RAID Log'!$1:$1048576,$B423,MATCH("RAID Owner",'RAID Log'!$1:$1,0)),"")))</f>
        <v/>
      </c>
      <c r="N423" s="87" t="str">
        <f>IF($B423="","",IF(IFERROR(INDEX('RAID Log'!$1:$1048576,$B423,MATCH("Date Raised",'RAID Log'!$1:$1,0)),"")="","",IFERROR(INDEX('RAID Log'!$1:$1048576,$B423,MATCH("Date Raised",'RAID Log'!$1:$1,0)),"")))</f>
        <v/>
      </c>
      <c r="O423" s="87" t="str">
        <f>IF($B423="","",IF(IFERROR(INDEX('RAID Log'!$1:$1048576,$B423,MATCH("Closed Date",'RAID Log'!$1:$1,0)),"")="","",IFERROR(INDEX('RAID Log'!$1:$1048576,$B423,MATCH("Closed Date",'RAID Log'!$1:$1,0)),"")))</f>
        <v/>
      </c>
      <c r="P423" s="85" t="str">
        <f>IF($B423="","",IF(IFERROR(INDEX('RAID Log'!$1:$1048576,$B423,MATCH("Mitigation Strategy",'RAID Log'!$1:$1,0)),"")="","",IFERROR(INDEX('RAID Log'!$1:$1048576,$B423,MATCH("Mitigation Strategy",'RAID Log'!$1:$1,0)),"")))</f>
        <v/>
      </c>
      <c r="Q423" s="88" t="str">
        <f>IF($B423="","",IF(IFERROR(INDEX('RAID Log'!$1:$1048576,$B423,MATCH("RAID Response/Plan",'RAID Log'!$1:$1,0)),"")="","",IFERROR(INDEX('RAID Log'!$1:$1048576,$B423,MATCH("RAID Response/Plan",'RAID Log'!$1:$1,0)),"")))</f>
        <v/>
      </c>
    </row>
    <row r="424" spans="1:17" ht="14.25" customHeight="1">
      <c r="A424" s="82" t="str">
        <f>IF($B424="","",IF(IFERROR(INDEX('RAID Log'!$1:$1048576,$B424,MATCH("RAID ID",'RAID Log'!$1:$1,0)),"")="","",IFERROR(INDEX('RAID Log'!$1:$1048576,$B424,MATCH("RAID ID",'RAID Log'!$1:$1,0)),"")))</f>
        <v/>
      </c>
      <c r="B424" s="83" t="str">
        <f>IFERROR(MATCH(ROW()-1,'RAID Log'!$S:$S,0),"")</f>
        <v/>
      </c>
      <c r="C424" s="84" t="str">
        <f>IF($B424="","",IF(IFERROR(INDEX('RAID Log'!$1:$1048576,$B424,MATCH("Description",'RAID Log'!$1:$1,0)),"")="","",IFERROR(INDEX('RAID Log'!$1:$1048576,$B424,MATCH("Description",'RAID Log'!$1:$1,0)),"")))</f>
        <v/>
      </c>
      <c r="D424" s="84" t="str">
        <f>IF($B424="","",IF(IFERROR(INDEX('RAID Log'!$1:$1048576,$B424,MATCH("Impact/Effect of the RAID",'RAID Log'!$1:$1,0)),"")="","",IFERROR(INDEX('RAID Log'!$1:$1048576,$B424,MATCH("Impact/Effect of the RAID",'RAID Log'!$1:$1,0)),"")))</f>
        <v/>
      </c>
      <c r="E424" s="85" t="str">
        <f>IF($B424="","",IF(IFERROR(INDEX('RAID Log'!$1:$1048576,$B424,MATCH("Impact Area",'RAID Log'!$1:$1,0)),"")="","",IFERROR(INDEX('RAID Log'!$1:$1048576,$B424,MATCH("Impact Area",'RAID Log'!$1:$1,0)),"")))</f>
        <v/>
      </c>
      <c r="F424" s="85" t="str">
        <f>IF($B424="","",IF(IFERROR(INDEX('RAID Log'!$1:$1048576,$B424,MATCH("Impact Area",'RAID Log'!$1:$1,0)),"")="","",IFERROR(INDEX('RAID Log'!$1:$1048576,$B424,MATCH("Impact Area",'RAID Log'!$1:$1,0)),"")))</f>
        <v/>
      </c>
      <c r="G424" s="85" t="str">
        <f>IF($B424="","",IF(IFERROR(INDEX('RAID Log'!$1:$1048576,$B424,MATCH("Impact Rating",'RAID Log'!$1:$1,0)),"")="","",IFERROR(INDEX('RAID Log'!$1:$1048576,$B424,MATCH("Impact Rating",'RAID Log'!$1:$1,0)),"")))</f>
        <v/>
      </c>
      <c r="H424" s="85" t="str">
        <f>IF($B424="","",IF(IFERROR(INDEX('RAID Log'!$1:$1048576,$B424,MATCH("Initial Probability",'RAID Log'!$1:$1,0)),"")="","",IFERROR(INDEX('RAID Log'!$1:$1048576,$B424,MATCH("Initial Probability",'RAID Log'!$1:$1,0)),"")))</f>
        <v/>
      </c>
      <c r="I424" s="86" t="str">
        <f t="shared" si="18"/>
        <v/>
      </c>
      <c r="J424" s="85" t="str">
        <f t="shared" si="19"/>
        <v/>
      </c>
      <c r="K424" s="86" t="str">
        <f t="shared" si="20"/>
        <v/>
      </c>
      <c r="L424" s="85" t="str">
        <f>IF($B424="","",IF(IFERROR(INDEX('RAID Log'!$1:$1048576,$B424,MATCH("Status",'RAID Log'!$1:$1,0)),"")="","",IFERROR(INDEX('RAID Log'!$1:$1048576,$B424,MATCH("Status",'RAID Log'!$1:$1,0)),"")))</f>
        <v/>
      </c>
      <c r="M424" s="85" t="str">
        <f>IF($B424="","",IF(IFERROR(INDEX('RAID Log'!$1:$1048576,$B424,MATCH("RAID Owner",'RAID Log'!$1:$1,0)),"")="","",IFERROR(INDEX('RAID Log'!$1:$1048576,$B424,MATCH("RAID Owner",'RAID Log'!$1:$1,0)),"")))</f>
        <v/>
      </c>
      <c r="N424" s="87" t="str">
        <f>IF($B424="","",IF(IFERROR(INDEX('RAID Log'!$1:$1048576,$B424,MATCH("Date Raised",'RAID Log'!$1:$1,0)),"")="","",IFERROR(INDEX('RAID Log'!$1:$1048576,$B424,MATCH("Date Raised",'RAID Log'!$1:$1,0)),"")))</f>
        <v/>
      </c>
      <c r="O424" s="87" t="str">
        <f>IF($B424="","",IF(IFERROR(INDEX('RAID Log'!$1:$1048576,$B424,MATCH("Closed Date",'RAID Log'!$1:$1,0)),"")="","",IFERROR(INDEX('RAID Log'!$1:$1048576,$B424,MATCH("Closed Date",'RAID Log'!$1:$1,0)),"")))</f>
        <v/>
      </c>
      <c r="P424" s="85" t="str">
        <f>IF($B424="","",IF(IFERROR(INDEX('RAID Log'!$1:$1048576,$B424,MATCH("Mitigation Strategy",'RAID Log'!$1:$1,0)),"")="","",IFERROR(INDEX('RAID Log'!$1:$1048576,$B424,MATCH("Mitigation Strategy",'RAID Log'!$1:$1,0)),"")))</f>
        <v/>
      </c>
      <c r="Q424" s="88" t="str">
        <f>IF($B424="","",IF(IFERROR(INDEX('RAID Log'!$1:$1048576,$B424,MATCH("RAID Response/Plan",'RAID Log'!$1:$1,0)),"")="","",IFERROR(INDEX('RAID Log'!$1:$1048576,$B424,MATCH("RAID Response/Plan",'RAID Log'!$1:$1,0)),"")))</f>
        <v/>
      </c>
    </row>
    <row r="425" spans="1:17" ht="14.25" customHeight="1">
      <c r="A425" s="82" t="str">
        <f>IF($B425="","",IF(IFERROR(INDEX('RAID Log'!$1:$1048576,$B425,MATCH("RAID ID",'RAID Log'!$1:$1,0)),"")="","",IFERROR(INDEX('RAID Log'!$1:$1048576,$B425,MATCH("RAID ID",'RAID Log'!$1:$1,0)),"")))</f>
        <v/>
      </c>
      <c r="B425" s="83" t="str">
        <f>IFERROR(MATCH(ROW()-1,'RAID Log'!$S:$S,0),"")</f>
        <v/>
      </c>
      <c r="C425" s="84" t="str">
        <f>IF($B425="","",IF(IFERROR(INDEX('RAID Log'!$1:$1048576,$B425,MATCH("Description",'RAID Log'!$1:$1,0)),"")="","",IFERROR(INDEX('RAID Log'!$1:$1048576,$B425,MATCH("Description",'RAID Log'!$1:$1,0)),"")))</f>
        <v/>
      </c>
      <c r="D425" s="84" t="str">
        <f>IF($B425="","",IF(IFERROR(INDEX('RAID Log'!$1:$1048576,$B425,MATCH("Impact/Effect of the RAID",'RAID Log'!$1:$1,0)),"")="","",IFERROR(INDEX('RAID Log'!$1:$1048576,$B425,MATCH("Impact/Effect of the RAID",'RAID Log'!$1:$1,0)),"")))</f>
        <v/>
      </c>
      <c r="E425" s="85" t="str">
        <f>IF($B425="","",IF(IFERROR(INDEX('RAID Log'!$1:$1048576,$B425,MATCH("Impact Area",'RAID Log'!$1:$1,0)),"")="","",IFERROR(INDEX('RAID Log'!$1:$1048576,$B425,MATCH("Impact Area",'RAID Log'!$1:$1,0)),"")))</f>
        <v/>
      </c>
      <c r="F425" s="85" t="str">
        <f>IF($B425="","",IF(IFERROR(INDEX('RAID Log'!$1:$1048576,$B425,MATCH("Impact Area",'RAID Log'!$1:$1,0)),"")="","",IFERROR(INDEX('RAID Log'!$1:$1048576,$B425,MATCH("Impact Area",'RAID Log'!$1:$1,0)),"")))</f>
        <v/>
      </c>
      <c r="G425" s="85" t="str">
        <f>IF($B425="","",IF(IFERROR(INDEX('RAID Log'!$1:$1048576,$B425,MATCH("Impact Rating",'RAID Log'!$1:$1,0)),"")="","",IFERROR(INDEX('RAID Log'!$1:$1048576,$B425,MATCH("Impact Rating",'RAID Log'!$1:$1,0)),"")))</f>
        <v/>
      </c>
      <c r="H425" s="85" t="str">
        <f>IF($B425="","",IF(IFERROR(INDEX('RAID Log'!$1:$1048576,$B425,MATCH("Initial Probability",'RAID Log'!$1:$1,0)),"")="","",IFERROR(INDEX('RAID Log'!$1:$1048576,$B425,MATCH("Initial Probability",'RAID Log'!$1:$1,0)),"")))</f>
        <v/>
      </c>
      <c r="I425" s="86" t="str">
        <f t="shared" si="18"/>
        <v/>
      </c>
      <c r="J425" s="85" t="str">
        <f t="shared" si="19"/>
        <v/>
      </c>
      <c r="K425" s="86" t="str">
        <f t="shared" si="20"/>
        <v/>
      </c>
      <c r="L425" s="85" t="str">
        <f>IF($B425="","",IF(IFERROR(INDEX('RAID Log'!$1:$1048576,$B425,MATCH("Status",'RAID Log'!$1:$1,0)),"")="","",IFERROR(INDEX('RAID Log'!$1:$1048576,$B425,MATCH("Status",'RAID Log'!$1:$1,0)),"")))</f>
        <v/>
      </c>
      <c r="M425" s="85" t="str">
        <f>IF($B425="","",IF(IFERROR(INDEX('RAID Log'!$1:$1048576,$B425,MATCH("RAID Owner",'RAID Log'!$1:$1,0)),"")="","",IFERROR(INDEX('RAID Log'!$1:$1048576,$B425,MATCH("RAID Owner",'RAID Log'!$1:$1,0)),"")))</f>
        <v/>
      </c>
      <c r="N425" s="87" t="str">
        <f>IF($B425="","",IF(IFERROR(INDEX('RAID Log'!$1:$1048576,$B425,MATCH("Date Raised",'RAID Log'!$1:$1,0)),"")="","",IFERROR(INDEX('RAID Log'!$1:$1048576,$B425,MATCH("Date Raised",'RAID Log'!$1:$1,0)),"")))</f>
        <v/>
      </c>
      <c r="O425" s="87" t="str">
        <f>IF($B425="","",IF(IFERROR(INDEX('RAID Log'!$1:$1048576,$B425,MATCH("Closed Date",'RAID Log'!$1:$1,0)),"")="","",IFERROR(INDEX('RAID Log'!$1:$1048576,$B425,MATCH("Closed Date",'RAID Log'!$1:$1,0)),"")))</f>
        <v/>
      </c>
      <c r="P425" s="85" t="str">
        <f>IF($B425="","",IF(IFERROR(INDEX('RAID Log'!$1:$1048576,$B425,MATCH("Mitigation Strategy",'RAID Log'!$1:$1,0)),"")="","",IFERROR(INDEX('RAID Log'!$1:$1048576,$B425,MATCH("Mitigation Strategy",'RAID Log'!$1:$1,0)),"")))</f>
        <v/>
      </c>
      <c r="Q425" s="88" t="str">
        <f>IF($B425="","",IF(IFERROR(INDEX('RAID Log'!$1:$1048576,$B425,MATCH("RAID Response/Plan",'RAID Log'!$1:$1,0)),"")="","",IFERROR(INDEX('RAID Log'!$1:$1048576,$B425,MATCH("RAID Response/Plan",'RAID Log'!$1:$1,0)),"")))</f>
        <v/>
      </c>
    </row>
    <row r="426" spans="1:17" ht="14.25" customHeight="1">
      <c r="A426" s="82" t="str">
        <f>IF($B426="","",IF(IFERROR(INDEX('RAID Log'!$1:$1048576,$B426,MATCH("RAID ID",'RAID Log'!$1:$1,0)),"")="","",IFERROR(INDEX('RAID Log'!$1:$1048576,$B426,MATCH("RAID ID",'RAID Log'!$1:$1,0)),"")))</f>
        <v/>
      </c>
      <c r="B426" s="83" t="str">
        <f>IFERROR(MATCH(ROW()-1,'RAID Log'!$S:$S,0),"")</f>
        <v/>
      </c>
      <c r="C426" s="84" t="str">
        <f>IF($B426="","",IF(IFERROR(INDEX('RAID Log'!$1:$1048576,$B426,MATCH("Description",'RAID Log'!$1:$1,0)),"")="","",IFERROR(INDEX('RAID Log'!$1:$1048576,$B426,MATCH("Description",'RAID Log'!$1:$1,0)),"")))</f>
        <v/>
      </c>
      <c r="D426" s="84" t="str">
        <f>IF($B426="","",IF(IFERROR(INDEX('RAID Log'!$1:$1048576,$B426,MATCH("Impact/Effect of the RAID",'RAID Log'!$1:$1,0)),"")="","",IFERROR(INDEX('RAID Log'!$1:$1048576,$B426,MATCH("Impact/Effect of the RAID",'RAID Log'!$1:$1,0)),"")))</f>
        <v/>
      </c>
      <c r="E426" s="85" t="str">
        <f>IF($B426="","",IF(IFERROR(INDEX('RAID Log'!$1:$1048576,$B426,MATCH("Impact Area",'RAID Log'!$1:$1,0)),"")="","",IFERROR(INDEX('RAID Log'!$1:$1048576,$B426,MATCH("Impact Area",'RAID Log'!$1:$1,0)),"")))</f>
        <v/>
      </c>
      <c r="F426" s="85" t="str">
        <f>IF($B426="","",IF(IFERROR(INDEX('RAID Log'!$1:$1048576,$B426,MATCH("Impact Area",'RAID Log'!$1:$1,0)),"")="","",IFERROR(INDEX('RAID Log'!$1:$1048576,$B426,MATCH("Impact Area",'RAID Log'!$1:$1,0)),"")))</f>
        <v/>
      </c>
      <c r="G426" s="85" t="str">
        <f>IF($B426="","",IF(IFERROR(INDEX('RAID Log'!$1:$1048576,$B426,MATCH("Impact Rating",'RAID Log'!$1:$1,0)),"")="","",IFERROR(INDEX('RAID Log'!$1:$1048576,$B426,MATCH("Impact Rating",'RAID Log'!$1:$1,0)),"")))</f>
        <v/>
      </c>
      <c r="H426" s="85" t="str">
        <f>IF($B426="","",IF(IFERROR(INDEX('RAID Log'!$1:$1048576,$B426,MATCH("Initial Probability",'RAID Log'!$1:$1,0)),"")="","",IFERROR(INDEX('RAID Log'!$1:$1048576,$B426,MATCH("Initial Probability",'RAID Log'!$1:$1,0)),"")))</f>
        <v/>
      </c>
      <c r="I426" s="86" t="str">
        <f t="shared" si="18"/>
        <v/>
      </c>
      <c r="J426" s="85" t="str">
        <f t="shared" si="19"/>
        <v/>
      </c>
      <c r="K426" s="86" t="str">
        <f t="shared" si="20"/>
        <v/>
      </c>
      <c r="L426" s="85" t="str">
        <f>IF($B426="","",IF(IFERROR(INDEX('RAID Log'!$1:$1048576,$B426,MATCH("Status",'RAID Log'!$1:$1,0)),"")="","",IFERROR(INDEX('RAID Log'!$1:$1048576,$B426,MATCH("Status",'RAID Log'!$1:$1,0)),"")))</f>
        <v/>
      </c>
      <c r="M426" s="85" t="str">
        <f>IF($B426="","",IF(IFERROR(INDEX('RAID Log'!$1:$1048576,$B426,MATCH("RAID Owner",'RAID Log'!$1:$1,0)),"")="","",IFERROR(INDEX('RAID Log'!$1:$1048576,$B426,MATCH("RAID Owner",'RAID Log'!$1:$1,0)),"")))</f>
        <v/>
      </c>
      <c r="N426" s="87" t="str">
        <f>IF($B426="","",IF(IFERROR(INDEX('RAID Log'!$1:$1048576,$B426,MATCH("Date Raised",'RAID Log'!$1:$1,0)),"")="","",IFERROR(INDEX('RAID Log'!$1:$1048576,$B426,MATCH("Date Raised",'RAID Log'!$1:$1,0)),"")))</f>
        <v/>
      </c>
      <c r="O426" s="87" t="str">
        <f>IF($B426="","",IF(IFERROR(INDEX('RAID Log'!$1:$1048576,$B426,MATCH("Closed Date",'RAID Log'!$1:$1,0)),"")="","",IFERROR(INDEX('RAID Log'!$1:$1048576,$B426,MATCH("Closed Date",'RAID Log'!$1:$1,0)),"")))</f>
        <v/>
      </c>
      <c r="P426" s="85" t="str">
        <f>IF($B426="","",IF(IFERROR(INDEX('RAID Log'!$1:$1048576,$B426,MATCH("Mitigation Strategy",'RAID Log'!$1:$1,0)),"")="","",IFERROR(INDEX('RAID Log'!$1:$1048576,$B426,MATCH("Mitigation Strategy",'RAID Log'!$1:$1,0)),"")))</f>
        <v/>
      </c>
      <c r="Q426" s="88" t="str">
        <f>IF($B426="","",IF(IFERROR(INDEX('RAID Log'!$1:$1048576,$B426,MATCH("RAID Response/Plan",'RAID Log'!$1:$1,0)),"")="","",IFERROR(INDEX('RAID Log'!$1:$1048576,$B426,MATCH("RAID Response/Plan",'RAID Log'!$1:$1,0)),"")))</f>
        <v/>
      </c>
    </row>
    <row r="427" spans="1:17" ht="14.25" customHeight="1">
      <c r="A427" s="82" t="str">
        <f>IF($B427="","",IF(IFERROR(INDEX('RAID Log'!$1:$1048576,$B427,MATCH("RAID ID",'RAID Log'!$1:$1,0)),"")="","",IFERROR(INDEX('RAID Log'!$1:$1048576,$B427,MATCH("RAID ID",'RAID Log'!$1:$1,0)),"")))</f>
        <v/>
      </c>
      <c r="B427" s="83" t="str">
        <f>IFERROR(MATCH(ROW()-1,'RAID Log'!$S:$S,0),"")</f>
        <v/>
      </c>
      <c r="C427" s="84" t="str">
        <f>IF($B427="","",IF(IFERROR(INDEX('RAID Log'!$1:$1048576,$B427,MATCH("Description",'RAID Log'!$1:$1,0)),"")="","",IFERROR(INDEX('RAID Log'!$1:$1048576,$B427,MATCH("Description",'RAID Log'!$1:$1,0)),"")))</f>
        <v/>
      </c>
      <c r="D427" s="84" t="str">
        <f>IF($B427="","",IF(IFERROR(INDEX('RAID Log'!$1:$1048576,$B427,MATCH("Impact/Effect of the RAID",'RAID Log'!$1:$1,0)),"")="","",IFERROR(INDEX('RAID Log'!$1:$1048576,$B427,MATCH("Impact/Effect of the RAID",'RAID Log'!$1:$1,0)),"")))</f>
        <v/>
      </c>
      <c r="E427" s="85" t="str">
        <f>IF($B427="","",IF(IFERROR(INDEX('RAID Log'!$1:$1048576,$B427,MATCH("Impact Area",'RAID Log'!$1:$1,0)),"")="","",IFERROR(INDEX('RAID Log'!$1:$1048576,$B427,MATCH("Impact Area",'RAID Log'!$1:$1,0)),"")))</f>
        <v/>
      </c>
      <c r="F427" s="85" t="str">
        <f>IF($B427="","",IF(IFERROR(INDEX('RAID Log'!$1:$1048576,$B427,MATCH("Impact Area",'RAID Log'!$1:$1,0)),"")="","",IFERROR(INDEX('RAID Log'!$1:$1048576,$B427,MATCH("Impact Area",'RAID Log'!$1:$1,0)),"")))</f>
        <v/>
      </c>
      <c r="G427" s="85" t="str">
        <f>IF($B427="","",IF(IFERROR(INDEX('RAID Log'!$1:$1048576,$B427,MATCH("Impact Rating",'RAID Log'!$1:$1,0)),"")="","",IFERROR(INDEX('RAID Log'!$1:$1048576,$B427,MATCH("Impact Rating",'RAID Log'!$1:$1,0)),"")))</f>
        <v/>
      </c>
      <c r="H427" s="85" t="str">
        <f>IF($B427="","",IF(IFERROR(INDEX('RAID Log'!$1:$1048576,$B427,MATCH("Initial Probability",'RAID Log'!$1:$1,0)),"")="","",IFERROR(INDEX('RAID Log'!$1:$1048576,$B427,MATCH("Initial Probability",'RAID Log'!$1:$1,0)),"")))</f>
        <v/>
      </c>
      <c r="I427" s="86" t="str">
        <f t="shared" si="18"/>
        <v/>
      </c>
      <c r="J427" s="85" t="str">
        <f t="shared" si="19"/>
        <v/>
      </c>
      <c r="K427" s="86" t="str">
        <f t="shared" si="20"/>
        <v/>
      </c>
      <c r="L427" s="85" t="str">
        <f>IF($B427="","",IF(IFERROR(INDEX('RAID Log'!$1:$1048576,$B427,MATCH("Status",'RAID Log'!$1:$1,0)),"")="","",IFERROR(INDEX('RAID Log'!$1:$1048576,$B427,MATCH("Status",'RAID Log'!$1:$1,0)),"")))</f>
        <v/>
      </c>
      <c r="M427" s="85" t="str">
        <f>IF($B427="","",IF(IFERROR(INDEX('RAID Log'!$1:$1048576,$B427,MATCH("RAID Owner",'RAID Log'!$1:$1,0)),"")="","",IFERROR(INDEX('RAID Log'!$1:$1048576,$B427,MATCH("RAID Owner",'RAID Log'!$1:$1,0)),"")))</f>
        <v/>
      </c>
      <c r="N427" s="87" t="str">
        <f>IF($B427="","",IF(IFERROR(INDEX('RAID Log'!$1:$1048576,$B427,MATCH("Date Raised",'RAID Log'!$1:$1,0)),"")="","",IFERROR(INDEX('RAID Log'!$1:$1048576,$B427,MATCH("Date Raised",'RAID Log'!$1:$1,0)),"")))</f>
        <v/>
      </c>
      <c r="O427" s="87" t="str">
        <f>IF($B427="","",IF(IFERROR(INDEX('RAID Log'!$1:$1048576,$B427,MATCH("Closed Date",'RAID Log'!$1:$1,0)),"")="","",IFERROR(INDEX('RAID Log'!$1:$1048576,$B427,MATCH("Closed Date",'RAID Log'!$1:$1,0)),"")))</f>
        <v/>
      </c>
      <c r="P427" s="85" t="str">
        <f>IF($B427="","",IF(IFERROR(INDEX('RAID Log'!$1:$1048576,$B427,MATCH("Mitigation Strategy",'RAID Log'!$1:$1,0)),"")="","",IFERROR(INDEX('RAID Log'!$1:$1048576,$B427,MATCH("Mitigation Strategy",'RAID Log'!$1:$1,0)),"")))</f>
        <v/>
      </c>
      <c r="Q427" s="88" t="str">
        <f>IF($B427="","",IF(IFERROR(INDEX('RAID Log'!$1:$1048576,$B427,MATCH("RAID Response/Plan",'RAID Log'!$1:$1,0)),"")="","",IFERROR(INDEX('RAID Log'!$1:$1048576,$B427,MATCH("RAID Response/Plan",'RAID Log'!$1:$1,0)),"")))</f>
        <v/>
      </c>
    </row>
    <row r="428" spans="1:17" ht="14.25" customHeight="1">
      <c r="A428" s="82" t="str">
        <f>IF($B428="","",IF(IFERROR(INDEX('RAID Log'!$1:$1048576,$B428,MATCH("RAID ID",'RAID Log'!$1:$1,0)),"")="","",IFERROR(INDEX('RAID Log'!$1:$1048576,$B428,MATCH("RAID ID",'RAID Log'!$1:$1,0)),"")))</f>
        <v/>
      </c>
      <c r="B428" s="83" t="str">
        <f>IFERROR(MATCH(ROW()-1,'RAID Log'!$S:$S,0),"")</f>
        <v/>
      </c>
      <c r="C428" s="84" t="str">
        <f>IF($B428="","",IF(IFERROR(INDEX('RAID Log'!$1:$1048576,$B428,MATCH("Description",'RAID Log'!$1:$1,0)),"")="","",IFERROR(INDEX('RAID Log'!$1:$1048576,$B428,MATCH("Description",'RAID Log'!$1:$1,0)),"")))</f>
        <v/>
      </c>
      <c r="D428" s="84" t="str">
        <f>IF($B428="","",IF(IFERROR(INDEX('RAID Log'!$1:$1048576,$B428,MATCH("Impact/Effect of the RAID",'RAID Log'!$1:$1,0)),"")="","",IFERROR(INDEX('RAID Log'!$1:$1048576,$B428,MATCH("Impact/Effect of the RAID",'RAID Log'!$1:$1,0)),"")))</f>
        <v/>
      </c>
      <c r="E428" s="85" t="str">
        <f>IF($B428="","",IF(IFERROR(INDEX('RAID Log'!$1:$1048576,$B428,MATCH("Impact Area",'RAID Log'!$1:$1,0)),"")="","",IFERROR(INDEX('RAID Log'!$1:$1048576,$B428,MATCH("Impact Area",'RAID Log'!$1:$1,0)),"")))</f>
        <v/>
      </c>
      <c r="F428" s="85" t="str">
        <f>IF($B428="","",IF(IFERROR(INDEX('RAID Log'!$1:$1048576,$B428,MATCH("Impact Area",'RAID Log'!$1:$1,0)),"")="","",IFERROR(INDEX('RAID Log'!$1:$1048576,$B428,MATCH("Impact Area",'RAID Log'!$1:$1,0)),"")))</f>
        <v/>
      </c>
      <c r="G428" s="85" t="str">
        <f>IF($B428="","",IF(IFERROR(INDEX('RAID Log'!$1:$1048576,$B428,MATCH("Impact Rating",'RAID Log'!$1:$1,0)),"")="","",IFERROR(INDEX('RAID Log'!$1:$1048576,$B428,MATCH("Impact Rating",'RAID Log'!$1:$1,0)),"")))</f>
        <v/>
      </c>
      <c r="H428" s="85" t="str">
        <f>IF($B428="","",IF(IFERROR(INDEX('RAID Log'!$1:$1048576,$B428,MATCH("Initial Probability",'RAID Log'!$1:$1,0)),"")="","",IFERROR(INDEX('RAID Log'!$1:$1048576,$B428,MATCH("Initial Probability",'RAID Log'!$1:$1,0)),"")))</f>
        <v/>
      </c>
      <c r="I428" s="86" t="str">
        <f t="shared" si="18"/>
        <v/>
      </c>
      <c r="J428" s="85" t="str">
        <f t="shared" si="19"/>
        <v/>
      </c>
      <c r="K428" s="86" t="str">
        <f t="shared" si="20"/>
        <v/>
      </c>
      <c r="L428" s="85" t="str">
        <f>IF($B428="","",IF(IFERROR(INDEX('RAID Log'!$1:$1048576,$B428,MATCH("Status",'RAID Log'!$1:$1,0)),"")="","",IFERROR(INDEX('RAID Log'!$1:$1048576,$B428,MATCH("Status",'RAID Log'!$1:$1,0)),"")))</f>
        <v/>
      </c>
      <c r="M428" s="85" t="str">
        <f>IF($B428="","",IF(IFERROR(INDEX('RAID Log'!$1:$1048576,$B428,MATCH("RAID Owner",'RAID Log'!$1:$1,0)),"")="","",IFERROR(INDEX('RAID Log'!$1:$1048576,$B428,MATCH("RAID Owner",'RAID Log'!$1:$1,0)),"")))</f>
        <v/>
      </c>
      <c r="N428" s="87" t="str">
        <f>IF($B428="","",IF(IFERROR(INDEX('RAID Log'!$1:$1048576,$B428,MATCH("Date Raised",'RAID Log'!$1:$1,0)),"")="","",IFERROR(INDEX('RAID Log'!$1:$1048576,$B428,MATCH("Date Raised",'RAID Log'!$1:$1,0)),"")))</f>
        <v/>
      </c>
      <c r="O428" s="87" t="str">
        <f>IF($B428="","",IF(IFERROR(INDEX('RAID Log'!$1:$1048576,$B428,MATCH("Closed Date",'RAID Log'!$1:$1,0)),"")="","",IFERROR(INDEX('RAID Log'!$1:$1048576,$B428,MATCH("Closed Date",'RAID Log'!$1:$1,0)),"")))</f>
        <v/>
      </c>
      <c r="P428" s="85" t="str">
        <f>IF($B428="","",IF(IFERROR(INDEX('RAID Log'!$1:$1048576,$B428,MATCH("Mitigation Strategy",'RAID Log'!$1:$1,0)),"")="","",IFERROR(INDEX('RAID Log'!$1:$1048576,$B428,MATCH("Mitigation Strategy",'RAID Log'!$1:$1,0)),"")))</f>
        <v/>
      </c>
      <c r="Q428" s="88" t="str">
        <f>IF($B428="","",IF(IFERROR(INDEX('RAID Log'!$1:$1048576,$B428,MATCH("RAID Response/Plan",'RAID Log'!$1:$1,0)),"")="","",IFERROR(INDEX('RAID Log'!$1:$1048576,$B428,MATCH("RAID Response/Plan",'RAID Log'!$1:$1,0)),"")))</f>
        <v/>
      </c>
    </row>
    <row r="429" spans="1:17" ht="14.25" customHeight="1">
      <c r="A429" s="82" t="str">
        <f>IF($B429="","",IF(IFERROR(INDEX('RAID Log'!$1:$1048576,$B429,MATCH("RAID ID",'RAID Log'!$1:$1,0)),"")="","",IFERROR(INDEX('RAID Log'!$1:$1048576,$B429,MATCH("RAID ID",'RAID Log'!$1:$1,0)),"")))</f>
        <v/>
      </c>
      <c r="B429" s="83" t="str">
        <f>IFERROR(MATCH(ROW()-1,'RAID Log'!$S:$S,0),"")</f>
        <v/>
      </c>
      <c r="C429" s="84" t="str">
        <f>IF($B429="","",IF(IFERROR(INDEX('RAID Log'!$1:$1048576,$B429,MATCH("Description",'RAID Log'!$1:$1,0)),"")="","",IFERROR(INDEX('RAID Log'!$1:$1048576,$B429,MATCH("Description",'RAID Log'!$1:$1,0)),"")))</f>
        <v/>
      </c>
      <c r="D429" s="84" t="str">
        <f>IF($B429="","",IF(IFERROR(INDEX('RAID Log'!$1:$1048576,$B429,MATCH("Impact/Effect of the RAID",'RAID Log'!$1:$1,0)),"")="","",IFERROR(INDEX('RAID Log'!$1:$1048576,$B429,MATCH("Impact/Effect of the RAID",'RAID Log'!$1:$1,0)),"")))</f>
        <v/>
      </c>
      <c r="E429" s="85" t="str">
        <f>IF($B429="","",IF(IFERROR(INDEX('RAID Log'!$1:$1048576,$B429,MATCH("Impact Area",'RAID Log'!$1:$1,0)),"")="","",IFERROR(INDEX('RAID Log'!$1:$1048576,$B429,MATCH("Impact Area",'RAID Log'!$1:$1,0)),"")))</f>
        <v/>
      </c>
      <c r="F429" s="85" t="str">
        <f>IF($B429="","",IF(IFERROR(INDEX('RAID Log'!$1:$1048576,$B429,MATCH("Impact Area",'RAID Log'!$1:$1,0)),"")="","",IFERROR(INDEX('RAID Log'!$1:$1048576,$B429,MATCH("Impact Area",'RAID Log'!$1:$1,0)),"")))</f>
        <v/>
      </c>
      <c r="G429" s="85" t="str">
        <f>IF($B429="","",IF(IFERROR(INDEX('RAID Log'!$1:$1048576,$B429,MATCH("Impact Rating",'RAID Log'!$1:$1,0)),"")="","",IFERROR(INDEX('RAID Log'!$1:$1048576,$B429,MATCH("Impact Rating",'RAID Log'!$1:$1,0)),"")))</f>
        <v/>
      </c>
      <c r="H429" s="85" t="str">
        <f>IF($B429="","",IF(IFERROR(INDEX('RAID Log'!$1:$1048576,$B429,MATCH("Initial Probability",'RAID Log'!$1:$1,0)),"")="","",IFERROR(INDEX('RAID Log'!$1:$1048576,$B429,MATCH("Initial Probability",'RAID Log'!$1:$1,0)),"")))</f>
        <v/>
      </c>
      <c r="I429" s="86" t="str">
        <f t="shared" si="18"/>
        <v/>
      </c>
      <c r="J429" s="85" t="str">
        <f t="shared" si="19"/>
        <v/>
      </c>
      <c r="K429" s="86" t="str">
        <f t="shared" si="20"/>
        <v/>
      </c>
      <c r="L429" s="85" t="str">
        <f>IF($B429="","",IF(IFERROR(INDEX('RAID Log'!$1:$1048576,$B429,MATCH("Status",'RAID Log'!$1:$1,0)),"")="","",IFERROR(INDEX('RAID Log'!$1:$1048576,$B429,MATCH("Status",'RAID Log'!$1:$1,0)),"")))</f>
        <v/>
      </c>
      <c r="M429" s="85" t="str">
        <f>IF($B429="","",IF(IFERROR(INDEX('RAID Log'!$1:$1048576,$B429,MATCH("RAID Owner",'RAID Log'!$1:$1,0)),"")="","",IFERROR(INDEX('RAID Log'!$1:$1048576,$B429,MATCH("RAID Owner",'RAID Log'!$1:$1,0)),"")))</f>
        <v/>
      </c>
      <c r="N429" s="87" t="str">
        <f>IF($B429="","",IF(IFERROR(INDEX('RAID Log'!$1:$1048576,$B429,MATCH("Date Raised",'RAID Log'!$1:$1,0)),"")="","",IFERROR(INDEX('RAID Log'!$1:$1048576,$B429,MATCH("Date Raised",'RAID Log'!$1:$1,0)),"")))</f>
        <v/>
      </c>
      <c r="O429" s="87" t="str">
        <f>IF($B429="","",IF(IFERROR(INDEX('RAID Log'!$1:$1048576,$B429,MATCH("Closed Date",'RAID Log'!$1:$1,0)),"")="","",IFERROR(INDEX('RAID Log'!$1:$1048576,$B429,MATCH("Closed Date",'RAID Log'!$1:$1,0)),"")))</f>
        <v/>
      </c>
      <c r="P429" s="85" t="str">
        <f>IF($B429="","",IF(IFERROR(INDEX('RAID Log'!$1:$1048576,$B429,MATCH("Mitigation Strategy",'RAID Log'!$1:$1,0)),"")="","",IFERROR(INDEX('RAID Log'!$1:$1048576,$B429,MATCH("Mitigation Strategy",'RAID Log'!$1:$1,0)),"")))</f>
        <v/>
      </c>
      <c r="Q429" s="88" t="str">
        <f>IF($B429="","",IF(IFERROR(INDEX('RAID Log'!$1:$1048576,$B429,MATCH("RAID Response/Plan",'RAID Log'!$1:$1,0)),"")="","",IFERROR(INDEX('RAID Log'!$1:$1048576,$B429,MATCH("RAID Response/Plan",'RAID Log'!$1:$1,0)),"")))</f>
        <v/>
      </c>
    </row>
    <row r="430" spans="1:17" ht="14.25" customHeight="1">
      <c r="A430" s="82" t="str">
        <f>IF($B430="","",IF(IFERROR(INDEX('RAID Log'!$1:$1048576,$B430,MATCH("RAID ID",'RAID Log'!$1:$1,0)),"")="","",IFERROR(INDEX('RAID Log'!$1:$1048576,$B430,MATCH("RAID ID",'RAID Log'!$1:$1,0)),"")))</f>
        <v/>
      </c>
      <c r="B430" s="83" t="str">
        <f>IFERROR(MATCH(ROW()-1,'RAID Log'!$S:$S,0),"")</f>
        <v/>
      </c>
      <c r="C430" s="84" t="str">
        <f>IF($B430="","",IF(IFERROR(INDEX('RAID Log'!$1:$1048576,$B430,MATCH("Description",'RAID Log'!$1:$1,0)),"")="","",IFERROR(INDEX('RAID Log'!$1:$1048576,$B430,MATCH("Description",'RAID Log'!$1:$1,0)),"")))</f>
        <v/>
      </c>
      <c r="D430" s="84" t="str">
        <f>IF($B430="","",IF(IFERROR(INDEX('RAID Log'!$1:$1048576,$B430,MATCH("Impact/Effect of the RAID",'RAID Log'!$1:$1,0)),"")="","",IFERROR(INDEX('RAID Log'!$1:$1048576,$B430,MATCH("Impact/Effect of the RAID",'RAID Log'!$1:$1,0)),"")))</f>
        <v/>
      </c>
      <c r="E430" s="85" t="str">
        <f>IF($B430="","",IF(IFERROR(INDEX('RAID Log'!$1:$1048576,$B430,MATCH("Impact Area",'RAID Log'!$1:$1,0)),"")="","",IFERROR(INDEX('RAID Log'!$1:$1048576,$B430,MATCH("Impact Area",'RAID Log'!$1:$1,0)),"")))</f>
        <v/>
      </c>
      <c r="F430" s="85" t="str">
        <f>IF($B430="","",IF(IFERROR(INDEX('RAID Log'!$1:$1048576,$B430,MATCH("Impact Area",'RAID Log'!$1:$1,0)),"")="","",IFERROR(INDEX('RAID Log'!$1:$1048576,$B430,MATCH("Impact Area",'RAID Log'!$1:$1,0)),"")))</f>
        <v/>
      </c>
      <c r="G430" s="85" t="str">
        <f>IF($B430="","",IF(IFERROR(INDEX('RAID Log'!$1:$1048576,$B430,MATCH("Impact Rating",'RAID Log'!$1:$1,0)),"")="","",IFERROR(INDEX('RAID Log'!$1:$1048576,$B430,MATCH("Impact Rating",'RAID Log'!$1:$1,0)),"")))</f>
        <v/>
      </c>
      <c r="H430" s="85" t="str">
        <f>IF($B430="","",IF(IFERROR(INDEX('RAID Log'!$1:$1048576,$B430,MATCH("Initial Probability",'RAID Log'!$1:$1,0)),"")="","",IFERROR(INDEX('RAID Log'!$1:$1048576,$B430,MATCH("Initial Probability",'RAID Log'!$1:$1,0)),"")))</f>
        <v/>
      </c>
      <c r="I430" s="86" t="str">
        <f t="shared" si="18"/>
        <v/>
      </c>
      <c r="J430" s="85" t="str">
        <f t="shared" si="19"/>
        <v/>
      </c>
      <c r="K430" s="86" t="str">
        <f t="shared" si="20"/>
        <v/>
      </c>
      <c r="L430" s="85" t="str">
        <f>IF($B430="","",IF(IFERROR(INDEX('RAID Log'!$1:$1048576,$B430,MATCH("Status",'RAID Log'!$1:$1,0)),"")="","",IFERROR(INDEX('RAID Log'!$1:$1048576,$B430,MATCH("Status",'RAID Log'!$1:$1,0)),"")))</f>
        <v/>
      </c>
      <c r="M430" s="85" t="str">
        <f>IF($B430="","",IF(IFERROR(INDEX('RAID Log'!$1:$1048576,$B430,MATCH("RAID Owner",'RAID Log'!$1:$1,0)),"")="","",IFERROR(INDEX('RAID Log'!$1:$1048576,$B430,MATCH("RAID Owner",'RAID Log'!$1:$1,0)),"")))</f>
        <v/>
      </c>
      <c r="N430" s="87" t="str">
        <f>IF($B430="","",IF(IFERROR(INDEX('RAID Log'!$1:$1048576,$B430,MATCH("Date Raised",'RAID Log'!$1:$1,0)),"")="","",IFERROR(INDEX('RAID Log'!$1:$1048576,$B430,MATCH("Date Raised",'RAID Log'!$1:$1,0)),"")))</f>
        <v/>
      </c>
      <c r="O430" s="87" t="str">
        <f>IF($B430="","",IF(IFERROR(INDEX('RAID Log'!$1:$1048576,$B430,MATCH("Closed Date",'RAID Log'!$1:$1,0)),"")="","",IFERROR(INDEX('RAID Log'!$1:$1048576,$B430,MATCH("Closed Date",'RAID Log'!$1:$1,0)),"")))</f>
        <v/>
      </c>
      <c r="P430" s="85" t="str">
        <f>IF($B430="","",IF(IFERROR(INDEX('RAID Log'!$1:$1048576,$B430,MATCH("Mitigation Strategy",'RAID Log'!$1:$1,0)),"")="","",IFERROR(INDEX('RAID Log'!$1:$1048576,$B430,MATCH("Mitigation Strategy",'RAID Log'!$1:$1,0)),"")))</f>
        <v/>
      </c>
      <c r="Q430" s="88" t="str">
        <f>IF($B430="","",IF(IFERROR(INDEX('RAID Log'!$1:$1048576,$B430,MATCH("RAID Response/Plan",'RAID Log'!$1:$1,0)),"")="","",IFERROR(INDEX('RAID Log'!$1:$1048576,$B430,MATCH("RAID Response/Plan",'RAID Log'!$1:$1,0)),"")))</f>
        <v/>
      </c>
    </row>
    <row r="431" spans="1:17" ht="14.25" customHeight="1">
      <c r="A431" s="82" t="str">
        <f>IF($B431="","",IF(IFERROR(INDEX('RAID Log'!$1:$1048576,$B431,MATCH("RAID ID",'RAID Log'!$1:$1,0)),"")="","",IFERROR(INDEX('RAID Log'!$1:$1048576,$B431,MATCH("RAID ID",'RAID Log'!$1:$1,0)),"")))</f>
        <v/>
      </c>
      <c r="B431" s="83" t="str">
        <f>IFERROR(MATCH(ROW()-1,'RAID Log'!$S:$S,0),"")</f>
        <v/>
      </c>
      <c r="C431" s="84" t="str">
        <f>IF($B431="","",IF(IFERROR(INDEX('RAID Log'!$1:$1048576,$B431,MATCH("Description",'RAID Log'!$1:$1,0)),"")="","",IFERROR(INDEX('RAID Log'!$1:$1048576,$B431,MATCH("Description",'RAID Log'!$1:$1,0)),"")))</f>
        <v/>
      </c>
      <c r="D431" s="84" t="str">
        <f>IF($B431="","",IF(IFERROR(INDEX('RAID Log'!$1:$1048576,$B431,MATCH("Impact/Effect of the RAID",'RAID Log'!$1:$1,0)),"")="","",IFERROR(INDEX('RAID Log'!$1:$1048576,$B431,MATCH("Impact/Effect of the RAID",'RAID Log'!$1:$1,0)),"")))</f>
        <v/>
      </c>
      <c r="E431" s="85" t="str">
        <f>IF($B431="","",IF(IFERROR(INDEX('RAID Log'!$1:$1048576,$B431,MATCH("Impact Area",'RAID Log'!$1:$1,0)),"")="","",IFERROR(INDEX('RAID Log'!$1:$1048576,$B431,MATCH("Impact Area",'RAID Log'!$1:$1,0)),"")))</f>
        <v/>
      </c>
      <c r="F431" s="85" t="str">
        <f>IF($B431="","",IF(IFERROR(INDEX('RAID Log'!$1:$1048576,$B431,MATCH("Impact Area",'RAID Log'!$1:$1,0)),"")="","",IFERROR(INDEX('RAID Log'!$1:$1048576,$B431,MATCH("Impact Area",'RAID Log'!$1:$1,0)),"")))</f>
        <v/>
      </c>
      <c r="G431" s="85" t="str">
        <f>IF($B431="","",IF(IFERROR(INDEX('RAID Log'!$1:$1048576,$B431,MATCH("Impact Rating",'RAID Log'!$1:$1,0)),"")="","",IFERROR(INDEX('RAID Log'!$1:$1048576,$B431,MATCH("Impact Rating",'RAID Log'!$1:$1,0)),"")))</f>
        <v/>
      </c>
      <c r="H431" s="85" t="str">
        <f>IF($B431="","",IF(IFERROR(INDEX('RAID Log'!$1:$1048576,$B431,MATCH("Initial Probability",'RAID Log'!$1:$1,0)),"")="","",IFERROR(INDEX('RAID Log'!$1:$1048576,$B431,MATCH("Initial Probability",'RAID Log'!$1:$1,0)),"")))</f>
        <v/>
      </c>
      <c r="I431" s="86" t="str">
        <f t="shared" si="18"/>
        <v/>
      </c>
      <c r="J431" s="85" t="str">
        <f t="shared" si="19"/>
        <v/>
      </c>
      <c r="K431" s="86" t="str">
        <f t="shared" si="20"/>
        <v/>
      </c>
      <c r="L431" s="85" t="str">
        <f>IF($B431="","",IF(IFERROR(INDEX('RAID Log'!$1:$1048576,$B431,MATCH("Status",'RAID Log'!$1:$1,0)),"")="","",IFERROR(INDEX('RAID Log'!$1:$1048576,$B431,MATCH("Status",'RAID Log'!$1:$1,0)),"")))</f>
        <v/>
      </c>
      <c r="M431" s="85" t="str">
        <f>IF($B431="","",IF(IFERROR(INDEX('RAID Log'!$1:$1048576,$B431,MATCH("RAID Owner",'RAID Log'!$1:$1,0)),"")="","",IFERROR(INDEX('RAID Log'!$1:$1048576,$B431,MATCH("RAID Owner",'RAID Log'!$1:$1,0)),"")))</f>
        <v/>
      </c>
      <c r="N431" s="87" t="str">
        <f>IF($B431="","",IF(IFERROR(INDEX('RAID Log'!$1:$1048576,$B431,MATCH("Date Raised",'RAID Log'!$1:$1,0)),"")="","",IFERROR(INDEX('RAID Log'!$1:$1048576,$B431,MATCH("Date Raised",'RAID Log'!$1:$1,0)),"")))</f>
        <v/>
      </c>
      <c r="O431" s="87" t="str">
        <f>IF($B431="","",IF(IFERROR(INDEX('RAID Log'!$1:$1048576,$B431,MATCH("Closed Date",'RAID Log'!$1:$1,0)),"")="","",IFERROR(INDEX('RAID Log'!$1:$1048576,$B431,MATCH("Closed Date",'RAID Log'!$1:$1,0)),"")))</f>
        <v/>
      </c>
      <c r="P431" s="85" t="str">
        <f>IF($B431="","",IF(IFERROR(INDEX('RAID Log'!$1:$1048576,$B431,MATCH("Mitigation Strategy",'RAID Log'!$1:$1,0)),"")="","",IFERROR(INDEX('RAID Log'!$1:$1048576,$B431,MATCH("Mitigation Strategy",'RAID Log'!$1:$1,0)),"")))</f>
        <v/>
      </c>
      <c r="Q431" s="88" t="str">
        <f>IF($B431="","",IF(IFERROR(INDEX('RAID Log'!$1:$1048576,$B431,MATCH("RAID Response/Plan",'RAID Log'!$1:$1,0)),"")="","",IFERROR(INDEX('RAID Log'!$1:$1048576,$B431,MATCH("RAID Response/Plan",'RAID Log'!$1:$1,0)),"")))</f>
        <v/>
      </c>
    </row>
    <row r="432" spans="1:17" ht="14.25" customHeight="1">
      <c r="A432" s="82" t="str">
        <f>IF($B432="","",IF(IFERROR(INDEX('RAID Log'!$1:$1048576,$B432,MATCH("RAID ID",'RAID Log'!$1:$1,0)),"")="","",IFERROR(INDEX('RAID Log'!$1:$1048576,$B432,MATCH("RAID ID",'RAID Log'!$1:$1,0)),"")))</f>
        <v/>
      </c>
      <c r="B432" s="83" t="str">
        <f>IFERROR(MATCH(ROW()-1,'RAID Log'!$S:$S,0),"")</f>
        <v/>
      </c>
      <c r="C432" s="84" t="str">
        <f>IF($B432="","",IF(IFERROR(INDEX('RAID Log'!$1:$1048576,$B432,MATCH("Description",'RAID Log'!$1:$1,0)),"")="","",IFERROR(INDEX('RAID Log'!$1:$1048576,$B432,MATCH("Description",'RAID Log'!$1:$1,0)),"")))</f>
        <v/>
      </c>
      <c r="D432" s="84" t="str">
        <f>IF($B432="","",IF(IFERROR(INDEX('RAID Log'!$1:$1048576,$B432,MATCH("Impact/Effect of the RAID",'RAID Log'!$1:$1,0)),"")="","",IFERROR(INDEX('RAID Log'!$1:$1048576,$B432,MATCH("Impact/Effect of the RAID",'RAID Log'!$1:$1,0)),"")))</f>
        <v/>
      </c>
      <c r="E432" s="85" t="str">
        <f>IF($B432="","",IF(IFERROR(INDEX('RAID Log'!$1:$1048576,$B432,MATCH("Impact Area",'RAID Log'!$1:$1,0)),"")="","",IFERROR(INDEX('RAID Log'!$1:$1048576,$B432,MATCH("Impact Area",'RAID Log'!$1:$1,0)),"")))</f>
        <v/>
      </c>
      <c r="F432" s="85" t="str">
        <f>IF($B432="","",IF(IFERROR(INDEX('RAID Log'!$1:$1048576,$B432,MATCH("Impact Area",'RAID Log'!$1:$1,0)),"")="","",IFERROR(INDEX('RAID Log'!$1:$1048576,$B432,MATCH("Impact Area",'RAID Log'!$1:$1,0)),"")))</f>
        <v/>
      </c>
      <c r="G432" s="85" t="str">
        <f>IF($B432="","",IF(IFERROR(INDEX('RAID Log'!$1:$1048576,$B432,MATCH("Impact Rating",'RAID Log'!$1:$1,0)),"")="","",IFERROR(INDEX('RAID Log'!$1:$1048576,$B432,MATCH("Impact Rating",'RAID Log'!$1:$1,0)),"")))</f>
        <v/>
      </c>
      <c r="H432" s="85" t="str">
        <f>IF($B432="","",IF(IFERROR(INDEX('RAID Log'!$1:$1048576,$B432,MATCH("Initial Probability",'RAID Log'!$1:$1,0)),"")="","",IFERROR(INDEX('RAID Log'!$1:$1048576,$B432,MATCH("Initial Probability",'RAID Log'!$1:$1,0)),"")))</f>
        <v/>
      </c>
      <c r="I432" s="86" t="str">
        <f t="shared" si="18"/>
        <v/>
      </c>
      <c r="J432" s="85" t="str">
        <f t="shared" si="19"/>
        <v/>
      </c>
      <c r="K432" s="86" t="str">
        <f t="shared" si="20"/>
        <v/>
      </c>
      <c r="L432" s="85" t="str">
        <f>IF($B432="","",IF(IFERROR(INDEX('RAID Log'!$1:$1048576,$B432,MATCH("Status",'RAID Log'!$1:$1,0)),"")="","",IFERROR(INDEX('RAID Log'!$1:$1048576,$B432,MATCH("Status",'RAID Log'!$1:$1,0)),"")))</f>
        <v/>
      </c>
      <c r="M432" s="85" t="str">
        <f>IF($B432="","",IF(IFERROR(INDEX('RAID Log'!$1:$1048576,$B432,MATCH("RAID Owner",'RAID Log'!$1:$1,0)),"")="","",IFERROR(INDEX('RAID Log'!$1:$1048576,$B432,MATCH("RAID Owner",'RAID Log'!$1:$1,0)),"")))</f>
        <v/>
      </c>
      <c r="N432" s="87" t="str">
        <f>IF($B432="","",IF(IFERROR(INDEX('RAID Log'!$1:$1048576,$B432,MATCH("Date Raised",'RAID Log'!$1:$1,0)),"")="","",IFERROR(INDEX('RAID Log'!$1:$1048576,$B432,MATCH("Date Raised",'RAID Log'!$1:$1,0)),"")))</f>
        <v/>
      </c>
      <c r="O432" s="87" t="str">
        <f>IF($B432="","",IF(IFERROR(INDEX('RAID Log'!$1:$1048576,$B432,MATCH("Closed Date",'RAID Log'!$1:$1,0)),"")="","",IFERROR(INDEX('RAID Log'!$1:$1048576,$B432,MATCH("Closed Date",'RAID Log'!$1:$1,0)),"")))</f>
        <v/>
      </c>
      <c r="P432" s="85" t="str">
        <f>IF($B432="","",IF(IFERROR(INDEX('RAID Log'!$1:$1048576,$B432,MATCH("Mitigation Strategy",'RAID Log'!$1:$1,0)),"")="","",IFERROR(INDEX('RAID Log'!$1:$1048576,$B432,MATCH("Mitigation Strategy",'RAID Log'!$1:$1,0)),"")))</f>
        <v/>
      </c>
      <c r="Q432" s="88" t="str">
        <f>IF($B432="","",IF(IFERROR(INDEX('RAID Log'!$1:$1048576,$B432,MATCH("RAID Response/Plan",'RAID Log'!$1:$1,0)),"")="","",IFERROR(INDEX('RAID Log'!$1:$1048576,$B432,MATCH("RAID Response/Plan",'RAID Log'!$1:$1,0)),"")))</f>
        <v/>
      </c>
    </row>
    <row r="433" spans="1:17" ht="14.25" customHeight="1">
      <c r="A433" s="82" t="str">
        <f>IF($B433="","",IF(IFERROR(INDEX('RAID Log'!$1:$1048576,$B433,MATCH("RAID ID",'RAID Log'!$1:$1,0)),"")="","",IFERROR(INDEX('RAID Log'!$1:$1048576,$B433,MATCH("RAID ID",'RAID Log'!$1:$1,0)),"")))</f>
        <v/>
      </c>
      <c r="B433" s="83" t="str">
        <f>IFERROR(MATCH(ROW()-1,'RAID Log'!$S:$S,0),"")</f>
        <v/>
      </c>
      <c r="C433" s="84" t="str">
        <f>IF($B433="","",IF(IFERROR(INDEX('RAID Log'!$1:$1048576,$B433,MATCH("Description",'RAID Log'!$1:$1,0)),"")="","",IFERROR(INDEX('RAID Log'!$1:$1048576,$B433,MATCH("Description",'RAID Log'!$1:$1,0)),"")))</f>
        <v/>
      </c>
      <c r="D433" s="84" t="str">
        <f>IF($B433="","",IF(IFERROR(INDEX('RAID Log'!$1:$1048576,$B433,MATCH("Impact/Effect of the RAID",'RAID Log'!$1:$1,0)),"")="","",IFERROR(INDEX('RAID Log'!$1:$1048576,$B433,MATCH("Impact/Effect of the RAID",'RAID Log'!$1:$1,0)),"")))</f>
        <v/>
      </c>
      <c r="E433" s="85" t="str">
        <f>IF($B433="","",IF(IFERROR(INDEX('RAID Log'!$1:$1048576,$B433,MATCH("Impact Area",'RAID Log'!$1:$1,0)),"")="","",IFERROR(INDEX('RAID Log'!$1:$1048576,$B433,MATCH("Impact Area",'RAID Log'!$1:$1,0)),"")))</f>
        <v/>
      </c>
      <c r="F433" s="85" t="str">
        <f>IF($B433="","",IF(IFERROR(INDEX('RAID Log'!$1:$1048576,$B433,MATCH("Impact Area",'RAID Log'!$1:$1,0)),"")="","",IFERROR(INDEX('RAID Log'!$1:$1048576,$B433,MATCH("Impact Area",'RAID Log'!$1:$1,0)),"")))</f>
        <v/>
      </c>
      <c r="G433" s="85" t="str">
        <f>IF($B433="","",IF(IFERROR(INDEX('RAID Log'!$1:$1048576,$B433,MATCH("Impact Rating",'RAID Log'!$1:$1,0)),"")="","",IFERROR(INDEX('RAID Log'!$1:$1048576,$B433,MATCH("Impact Rating",'RAID Log'!$1:$1,0)),"")))</f>
        <v/>
      </c>
      <c r="H433" s="85" t="str">
        <f>IF($B433="","",IF(IFERROR(INDEX('RAID Log'!$1:$1048576,$B433,MATCH("Initial Probability",'RAID Log'!$1:$1,0)),"")="","",IFERROR(INDEX('RAID Log'!$1:$1048576,$B433,MATCH("Initial Probability",'RAID Log'!$1:$1,0)),"")))</f>
        <v/>
      </c>
      <c r="I433" s="86" t="str">
        <f t="shared" si="18"/>
        <v/>
      </c>
      <c r="J433" s="85" t="str">
        <f t="shared" si="19"/>
        <v/>
      </c>
      <c r="K433" s="86" t="str">
        <f t="shared" si="20"/>
        <v/>
      </c>
      <c r="L433" s="85" t="str">
        <f>IF($B433="","",IF(IFERROR(INDEX('RAID Log'!$1:$1048576,$B433,MATCH("Status",'RAID Log'!$1:$1,0)),"")="","",IFERROR(INDEX('RAID Log'!$1:$1048576,$B433,MATCH("Status",'RAID Log'!$1:$1,0)),"")))</f>
        <v/>
      </c>
      <c r="M433" s="85" t="str">
        <f>IF($B433="","",IF(IFERROR(INDEX('RAID Log'!$1:$1048576,$B433,MATCH("RAID Owner",'RAID Log'!$1:$1,0)),"")="","",IFERROR(INDEX('RAID Log'!$1:$1048576,$B433,MATCH("RAID Owner",'RAID Log'!$1:$1,0)),"")))</f>
        <v/>
      </c>
      <c r="N433" s="87" t="str">
        <f>IF($B433="","",IF(IFERROR(INDEX('RAID Log'!$1:$1048576,$B433,MATCH("Date Raised",'RAID Log'!$1:$1,0)),"")="","",IFERROR(INDEX('RAID Log'!$1:$1048576,$B433,MATCH("Date Raised",'RAID Log'!$1:$1,0)),"")))</f>
        <v/>
      </c>
      <c r="O433" s="87" t="str">
        <f>IF($B433="","",IF(IFERROR(INDEX('RAID Log'!$1:$1048576,$B433,MATCH("Closed Date",'RAID Log'!$1:$1,0)),"")="","",IFERROR(INDEX('RAID Log'!$1:$1048576,$B433,MATCH("Closed Date",'RAID Log'!$1:$1,0)),"")))</f>
        <v/>
      </c>
      <c r="P433" s="85" t="str">
        <f>IF($B433="","",IF(IFERROR(INDEX('RAID Log'!$1:$1048576,$B433,MATCH("Mitigation Strategy",'RAID Log'!$1:$1,0)),"")="","",IFERROR(INDEX('RAID Log'!$1:$1048576,$B433,MATCH("Mitigation Strategy",'RAID Log'!$1:$1,0)),"")))</f>
        <v/>
      </c>
      <c r="Q433" s="88" t="str">
        <f>IF($B433="","",IF(IFERROR(INDEX('RAID Log'!$1:$1048576,$B433,MATCH("RAID Response/Plan",'RAID Log'!$1:$1,0)),"")="","",IFERROR(INDEX('RAID Log'!$1:$1048576,$B433,MATCH("RAID Response/Plan",'RAID Log'!$1:$1,0)),"")))</f>
        <v/>
      </c>
    </row>
    <row r="434" spans="1:17" ht="14.25" customHeight="1">
      <c r="A434" s="82" t="str">
        <f>IF($B434="","",IF(IFERROR(INDEX('RAID Log'!$1:$1048576,$B434,MATCH("RAID ID",'RAID Log'!$1:$1,0)),"")="","",IFERROR(INDEX('RAID Log'!$1:$1048576,$B434,MATCH("RAID ID",'RAID Log'!$1:$1,0)),"")))</f>
        <v/>
      </c>
      <c r="B434" s="83" t="str">
        <f>IFERROR(MATCH(ROW()-1,'RAID Log'!$S:$S,0),"")</f>
        <v/>
      </c>
      <c r="C434" s="84" t="str">
        <f>IF($B434="","",IF(IFERROR(INDEX('RAID Log'!$1:$1048576,$B434,MATCH("Description",'RAID Log'!$1:$1,0)),"")="","",IFERROR(INDEX('RAID Log'!$1:$1048576,$B434,MATCH("Description",'RAID Log'!$1:$1,0)),"")))</f>
        <v/>
      </c>
      <c r="D434" s="84" t="str">
        <f>IF($B434="","",IF(IFERROR(INDEX('RAID Log'!$1:$1048576,$B434,MATCH("Impact/Effect of the RAID",'RAID Log'!$1:$1,0)),"")="","",IFERROR(INDEX('RAID Log'!$1:$1048576,$B434,MATCH("Impact/Effect of the RAID",'RAID Log'!$1:$1,0)),"")))</f>
        <v/>
      </c>
      <c r="E434" s="85" t="str">
        <f>IF($B434="","",IF(IFERROR(INDEX('RAID Log'!$1:$1048576,$B434,MATCH("Impact Area",'RAID Log'!$1:$1,0)),"")="","",IFERROR(INDEX('RAID Log'!$1:$1048576,$B434,MATCH("Impact Area",'RAID Log'!$1:$1,0)),"")))</f>
        <v/>
      </c>
      <c r="F434" s="85" t="str">
        <f>IF($B434="","",IF(IFERROR(INDEX('RAID Log'!$1:$1048576,$B434,MATCH("Impact Area",'RAID Log'!$1:$1,0)),"")="","",IFERROR(INDEX('RAID Log'!$1:$1048576,$B434,MATCH("Impact Area",'RAID Log'!$1:$1,0)),"")))</f>
        <v/>
      </c>
      <c r="G434" s="85" t="str">
        <f>IF($B434="","",IF(IFERROR(INDEX('RAID Log'!$1:$1048576,$B434,MATCH("Impact Rating",'RAID Log'!$1:$1,0)),"")="","",IFERROR(INDEX('RAID Log'!$1:$1048576,$B434,MATCH("Impact Rating",'RAID Log'!$1:$1,0)),"")))</f>
        <v/>
      </c>
      <c r="H434" s="85" t="str">
        <f>IF($B434="","",IF(IFERROR(INDEX('RAID Log'!$1:$1048576,$B434,MATCH("Initial Probability",'RAID Log'!$1:$1,0)),"")="","",IFERROR(INDEX('RAID Log'!$1:$1048576,$B434,MATCH("Initial Probability",'RAID Log'!$1:$1,0)),"")))</f>
        <v/>
      </c>
      <c r="I434" s="86" t="str">
        <f t="shared" si="18"/>
        <v/>
      </c>
      <c r="J434" s="85" t="str">
        <f t="shared" si="19"/>
        <v/>
      </c>
      <c r="K434" s="86" t="str">
        <f t="shared" si="20"/>
        <v/>
      </c>
      <c r="L434" s="85" t="str">
        <f>IF($B434="","",IF(IFERROR(INDEX('RAID Log'!$1:$1048576,$B434,MATCH("Status",'RAID Log'!$1:$1,0)),"")="","",IFERROR(INDEX('RAID Log'!$1:$1048576,$B434,MATCH("Status",'RAID Log'!$1:$1,0)),"")))</f>
        <v/>
      </c>
      <c r="M434" s="85" t="str">
        <f>IF($B434="","",IF(IFERROR(INDEX('RAID Log'!$1:$1048576,$B434,MATCH("RAID Owner",'RAID Log'!$1:$1,0)),"")="","",IFERROR(INDEX('RAID Log'!$1:$1048576,$B434,MATCH("RAID Owner",'RAID Log'!$1:$1,0)),"")))</f>
        <v/>
      </c>
      <c r="N434" s="87" t="str">
        <f>IF($B434="","",IF(IFERROR(INDEX('RAID Log'!$1:$1048576,$B434,MATCH("Date Raised",'RAID Log'!$1:$1,0)),"")="","",IFERROR(INDEX('RAID Log'!$1:$1048576,$B434,MATCH("Date Raised",'RAID Log'!$1:$1,0)),"")))</f>
        <v/>
      </c>
      <c r="O434" s="87" t="str">
        <f>IF($B434="","",IF(IFERROR(INDEX('RAID Log'!$1:$1048576,$B434,MATCH("Closed Date",'RAID Log'!$1:$1,0)),"")="","",IFERROR(INDEX('RAID Log'!$1:$1048576,$B434,MATCH("Closed Date",'RAID Log'!$1:$1,0)),"")))</f>
        <v/>
      </c>
      <c r="P434" s="85" t="str">
        <f>IF($B434="","",IF(IFERROR(INDEX('RAID Log'!$1:$1048576,$B434,MATCH("Mitigation Strategy",'RAID Log'!$1:$1,0)),"")="","",IFERROR(INDEX('RAID Log'!$1:$1048576,$B434,MATCH("Mitigation Strategy",'RAID Log'!$1:$1,0)),"")))</f>
        <v/>
      </c>
      <c r="Q434" s="88" t="str">
        <f>IF($B434="","",IF(IFERROR(INDEX('RAID Log'!$1:$1048576,$B434,MATCH("RAID Response/Plan",'RAID Log'!$1:$1,0)),"")="","",IFERROR(INDEX('RAID Log'!$1:$1048576,$B434,MATCH("RAID Response/Plan",'RAID Log'!$1:$1,0)),"")))</f>
        <v/>
      </c>
    </row>
    <row r="435" spans="1:17" ht="14.25" customHeight="1">
      <c r="A435" s="82" t="str">
        <f>IF($B435="","",IF(IFERROR(INDEX('RAID Log'!$1:$1048576,$B435,MATCH("RAID ID",'RAID Log'!$1:$1,0)),"")="","",IFERROR(INDEX('RAID Log'!$1:$1048576,$B435,MATCH("RAID ID",'RAID Log'!$1:$1,0)),"")))</f>
        <v/>
      </c>
      <c r="B435" s="83" t="str">
        <f>IFERROR(MATCH(ROW()-1,'RAID Log'!$S:$S,0),"")</f>
        <v/>
      </c>
      <c r="C435" s="84" t="str">
        <f>IF($B435="","",IF(IFERROR(INDEX('RAID Log'!$1:$1048576,$B435,MATCH("Description",'RAID Log'!$1:$1,0)),"")="","",IFERROR(INDEX('RAID Log'!$1:$1048576,$B435,MATCH("Description",'RAID Log'!$1:$1,0)),"")))</f>
        <v/>
      </c>
      <c r="D435" s="84" t="str">
        <f>IF($B435="","",IF(IFERROR(INDEX('RAID Log'!$1:$1048576,$B435,MATCH("Impact/Effect of the RAID",'RAID Log'!$1:$1,0)),"")="","",IFERROR(INDEX('RAID Log'!$1:$1048576,$B435,MATCH("Impact/Effect of the RAID",'RAID Log'!$1:$1,0)),"")))</f>
        <v/>
      </c>
      <c r="E435" s="85" t="str">
        <f>IF($B435="","",IF(IFERROR(INDEX('RAID Log'!$1:$1048576,$B435,MATCH("Impact Area",'RAID Log'!$1:$1,0)),"")="","",IFERROR(INDEX('RAID Log'!$1:$1048576,$B435,MATCH("Impact Area",'RAID Log'!$1:$1,0)),"")))</f>
        <v/>
      </c>
      <c r="F435" s="85" t="str">
        <f>IF($B435="","",IF(IFERROR(INDEX('RAID Log'!$1:$1048576,$B435,MATCH("Impact Area",'RAID Log'!$1:$1,0)),"")="","",IFERROR(INDEX('RAID Log'!$1:$1048576,$B435,MATCH("Impact Area",'RAID Log'!$1:$1,0)),"")))</f>
        <v/>
      </c>
      <c r="G435" s="85" t="str">
        <f>IF($B435="","",IF(IFERROR(INDEX('RAID Log'!$1:$1048576,$B435,MATCH("Impact Rating",'RAID Log'!$1:$1,0)),"")="","",IFERROR(INDEX('RAID Log'!$1:$1048576,$B435,MATCH("Impact Rating",'RAID Log'!$1:$1,0)),"")))</f>
        <v/>
      </c>
      <c r="H435" s="85" t="str">
        <f>IF($B435="","",IF(IFERROR(INDEX('RAID Log'!$1:$1048576,$B435,MATCH("Initial Probability",'RAID Log'!$1:$1,0)),"")="","",IFERROR(INDEX('RAID Log'!$1:$1048576,$B435,MATCH("Initial Probability",'RAID Log'!$1:$1,0)),"")))</f>
        <v/>
      </c>
      <c r="I435" s="86" t="str">
        <f t="shared" si="18"/>
        <v/>
      </c>
      <c r="J435" s="85" t="str">
        <f t="shared" si="19"/>
        <v/>
      </c>
      <c r="K435" s="86" t="str">
        <f t="shared" si="20"/>
        <v/>
      </c>
      <c r="L435" s="85" t="str">
        <f>IF($B435="","",IF(IFERROR(INDEX('RAID Log'!$1:$1048576,$B435,MATCH("Status",'RAID Log'!$1:$1,0)),"")="","",IFERROR(INDEX('RAID Log'!$1:$1048576,$B435,MATCH("Status",'RAID Log'!$1:$1,0)),"")))</f>
        <v/>
      </c>
      <c r="M435" s="85" t="str">
        <f>IF($B435="","",IF(IFERROR(INDEX('RAID Log'!$1:$1048576,$B435,MATCH("RAID Owner",'RAID Log'!$1:$1,0)),"")="","",IFERROR(INDEX('RAID Log'!$1:$1048576,$B435,MATCH("RAID Owner",'RAID Log'!$1:$1,0)),"")))</f>
        <v/>
      </c>
      <c r="N435" s="87" t="str">
        <f>IF($B435="","",IF(IFERROR(INDEX('RAID Log'!$1:$1048576,$B435,MATCH("Date Raised",'RAID Log'!$1:$1,0)),"")="","",IFERROR(INDEX('RAID Log'!$1:$1048576,$B435,MATCH("Date Raised",'RAID Log'!$1:$1,0)),"")))</f>
        <v/>
      </c>
      <c r="O435" s="87" t="str">
        <f>IF($B435="","",IF(IFERROR(INDEX('RAID Log'!$1:$1048576,$B435,MATCH("Closed Date",'RAID Log'!$1:$1,0)),"")="","",IFERROR(INDEX('RAID Log'!$1:$1048576,$B435,MATCH("Closed Date",'RAID Log'!$1:$1,0)),"")))</f>
        <v/>
      </c>
      <c r="P435" s="85" t="str">
        <f>IF($B435="","",IF(IFERROR(INDEX('RAID Log'!$1:$1048576,$B435,MATCH("Mitigation Strategy",'RAID Log'!$1:$1,0)),"")="","",IFERROR(INDEX('RAID Log'!$1:$1048576,$B435,MATCH("Mitigation Strategy",'RAID Log'!$1:$1,0)),"")))</f>
        <v/>
      </c>
      <c r="Q435" s="88" t="str">
        <f>IF($B435="","",IF(IFERROR(INDEX('RAID Log'!$1:$1048576,$B435,MATCH("RAID Response/Plan",'RAID Log'!$1:$1,0)),"")="","",IFERROR(INDEX('RAID Log'!$1:$1048576,$B435,MATCH("RAID Response/Plan",'RAID Log'!$1:$1,0)),"")))</f>
        <v/>
      </c>
    </row>
    <row r="436" spans="1:17" ht="14.25" customHeight="1">
      <c r="A436" s="82" t="str">
        <f>IF($B436="","",IF(IFERROR(INDEX('RAID Log'!$1:$1048576,$B436,MATCH("RAID ID",'RAID Log'!$1:$1,0)),"")="","",IFERROR(INDEX('RAID Log'!$1:$1048576,$B436,MATCH("RAID ID",'RAID Log'!$1:$1,0)),"")))</f>
        <v/>
      </c>
      <c r="B436" s="83" t="str">
        <f>IFERROR(MATCH(ROW()-1,'RAID Log'!$S:$S,0),"")</f>
        <v/>
      </c>
      <c r="C436" s="84" t="str">
        <f>IF($B436="","",IF(IFERROR(INDEX('RAID Log'!$1:$1048576,$B436,MATCH("Description",'RAID Log'!$1:$1,0)),"")="","",IFERROR(INDEX('RAID Log'!$1:$1048576,$B436,MATCH("Description",'RAID Log'!$1:$1,0)),"")))</f>
        <v/>
      </c>
      <c r="D436" s="84" t="str">
        <f>IF($B436="","",IF(IFERROR(INDEX('RAID Log'!$1:$1048576,$B436,MATCH("Impact/Effect of the RAID",'RAID Log'!$1:$1,0)),"")="","",IFERROR(INDEX('RAID Log'!$1:$1048576,$B436,MATCH("Impact/Effect of the RAID",'RAID Log'!$1:$1,0)),"")))</f>
        <v/>
      </c>
      <c r="E436" s="85" t="str">
        <f>IF($B436="","",IF(IFERROR(INDEX('RAID Log'!$1:$1048576,$B436,MATCH("Impact Area",'RAID Log'!$1:$1,0)),"")="","",IFERROR(INDEX('RAID Log'!$1:$1048576,$B436,MATCH("Impact Area",'RAID Log'!$1:$1,0)),"")))</f>
        <v/>
      </c>
      <c r="F436" s="85" t="str">
        <f>IF($B436="","",IF(IFERROR(INDEX('RAID Log'!$1:$1048576,$B436,MATCH("Impact Area",'RAID Log'!$1:$1,0)),"")="","",IFERROR(INDEX('RAID Log'!$1:$1048576,$B436,MATCH("Impact Area",'RAID Log'!$1:$1,0)),"")))</f>
        <v/>
      </c>
      <c r="G436" s="85" t="str">
        <f>IF($B436="","",IF(IFERROR(INDEX('RAID Log'!$1:$1048576,$B436,MATCH("Impact Rating",'RAID Log'!$1:$1,0)),"")="","",IFERROR(INDEX('RAID Log'!$1:$1048576,$B436,MATCH("Impact Rating",'RAID Log'!$1:$1,0)),"")))</f>
        <v/>
      </c>
      <c r="H436" s="85" t="str">
        <f>IF($B436="","",IF(IFERROR(INDEX('RAID Log'!$1:$1048576,$B436,MATCH("Initial Probability",'RAID Log'!$1:$1,0)),"")="","",IFERROR(INDEX('RAID Log'!$1:$1048576,$B436,MATCH("Initial Probability",'RAID Log'!$1:$1,0)),"")))</f>
        <v/>
      </c>
      <c r="I436" s="86" t="str">
        <f t="shared" si="18"/>
        <v/>
      </c>
      <c r="J436" s="85" t="str">
        <f t="shared" si="19"/>
        <v/>
      </c>
      <c r="K436" s="86" t="str">
        <f t="shared" si="20"/>
        <v/>
      </c>
      <c r="L436" s="85" t="str">
        <f>IF($B436="","",IF(IFERROR(INDEX('RAID Log'!$1:$1048576,$B436,MATCH("Status",'RAID Log'!$1:$1,0)),"")="","",IFERROR(INDEX('RAID Log'!$1:$1048576,$B436,MATCH("Status",'RAID Log'!$1:$1,0)),"")))</f>
        <v/>
      </c>
      <c r="M436" s="85" t="str">
        <f>IF($B436="","",IF(IFERROR(INDEX('RAID Log'!$1:$1048576,$B436,MATCH("RAID Owner",'RAID Log'!$1:$1,0)),"")="","",IFERROR(INDEX('RAID Log'!$1:$1048576,$B436,MATCH("RAID Owner",'RAID Log'!$1:$1,0)),"")))</f>
        <v/>
      </c>
      <c r="N436" s="87" t="str">
        <f>IF($B436="","",IF(IFERROR(INDEX('RAID Log'!$1:$1048576,$B436,MATCH("Date Raised",'RAID Log'!$1:$1,0)),"")="","",IFERROR(INDEX('RAID Log'!$1:$1048576,$B436,MATCH("Date Raised",'RAID Log'!$1:$1,0)),"")))</f>
        <v/>
      </c>
      <c r="O436" s="87" t="str">
        <f>IF($B436="","",IF(IFERROR(INDEX('RAID Log'!$1:$1048576,$B436,MATCH("Closed Date",'RAID Log'!$1:$1,0)),"")="","",IFERROR(INDEX('RAID Log'!$1:$1048576,$B436,MATCH("Closed Date",'RAID Log'!$1:$1,0)),"")))</f>
        <v/>
      </c>
      <c r="P436" s="85" t="str">
        <f>IF($B436="","",IF(IFERROR(INDEX('RAID Log'!$1:$1048576,$B436,MATCH("Mitigation Strategy",'RAID Log'!$1:$1,0)),"")="","",IFERROR(INDEX('RAID Log'!$1:$1048576,$B436,MATCH("Mitigation Strategy",'RAID Log'!$1:$1,0)),"")))</f>
        <v/>
      </c>
      <c r="Q436" s="88" t="str">
        <f>IF($B436="","",IF(IFERROR(INDEX('RAID Log'!$1:$1048576,$B436,MATCH("RAID Response/Plan",'RAID Log'!$1:$1,0)),"")="","",IFERROR(INDEX('RAID Log'!$1:$1048576,$B436,MATCH("RAID Response/Plan",'RAID Log'!$1:$1,0)),"")))</f>
        <v/>
      </c>
    </row>
    <row r="437" spans="1:17" ht="14.25" customHeight="1">
      <c r="A437" s="82" t="str">
        <f>IF($B437="","",IF(IFERROR(INDEX('RAID Log'!$1:$1048576,$B437,MATCH("RAID ID",'RAID Log'!$1:$1,0)),"")="","",IFERROR(INDEX('RAID Log'!$1:$1048576,$B437,MATCH("RAID ID",'RAID Log'!$1:$1,0)),"")))</f>
        <v/>
      </c>
      <c r="B437" s="83" t="str">
        <f>IFERROR(MATCH(ROW()-1,'RAID Log'!$S:$S,0),"")</f>
        <v/>
      </c>
      <c r="C437" s="84" t="str">
        <f>IF($B437="","",IF(IFERROR(INDEX('RAID Log'!$1:$1048576,$B437,MATCH("Description",'RAID Log'!$1:$1,0)),"")="","",IFERROR(INDEX('RAID Log'!$1:$1048576,$B437,MATCH("Description",'RAID Log'!$1:$1,0)),"")))</f>
        <v/>
      </c>
      <c r="D437" s="84" t="str">
        <f>IF($B437="","",IF(IFERROR(INDEX('RAID Log'!$1:$1048576,$B437,MATCH("Impact/Effect of the RAID",'RAID Log'!$1:$1,0)),"")="","",IFERROR(INDEX('RAID Log'!$1:$1048576,$B437,MATCH("Impact/Effect of the RAID",'RAID Log'!$1:$1,0)),"")))</f>
        <v/>
      </c>
      <c r="E437" s="85" t="str">
        <f>IF($B437="","",IF(IFERROR(INDEX('RAID Log'!$1:$1048576,$B437,MATCH("Impact Area",'RAID Log'!$1:$1,0)),"")="","",IFERROR(INDEX('RAID Log'!$1:$1048576,$B437,MATCH("Impact Area",'RAID Log'!$1:$1,0)),"")))</f>
        <v/>
      </c>
      <c r="F437" s="85" t="str">
        <f>IF($B437="","",IF(IFERROR(INDEX('RAID Log'!$1:$1048576,$B437,MATCH("Impact Area",'RAID Log'!$1:$1,0)),"")="","",IFERROR(INDEX('RAID Log'!$1:$1048576,$B437,MATCH("Impact Area",'RAID Log'!$1:$1,0)),"")))</f>
        <v/>
      </c>
      <c r="G437" s="85" t="str">
        <f>IF($B437="","",IF(IFERROR(INDEX('RAID Log'!$1:$1048576,$B437,MATCH("Impact Rating",'RAID Log'!$1:$1,0)),"")="","",IFERROR(INDEX('RAID Log'!$1:$1048576,$B437,MATCH("Impact Rating",'RAID Log'!$1:$1,0)),"")))</f>
        <v/>
      </c>
      <c r="H437" s="85" t="str">
        <f>IF($B437="","",IF(IFERROR(INDEX('RAID Log'!$1:$1048576,$B437,MATCH("Initial Probability",'RAID Log'!$1:$1,0)),"")="","",IFERROR(INDEX('RAID Log'!$1:$1048576,$B437,MATCH("Initial Probability",'RAID Log'!$1:$1,0)),"")))</f>
        <v/>
      </c>
      <c r="I437" s="86" t="str">
        <f t="shared" si="18"/>
        <v/>
      </c>
      <c r="J437" s="85" t="str">
        <f t="shared" si="19"/>
        <v/>
      </c>
      <c r="K437" s="86" t="str">
        <f t="shared" si="20"/>
        <v/>
      </c>
      <c r="L437" s="85" t="str">
        <f>IF($B437="","",IF(IFERROR(INDEX('RAID Log'!$1:$1048576,$B437,MATCH("Status",'RAID Log'!$1:$1,0)),"")="","",IFERROR(INDEX('RAID Log'!$1:$1048576,$B437,MATCH("Status",'RAID Log'!$1:$1,0)),"")))</f>
        <v/>
      </c>
      <c r="M437" s="85" t="str">
        <f>IF($B437="","",IF(IFERROR(INDEX('RAID Log'!$1:$1048576,$B437,MATCH("RAID Owner",'RAID Log'!$1:$1,0)),"")="","",IFERROR(INDEX('RAID Log'!$1:$1048576,$B437,MATCH("RAID Owner",'RAID Log'!$1:$1,0)),"")))</f>
        <v/>
      </c>
      <c r="N437" s="87" t="str">
        <f>IF($B437="","",IF(IFERROR(INDEX('RAID Log'!$1:$1048576,$B437,MATCH("Date Raised",'RAID Log'!$1:$1,0)),"")="","",IFERROR(INDEX('RAID Log'!$1:$1048576,$B437,MATCH("Date Raised",'RAID Log'!$1:$1,0)),"")))</f>
        <v/>
      </c>
      <c r="O437" s="87" t="str">
        <f>IF($B437="","",IF(IFERROR(INDEX('RAID Log'!$1:$1048576,$B437,MATCH("Closed Date",'RAID Log'!$1:$1,0)),"")="","",IFERROR(INDEX('RAID Log'!$1:$1048576,$B437,MATCH("Closed Date",'RAID Log'!$1:$1,0)),"")))</f>
        <v/>
      </c>
      <c r="P437" s="85" t="str">
        <f>IF($B437="","",IF(IFERROR(INDEX('RAID Log'!$1:$1048576,$B437,MATCH("Mitigation Strategy",'RAID Log'!$1:$1,0)),"")="","",IFERROR(INDEX('RAID Log'!$1:$1048576,$B437,MATCH("Mitigation Strategy",'RAID Log'!$1:$1,0)),"")))</f>
        <v/>
      </c>
      <c r="Q437" s="88" t="str">
        <f>IF($B437="","",IF(IFERROR(INDEX('RAID Log'!$1:$1048576,$B437,MATCH("RAID Response/Plan",'RAID Log'!$1:$1,0)),"")="","",IFERROR(INDEX('RAID Log'!$1:$1048576,$B437,MATCH("RAID Response/Plan",'RAID Log'!$1:$1,0)),"")))</f>
        <v/>
      </c>
    </row>
    <row r="438" spans="1:17" ht="14.25" customHeight="1">
      <c r="A438" s="82" t="str">
        <f>IF($B438="","",IF(IFERROR(INDEX('RAID Log'!$1:$1048576,$B438,MATCH("RAID ID",'RAID Log'!$1:$1,0)),"")="","",IFERROR(INDEX('RAID Log'!$1:$1048576,$B438,MATCH("RAID ID",'RAID Log'!$1:$1,0)),"")))</f>
        <v/>
      </c>
      <c r="B438" s="83" t="str">
        <f>IFERROR(MATCH(ROW()-1,'RAID Log'!$S:$S,0),"")</f>
        <v/>
      </c>
      <c r="C438" s="84" t="str">
        <f>IF($B438="","",IF(IFERROR(INDEX('RAID Log'!$1:$1048576,$B438,MATCH("Description",'RAID Log'!$1:$1,0)),"")="","",IFERROR(INDEX('RAID Log'!$1:$1048576,$B438,MATCH("Description",'RAID Log'!$1:$1,0)),"")))</f>
        <v/>
      </c>
      <c r="D438" s="84" t="str">
        <f>IF($B438="","",IF(IFERROR(INDEX('RAID Log'!$1:$1048576,$B438,MATCH("Impact/Effect of the RAID",'RAID Log'!$1:$1,0)),"")="","",IFERROR(INDEX('RAID Log'!$1:$1048576,$B438,MATCH("Impact/Effect of the RAID",'RAID Log'!$1:$1,0)),"")))</f>
        <v/>
      </c>
      <c r="E438" s="85" t="str">
        <f>IF($B438="","",IF(IFERROR(INDEX('RAID Log'!$1:$1048576,$B438,MATCH("Impact Area",'RAID Log'!$1:$1,0)),"")="","",IFERROR(INDEX('RAID Log'!$1:$1048576,$B438,MATCH("Impact Area",'RAID Log'!$1:$1,0)),"")))</f>
        <v/>
      </c>
      <c r="F438" s="85" t="str">
        <f>IF($B438="","",IF(IFERROR(INDEX('RAID Log'!$1:$1048576,$B438,MATCH("Impact Area",'RAID Log'!$1:$1,0)),"")="","",IFERROR(INDEX('RAID Log'!$1:$1048576,$B438,MATCH("Impact Area",'RAID Log'!$1:$1,0)),"")))</f>
        <v/>
      </c>
      <c r="G438" s="85" t="str">
        <f>IF($B438="","",IF(IFERROR(INDEX('RAID Log'!$1:$1048576,$B438,MATCH("Impact Rating",'RAID Log'!$1:$1,0)),"")="","",IFERROR(INDEX('RAID Log'!$1:$1048576,$B438,MATCH("Impact Rating",'RAID Log'!$1:$1,0)),"")))</f>
        <v/>
      </c>
      <c r="H438" s="85" t="str">
        <f>IF($B438="","",IF(IFERROR(INDEX('RAID Log'!$1:$1048576,$B438,MATCH("Initial Probability",'RAID Log'!$1:$1,0)),"")="","",IFERROR(INDEX('RAID Log'!$1:$1048576,$B438,MATCH("Initial Probability",'RAID Log'!$1:$1,0)),"")))</f>
        <v/>
      </c>
      <c r="I438" s="86" t="str">
        <f t="shared" si="18"/>
        <v/>
      </c>
      <c r="J438" s="85" t="str">
        <f t="shared" si="19"/>
        <v/>
      </c>
      <c r="K438" s="86" t="str">
        <f t="shared" si="20"/>
        <v/>
      </c>
      <c r="L438" s="85" t="str">
        <f>IF($B438="","",IF(IFERROR(INDEX('RAID Log'!$1:$1048576,$B438,MATCH("Status",'RAID Log'!$1:$1,0)),"")="","",IFERROR(INDEX('RAID Log'!$1:$1048576,$B438,MATCH("Status",'RAID Log'!$1:$1,0)),"")))</f>
        <v/>
      </c>
      <c r="M438" s="85" t="str">
        <f>IF($B438="","",IF(IFERROR(INDEX('RAID Log'!$1:$1048576,$B438,MATCH("RAID Owner",'RAID Log'!$1:$1,0)),"")="","",IFERROR(INDEX('RAID Log'!$1:$1048576,$B438,MATCH("RAID Owner",'RAID Log'!$1:$1,0)),"")))</f>
        <v/>
      </c>
      <c r="N438" s="87" t="str">
        <f>IF($B438="","",IF(IFERROR(INDEX('RAID Log'!$1:$1048576,$B438,MATCH("Date Raised",'RAID Log'!$1:$1,0)),"")="","",IFERROR(INDEX('RAID Log'!$1:$1048576,$B438,MATCH("Date Raised",'RAID Log'!$1:$1,0)),"")))</f>
        <v/>
      </c>
      <c r="O438" s="87" t="str">
        <f>IF($B438="","",IF(IFERROR(INDEX('RAID Log'!$1:$1048576,$B438,MATCH("Closed Date",'RAID Log'!$1:$1,0)),"")="","",IFERROR(INDEX('RAID Log'!$1:$1048576,$B438,MATCH("Closed Date",'RAID Log'!$1:$1,0)),"")))</f>
        <v/>
      </c>
      <c r="P438" s="85" t="str">
        <f>IF($B438="","",IF(IFERROR(INDEX('RAID Log'!$1:$1048576,$B438,MATCH("Mitigation Strategy",'RAID Log'!$1:$1,0)),"")="","",IFERROR(INDEX('RAID Log'!$1:$1048576,$B438,MATCH("Mitigation Strategy",'RAID Log'!$1:$1,0)),"")))</f>
        <v/>
      </c>
      <c r="Q438" s="88" t="str">
        <f>IF($B438="","",IF(IFERROR(INDEX('RAID Log'!$1:$1048576,$B438,MATCH("RAID Response/Plan",'RAID Log'!$1:$1,0)),"")="","",IFERROR(INDEX('RAID Log'!$1:$1048576,$B438,MATCH("RAID Response/Plan",'RAID Log'!$1:$1,0)),"")))</f>
        <v/>
      </c>
    </row>
    <row r="439" spans="1:17" ht="14.25" customHeight="1">
      <c r="A439" s="82" t="str">
        <f>IF($B439="","",IF(IFERROR(INDEX('RAID Log'!$1:$1048576,$B439,MATCH("RAID ID",'RAID Log'!$1:$1,0)),"")="","",IFERROR(INDEX('RAID Log'!$1:$1048576,$B439,MATCH("RAID ID",'RAID Log'!$1:$1,0)),"")))</f>
        <v/>
      </c>
      <c r="B439" s="83" t="str">
        <f>IFERROR(MATCH(ROW()-1,'RAID Log'!$S:$S,0),"")</f>
        <v/>
      </c>
      <c r="C439" s="84" t="str">
        <f>IF($B439="","",IF(IFERROR(INDEX('RAID Log'!$1:$1048576,$B439,MATCH("Description",'RAID Log'!$1:$1,0)),"")="","",IFERROR(INDEX('RAID Log'!$1:$1048576,$B439,MATCH("Description",'RAID Log'!$1:$1,0)),"")))</f>
        <v/>
      </c>
      <c r="D439" s="84" t="str">
        <f>IF($B439="","",IF(IFERROR(INDEX('RAID Log'!$1:$1048576,$B439,MATCH("Impact/Effect of the RAID",'RAID Log'!$1:$1,0)),"")="","",IFERROR(INDEX('RAID Log'!$1:$1048576,$B439,MATCH("Impact/Effect of the RAID",'RAID Log'!$1:$1,0)),"")))</f>
        <v/>
      </c>
      <c r="E439" s="85" t="str">
        <f>IF($B439="","",IF(IFERROR(INDEX('RAID Log'!$1:$1048576,$B439,MATCH("Impact Area",'RAID Log'!$1:$1,0)),"")="","",IFERROR(INDEX('RAID Log'!$1:$1048576,$B439,MATCH("Impact Area",'RAID Log'!$1:$1,0)),"")))</f>
        <v/>
      </c>
      <c r="F439" s="85" t="str">
        <f>IF($B439="","",IF(IFERROR(INDEX('RAID Log'!$1:$1048576,$B439,MATCH("Impact Area",'RAID Log'!$1:$1,0)),"")="","",IFERROR(INDEX('RAID Log'!$1:$1048576,$B439,MATCH("Impact Area",'RAID Log'!$1:$1,0)),"")))</f>
        <v/>
      </c>
      <c r="G439" s="85" t="str">
        <f>IF($B439="","",IF(IFERROR(INDEX('RAID Log'!$1:$1048576,$B439,MATCH("Impact Rating",'RAID Log'!$1:$1,0)),"")="","",IFERROR(INDEX('RAID Log'!$1:$1048576,$B439,MATCH("Impact Rating",'RAID Log'!$1:$1,0)),"")))</f>
        <v/>
      </c>
      <c r="H439" s="85" t="str">
        <f>IF($B439="","",IF(IFERROR(INDEX('RAID Log'!$1:$1048576,$B439,MATCH("Initial Probability",'RAID Log'!$1:$1,0)),"")="","",IFERROR(INDEX('RAID Log'!$1:$1048576,$B439,MATCH("Initial Probability",'RAID Log'!$1:$1,0)),"")))</f>
        <v/>
      </c>
      <c r="I439" s="86" t="str">
        <f t="shared" si="18"/>
        <v/>
      </c>
      <c r="J439" s="85" t="str">
        <f t="shared" si="19"/>
        <v/>
      </c>
      <c r="K439" s="86" t="str">
        <f t="shared" si="20"/>
        <v/>
      </c>
      <c r="L439" s="85" t="str">
        <f>IF($B439="","",IF(IFERROR(INDEX('RAID Log'!$1:$1048576,$B439,MATCH("Status",'RAID Log'!$1:$1,0)),"")="","",IFERROR(INDEX('RAID Log'!$1:$1048576,$B439,MATCH("Status",'RAID Log'!$1:$1,0)),"")))</f>
        <v/>
      </c>
      <c r="M439" s="85" t="str">
        <f>IF($B439="","",IF(IFERROR(INDEX('RAID Log'!$1:$1048576,$B439,MATCH("RAID Owner",'RAID Log'!$1:$1,0)),"")="","",IFERROR(INDEX('RAID Log'!$1:$1048576,$B439,MATCH("RAID Owner",'RAID Log'!$1:$1,0)),"")))</f>
        <v/>
      </c>
      <c r="N439" s="87" t="str">
        <f>IF($B439="","",IF(IFERROR(INDEX('RAID Log'!$1:$1048576,$B439,MATCH("Date Raised",'RAID Log'!$1:$1,0)),"")="","",IFERROR(INDEX('RAID Log'!$1:$1048576,$B439,MATCH("Date Raised",'RAID Log'!$1:$1,0)),"")))</f>
        <v/>
      </c>
      <c r="O439" s="87" t="str">
        <f>IF($B439="","",IF(IFERROR(INDEX('RAID Log'!$1:$1048576,$B439,MATCH("Closed Date",'RAID Log'!$1:$1,0)),"")="","",IFERROR(INDEX('RAID Log'!$1:$1048576,$B439,MATCH("Closed Date",'RAID Log'!$1:$1,0)),"")))</f>
        <v/>
      </c>
      <c r="P439" s="85" t="str">
        <f>IF($B439="","",IF(IFERROR(INDEX('RAID Log'!$1:$1048576,$B439,MATCH("Mitigation Strategy",'RAID Log'!$1:$1,0)),"")="","",IFERROR(INDEX('RAID Log'!$1:$1048576,$B439,MATCH("Mitigation Strategy",'RAID Log'!$1:$1,0)),"")))</f>
        <v/>
      </c>
      <c r="Q439" s="88" t="str">
        <f>IF($B439="","",IF(IFERROR(INDEX('RAID Log'!$1:$1048576,$B439,MATCH("RAID Response/Plan",'RAID Log'!$1:$1,0)),"")="","",IFERROR(INDEX('RAID Log'!$1:$1048576,$B439,MATCH("RAID Response/Plan",'RAID Log'!$1:$1,0)),"")))</f>
        <v/>
      </c>
    </row>
    <row r="440" spans="1:17" ht="14.25" customHeight="1">
      <c r="A440" s="82" t="str">
        <f>IF($B440="","",IF(IFERROR(INDEX('RAID Log'!$1:$1048576,$B440,MATCH("RAID ID",'RAID Log'!$1:$1,0)),"")="","",IFERROR(INDEX('RAID Log'!$1:$1048576,$B440,MATCH("RAID ID",'RAID Log'!$1:$1,0)),"")))</f>
        <v/>
      </c>
      <c r="B440" s="83" t="str">
        <f>IFERROR(MATCH(ROW()-1,'RAID Log'!$S:$S,0),"")</f>
        <v/>
      </c>
      <c r="C440" s="84" t="str">
        <f>IF($B440="","",IF(IFERROR(INDEX('RAID Log'!$1:$1048576,$B440,MATCH("Description",'RAID Log'!$1:$1,0)),"")="","",IFERROR(INDEX('RAID Log'!$1:$1048576,$B440,MATCH("Description",'RAID Log'!$1:$1,0)),"")))</f>
        <v/>
      </c>
      <c r="D440" s="84" t="str">
        <f>IF($B440="","",IF(IFERROR(INDEX('RAID Log'!$1:$1048576,$B440,MATCH("Impact/Effect of the RAID",'RAID Log'!$1:$1,0)),"")="","",IFERROR(INDEX('RAID Log'!$1:$1048576,$B440,MATCH("Impact/Effect of the RAID",'RAID Log'!$1:$1,0)),"")))</f>
        <v/>
      </c>
      <c r="E440" s="85" t="str">
        <f>IF($B440="","",IF(IFERROR(INDEX('RAID Log'!$1:$1048576,$B440,MATCH("Impact Area",'RAID Log'!$1:$1,0)),"")="","",IFERROR(INDEX('RAID Log'!$1:$1048576,$B440,MATCH("Impact Area",'RAID Log'!$1:$1,0)),"")))</f>
        <v/>
      </c>
      <c r="F440" s="85" t="str">
        <f>IF($B440="","",IF(IFERROR(INDEX('RAID Log'!$1:$1048576,$B440,MATCH("Impact Area",'RAID Log'!$1:$1,0)),"")="","",IFERROR(INDEX('RAID Log'!$1:$1048576,$B440,MATCH("Impact Area",'RAID Log'!$1:$1,0)),"")))</f>
        <v/>
      </c>
      <c r="G440" s="85" t="str">
        <f>IF($B440="","",IF(IFERROR(INDEX('RAID Log'!$1:$1048576,$B440,MATCH("Impact Rating",'RAID Log'!$1:$1,0)),"")="","",IFERROR(INDEX('RAID Log'!$1:$1048576,$B440,MATCH("Impact Rating",'RAID Log'!$1:$1,0)),"")))</f>
        <v/>
      </c>
      <c r="H440" s="85" t="str">
        <f>IF($B440="","",IF(IFERROR(INDEX('RAID Log'!$1:$1048576,$B440,MATCH("Initial Probability",'RAID Log'!$1:$1,0)),"")="","",IFERROR(INDEX('RAID Log'!$1:$1048576,$B440,MATCH("Initial Probability",'RAID Log'!$1:$1,0)),"")))</f>
        <v/>
      </c>
      <c r="I440" s="86" t="str">
        <f t="shared" si="18"/>
        <v/>
      </c>
      <c r="J440" s="85" t="str">
        <f t="shared" si="19"/>
        <v/>
      </c>
      <c r="K440" s="86" t="str">
        <f t="shared" si="20"/>
        <v/>
      </c>
      <c r="L440" s="85" t="str">
        <f>IF($B440="","",IF(IFERROR(INDEX('RAID Log'!$1:$1048576,$B440,MATCH("Status",'RAID Log'!$1:$1,0)),"")="","",IFERROR(INDEX('RAID Log'!$1:$1048576,$B440,MATCH("Status",'RAID Log'!$1:$1,0)),"")))</f>
        <v/>
      </c>
      <c r="M440" s="85" t="str">
        <f>IF($B440="","",IF(IFERROR(INDEX('RAID Log'!$1:$1048576,$B440,MATCH("RAID Owner",'RAID Log'!$1:$1,0)),"")="","",IFERROR(INDEX('RAID Log'!$1:$1048576,$B440,MATCH("RAID Owner",'RAID Log'!$1:$1,0)),"")))</f>
        <v/>
      </c>
      <c r="N440" s="87" t="str">
        <f>IF($B440="","",IF(IFERROR(INDEX('RAID Log'!$1:$1048576,$B440,MATCH("Date Raised",'RAID Log'!$1:$1,0)),"")="","",IFERROR(INDEX('RAID Log'!$1:$1048576,$B440,MATCH("Date Raised",'RAID Log'!$1:$1,0)),"")))</f>
        <v/>
      </c>
      <c r="O440" s="87" t="str">
        <f>IF($B440="","",IF(IFERROR(INDEX('RAID Log'!$1:$1048576,$B440,MATCH("Closed Date",'RAID Log'!$1:$1,0)),"")="","",IFERROR(INDEX('RAID Log'!$1:$1048576,$B440,MATCH("Closed Date",'RAID Log'!$1:$1,0)),"")))</f>
        <v/>
      </c>
      <c r="P440" s="85" t="str">
        <f>IF($B440="","",IF(IFERROR(INDEX('RAID Log'!$1:$1048576,$B440,MATCH("Mitigation Strategy",'RAID Log'!$1:$1,0)),"")="","",IFERROR(INDEX('RAID Log'!$1:$1048576,$B440,MATCH("Mitigation Strategy",'RAID Log'!$1:$1,0)),"")))</f>
        <v/>
      </c>
      <c r="Q440" s="88" t="str">
        <f>IF($B440="","",IF(IFERROR(INDEX('RAID Log'!$1:$1048576,$B440,MATCH("RAID Response/Plan",'RAID Log'!$1:$1,0)),"")="","",IFERROR(INDEX('RAID Log'!$1:$1048576,$B440,MATCH("RAID Response/Plan",'RAID Log'!$1:$1,0)),"")))</f>
        <v/>
      </c>
    </row>
    <row r="441" spans="1:17" ht="14.25" customHeight="1">
      <c r="A441" s="82" t="str">
        <f>IF($B441="","",IF(IFERROR(INDEX('RAID Log'!$1:$1048576,$B441,MATCH("RAID ID",'RAID Log'!$1:$1,0)),"")="","",IFERROR(INDEX('RAID Log'!$1:$1048576,$B441,MATCH("RAID ID",'RAID Log'!$1:$1,0)),"")))</f>
        <v/>
      </c>
      <c r="B441" s="83" t="str">
        <f>IFERROR(MATCH(ROW()-1,'RAID Log'!$S:$S,0),"")</f>
        <v/>
      </c>
      <c r="C441" s="84" t="str">
        <f>IF($B441="","",IF(IFERROR(INDEX('RAID Log'!$1:$1048576,$B441,MATCH("Description",'RAID Log'!$1:$1,0)),"")="","",IFERROR(INDEX('RAID Log'!$1:$1048576,$B441,MATCH("Description",'RAID Log'!$1:$1,0)),"")))</f>
        <v/>
      </c>
      <c r="D441" s="84" t="str">
        <f>IF($B441="","",IF(IFERROR(INDEX('RAID Log'!$1:$1048576,$B441,MATCH("Impact/Effect of the RAID",'RAID Log'!$1:$1,0)),"")="","",IFERROR(INDEX('RAID Log'!$1:$1048576,$B441,MATCH("Impact/Effect of the RAID",'RAID Log'!$1:$1,0)),"")))</f>
        <v/>
      </c>
      <c r="E441" s="85" t="str">
        <f>IF($B441="","",IF(IFERROR(INDEX('RAID Log'!$1:$1048576,$B441,MATCH("Impact Area",'RAID Log'!$1:$1,0)),"")="","",IFERROR(INDEX('RAID Log'!$1:$1048576,$B441,MATCH("Impact Area",'RAID Log'!$1:$1,0)),"")))</f>
        <v/>
      </c>
      <c r="F441" s="85" t="str">
        <f>IF($B441="","",IF(IFERROR(INDEX('RAID Log'!$1:$1048576,$B441,MATCH("Impact Area",'RAID Log'!$1:$1,0)),"")="","",IFERROR(INDEX('RAID Log'!$1:$1048576,$B441,MATCH("Impact Area",'RAID Log'!$1:$1,0)),"")))</f>
        <v/>
      </c>
      <c r="G441" s="85" t="str">
        <f>IF($B441="","",IF(IFERROR(INDEX('RAID Log'!$1:$1048576,$B441,MATCH("Impact Rating",'RAID Log'!$1:$1,0)),"")="","",IFERROR(INDEX('RAID Log'!$1:$1048576,$B441,MATCH("Impact Rating",'RAID Log'!$1:$1,0)),"")))</f>
        <v/>
      </c>
      <c r="H441" s="85" t="str">
        <f>IF($B441="","",IF(IFERROR(INDEX('RAID Log'!$1:$1048576,$B441,MATCH("Initial Probability",'RAID Log'!$1:$1,0)),"")="","",IFERROR(INDEX('RAID Log'!$1:$1048576,$B441,MATCH("Initial Probability",'RAID Log'!$1:$1,0)),"")))</f>
        <v/>
      </c>
      <c r="I441" s="86" t="str">
        <f t="shared" si="18"/>
        <v/>
      </c>
      <c r="J441" s="85" t="str">
        <f t="shared" si="19"/>
        <v/>
      </c>
      <c r="K441" s="86" t="str">
        <f t="shared" si="20"/>
        <v/>
      </c>
      <c r="L441" s="85" t="str">
        <f>IF($B441="","",IF(IFERROR(INDEX('RAID Log'!$1:$1048576,$B441,MATCH("Status",'RAID Log'!$1:$1,0)),"")="","",IFERROR(INDEX('RAID Log'!$1:$1048576,$B441,MATCH("Status",'RAID Log'!$1:$1,0)),"")))</f>
        <v/>
      </c>
      <c r="M441" s="85" t="str">
        <f>IF($B441="","",IF(IFERROR(INDEX('RAID Log'!$1:$1048576,$B441,MATCH("RAID Owner",'RAID Log'!$1:$1,0)),"")="","",IFERROR(INDEX('RAID Log'!$1:$1048576,$B441,MATCH("RAID Owner",'RAID Log'!$1:$1,0)),"")))</f>
        <v/>
      </c>
      <c r="N441" s="87" t="str">
        <f>IF($B441="","",IF(IFERROR(INDEX('RAID Log'!$1:$1048576,$B441,MATCH("Date Raised",'RAID Log'!$1:$1,0)),"")="","",IFERROR(INDEX('RAID Log'!$1:$1048576,$B441,MATCH("Date Raised",'RAID Log'!$1:$1,0)),"")))</f>
        <v/>
      </c>
      <c r="O441" s="87" t="str">
        <f>IF($B441="","",IF(IFERROR(INDEX('RAID Log'!$1:$1048576,$B441,MATCH("Closed Date",'RAID Log'!$1:$1,0)),"")="","",IFERROR(INDEX('RAID Log'!$1:$1048576,$B441,MATCH("Closed Date",'RAID Log'!$1:$1,0)),"")))</f>
        <v/>
      </c>
      <c r="P441" s="85" t="str">
        <f>IF($B441="","",IF(IFERROR(INDEX('RAID Log'!$1:$1048576,$B441,MATCH("Mitigation Strategy",'RAID Log'!$1:$1,0)),"")="","",IFERROR(INDEX('RAID Log'!$1:$1048576,$B441,MATCH("Mitigation Strategy",'RAID Log'!$1:$1,0)),"")))</f>
        <v/>
      </c>
      <c r="Q441" s="88" t="str">
        <f>IF($B441="","",IF(IFERROR(INDEX('RAID Log'!$1:$1048576,$B441,MATCH("RAID Response/Plan",'RAID Log'!$1:$1,0)),"")="","",IFERROR(INDEX('RAID Log'!$1:$1048576,$B441,MATCH("RAID Response/Plan",'RAID Log'!$1:$1,0)),"")))</f>
        <v/>
      </c>
    </row>
    <row r="442" spans="1:17" ht="14.25" customHeight="1">
      <c r="A442" s="82" t="str">
        <f>IF($B442="","",IF(IFERROR(INDEX('RAID Log'!$1:$1048576,$B442,MATCH("RAID ID",'RAID Log'!$1:$1,0)),"")="","",IFERROR(INDEX('RAID Log'!$1:$1048576,$B442,MATCH("RAID ID",'RAID Log'!$1:$1,0)),"")))</f>
        <v/>
      </c>
      <c r="B442" s="83" t="str">
        <f>IFERROR(MATCH(ROW()-1,'RAID Log'!$S:$S,0),"")</f>
        <v/>
      </c>
      <c r="C442" s="84" t="str">
        <f>IF($B442="","",IF(IFERROR(INDEX('RAID Log'!$1:$1048576,$B442,MATCH("Description",'RAID Log'!$1:$1,0)),"")="","",IFERROR(INDEX('RAID Log'!$1:$1048576,$B442,MATCH("Description",'RAID Log'!$1:$1,0)),"")))</f>
        <v/>
      </c>
      <c r="D442" s="84" t="str">
        <f>IF($B442="","",IF(IFERROR(INDEX('RAID Log'!$1:$1048576,$B442,MATCH("Impact/Effect of the RAID",'RAID Log'!$1:$1,0)),"")="","",IFERROR(INDEX('RAID Log'!$1:$1048576,$B442,MATCH("Impact/Effect of the RAID",'RAID Log'!$1:$1,0)),"")))</f>
        <v/>
      </c>
      <c r="E442" s="85" t="str">
        <f>IF($B442="","",IF(IFERROR(INDEX('RAID Log'!$1:$1048576,$B442,MATCH("Impact Area",'RAID Log'!$1:$1,0)),"")="","",IFERROR(INDEX('RAID Log'!$1:$1048576,$B442,MATCH("Impact Area",'RAID Log'!$1:$1,0)),"")))</f>
        <v/>
      </c>
      <c r="F442" s="85" t="str">
        <f>IF($B442="","",IF(IFERROR(INDEX('RAID Log'!$1:$1048576,$B442,MATCH("Impact Area",'RAID Log'!$1:$1,0)),"")="","",IFERROR(INDEX('RAID Log'!$1:$1048576,$B442,MATCH("Impact Area",'RAID Log'!$1:$1,0)),"")))</f>
        <v/>
      </c>
      <c r="G442" s="85" t="str">
        <f>IF($B442="","",IF(IFERROR(INDEX('RAID Log'!$1:$1048576,$B442,MATCH("Impact Rating",'RAID Log'!$1:$1,0)),"")="","",IFERROR(INDEX('RAID Log'!$1:$1048576,$B442,MATCH("Impact Rating",'RAID Log'!$1:$1,0)),"")))</f>
        <v/>
      </c>
      <c r="H442" s="85" t="str">
        <f>IF($B442="","",IF(IFERROR(INDEX('RAID Log'!$1:$1048576,$B442,MATCH("Initial Probability",'RAID Log'!$1:$1,0)),"")="","",IFERROR(INDEX('RAID Log'!$1:$1048576,$B442,MATCH("Initial Probability",'RAID Log'!$1:$1,0)),"")))</f>
        <v/>
      </c>
      <c r="I442" s="86" t="str">
        <f t="shared" si="18"/>
        <v/>
      </c>
      <c r="J442" s="85" t="str">
        <f t="shared" si="19"/>
        <v/>
      </c>
      <c r="K442" s="86" t="str">
        <f t="shared" si="20"/>
        <v/>
      </c>
      <c r="L442" s="85" t="str">
        <f>IF($B442="","",IF(IFERROR(INDEX('RAID Log'!$1:$1048576,$B442,MATCH("Status",'RAID Log'!$1:$1,0)),"")="","",IFERROR(INDEX('RAID Log'!$1:$1048576,$B442,MATCH("Status",'RAID Log'!$1:$1,0)),"")))</f>
        <v/>
      </c>
      <c r="M442" s="85" t="str">
        <f>IF($B442="","",IF(IFERROR(INDEX('RAID Log'!$1:$1048576,$B442,MATCH("RAID Owner",'RAID Log'!$1:$1,0)),"")="","",IFERROR(INDEX('RAID Log'!$1:$1048576,$B442,MATCH("RAID Owner",'RAID Log'!$1:$1,0)),"")))</f>
        <v/>
      </c>
      <c r="N442" s="87" t="str">
        <f>IF($B442="","",IF(IFERROR(INDEX('RAID Log'!$1:$1048576,$B442,MATCH("Date Raised",'RAID Log'!$1:$1,0)),"")="","",IFERROR(INDEX('RAID Log'!$1:$1048576,$B442,MATCH("Date Raised",'RAID Log'!$1:$1,0)),"")))</f>
        <v/>
      </c>
      <c r="O442" s="87" t="str">
        <f>IF($B442="","",IF(IFERROR(INDEX('RAID Log'!$1:$1048576,$B442,MATCH("Closed Date",'RAID Log'!$1:$1,0)),"")="","",IFERROR(INDEX('RAID Log'!$1:$1048576,$B442,MATCH("Closed Date",'RAID Log'!$1:$1,0)),"")))</f>
        <v/>
      </c>
      <c r="P442" s="85" t="str">
        <f>IF($B442="","",IF(IFERROR(INDEX('RAID Log'!$1:$1048576,$B442,MATCH("Mitigation Strategy",'RAID Log'!$1:$1,0)),"")="","",IFERROR(INDEX('RAID Log'!$1:$1048576,$B442,MATCH("Mitigation Strategy",'RAID Log'!$1:$1,0)),"")))</f>
        <v/>
      </c>
      <c r="Q442" s="88" t="str">
        <f>IF($B442="","",IF(IFERROR(INDEX('RAID Log'!$1:$1048576,$B442,MATCH("RAID Response/Plan",'RAID Log'!$1:$1,0)),"")="","",IFERROR(INDEX('RAID Log'!$1:$1048576,$B442,MATCH("RAID Response/Plan",'RAID Log'!$1:$1,0)),"")))</f>
        <v/>
      </c>
    </row>
    <row r="443" spans="1:17" ht="14.25" customHeight="1">
      <c r="A443" s="82" t="str">
        <f>IF($B443="","",IF(IFERROR(INDEX('RAID Log'!$1:$1048576,$B443,MATCH("RAID ID",'RAID Log'!$1:$1,0)),"")="","",IFERROR(INDEX('RAID Log'!$1:$1048576,$B443,MATCH("RAID ID",'RAID Log'!$1:$1,0)),"")))</f>
        <v/>
      </c>
      <c r="B443" s="83" t="str">
        <f>IFERROR(MATCH(ROW()-1,'RAID Log'!$S:$S,0),"")</f>
        <v/>
      </c>
      <c r="C443" s="84" t="str">
        <f>IF($B443="","",IF(IFERROR(INDEX('RAID Log'!$1:$1048576,$B443,MATCH("Description",'RAID Log'!$1:$1,0)),"")="","",IFERROR(INDEX('RAID Log'!$1:$1048576,$B443,MATCH("Description",'RAID Log'!$1:$1,0)),"")))</f>
        <v/>
      </c>
      <c r="D443" s="84" t="str">
        <f>IF($B443="","",IF(IFERROR(INDEX('RAID Log'!$1:$1048576,$B443,MATCH("Impact/Effect of the RAID",'RAID Log'!$1:$1,0)),"")="","",IFERROR(INDEX('RAID Log'!$1:$1048576,$B443,MATCH("Impact/Effect of the RAID",'RAID Log'!$1:$1,0)),"")))</f>
        <v/>
      </c>
      <c r="E443" s="85" t="str">
        <f>IF($B443="","",IF(IFERROR(INDEX('RAID Log'!$1:$1048576,$B443,MATCH("Impact Area",'RAID Log'!$1:$1,0)),"")="","",IFERROR(INDEX('RAID Log'!$1:$1048576,$B443,MATCH("Impact Area",'RAID Log'!$1:$1,0)),"")))</f>
        <v/>
      </c>
      <c r="F443" s="85" t="str">
        <f>IF($B443="","",IF(IFERROR(INDEX('RAID Log'!$1:$1048576,$B443,MATCH("Impact Area",'RAID Log'!$1:$1,0)),"")="","",IFERROR(INDEX('RAID Log'!$1:$1048576,$B443,MATCH("Impact Area",'RAID Log'!$1:$1,0)),"")))</f>
        <v/>
      </c>
      <c r="G443" s="85" t="str">
        <f>IF($B443="","",IF(IFERROR(INDEX('RAID Log'!$1:$1048576,$B443,MATCH("Impact Rating",'RAID Log'!$1:$1,0)),"")="","",IFERROR(INDEX('RAID Log'!$1:$1048576,$B443,MATCH("Impact Rating",'RAID Log'!$1:$1,0)),"")))</f>
        <v/>
      </c>
      <c r="H443" s="85" t="str">
        <f>IF($B443="","",IF(IFERROR(INDEX('RAID Log'!$1:$1048576,$B443,MATCH("Initial Probability",'RAID Log'!$1:$1,0)),"")="","",IFERROR(INDEX('RAID Log'!$1:$1048576,$B443,MATCH("Initial Probability",'RAID Log'!$1:$1,0)),"")))</f>
        <v/>
      </c>
      <c r="I443" s="86" t="str">
        <f t="shared" si="18"/>
        <v/>
      </c>
      <c r="J443" s="85" t="str">
        <f t="shared" si="19"/>
        <v/>
      </c>
      <c r="K443" s="86" t="str">
        <f t="shared" si="20"/>
        <v/>
      </c>
      <c r="L443" s="85" t="str">
        <f>IF($B443="","",IF(IFERROR(INDEX('RAID Log'!$1:$1048576,$B443,MATCH("Status",'RAID Log'!$1:$1,0)),"")="","",IFERROR(INDEX('RAID Log'!$1:$1048576,$B443,MATCH("Status",'RAID Log'!$1:$1,0)),"")))</f>
        <v/>
      </c>
      <c r="M443" s="85" t="str">
        <f>IF($B443="","",IF(IFERROR(INDEX('RAID Log'!$1:$1048576,$B443,MATCH("RAID Owner",'RAID Log'!$1:$1,0)),"")="","",IFERROR(INDEX('RAID Log'!$1:$1048576,$B443,MATCH("RAID Owner",'RAID Log'!$1:$1,0)),"")))</f>
        <v/>
      </c>
      <c r="N443" s="87" t="str">
        <f>IF($B443="","",IF(IFERROR(INDEX('RAID Log'!$1:$1048576,$B443,MATCH("Date Raised",'RAID Log'!$1:$1,0)),"")="","",IFERROR(INDEX('RAID Log'!$1:$1048576,$B443,MATCH("Date Raised",'RAID Log'!$1:$1,0)),"")))</f>
        <v/>
      </c>
      <c r="O443" s="87" t="str">
        <f>IF($B443="","",IF(IFERROR(INDEX('RAID Log'!$1:$1048576,$B443,MATCH("Closed Date",'RAID Log'!$1:$1,0)),"")="","",IFERROR(INDEX('RAID Log'!$1:$1048576,$B443,MATCH("Closed Date",'RAID Log'!$1:$1,0)),"")))</f>
        <v/>
      </c>
      <c r="P443" s="85" t="str">
        <f>IF($B443="","",IF(IFERROR(INDEX('RAID Log'!$1:$1048576,$B443,MATCH("Mitigation Strategy",'RAID Log'!$1:$1,0)),"")="","",IFERROR(INDEX('RAID Log'!$1:$1048576,$B443,MATCH("Mitigation Strategy",'RAID Log'!$1:$1,0)),"")))</f>
        <v/>
      </c>
      <c r="Q443" s="88" t="str">
        <f>IF($B443="","",IF(IFERROR(INDEX('RAID Log'!$1:$1048576,$B443,MATCH("RAID Response/Plan",'RAID Log'!$1:$1,0)),"")="","",IFERROR(INDEX('RAID Log'!$1:$1048576,$B443,MATCH("RAID Response/Plan",'RAID Log'!$1:$1,0)),"")))</f>
        <v/>
      </c>
    </row>
    <row r="444" spans="1:17" ht="14.25" customHeight="1">
      <c r="A444" s="82" t="str">
        <f>IF($B444="","",IF(IFERROR(INDEX('RAID Log'!$1:$1048576,$B444,MATCH("RAID ID",'RAID Log'!$1:$1,0)),"")="","",IFERROR(INDEX('RAID Log'!$1:$1048576,$B444,MATCH("RAID ID",'RAID Log'!$1:$1,0)),"")))</f>
        <v/>
      </c>
      <c r="B444" s="83" t="str">
        <f>IFERROR(MATCH(ROW()-1,'RAID Log'!$S:$S,0),"")</f>
        <v/>
      </c>
      <c r="C444" s="84" t="str">
        <f>IF($B444="","",IF(IFERROR(INDEX('RAID Log'!$1:$1048576,$B444,MATCH("Description",'RAID Log'!$1:$1,0)),"")="","",IFERROR(INDEX('RAID Log'!$1:$1048576,$B444,MATCH("Description",'RAID Log'!$1:$1,0)),"")))</f>
        <v/>
      </c>
      <c r="D444" s="84" t="str">
        <f>IF($B444="","",IF(IFERROR(INDEX('RAID Log'!$1:$1048576,$B444,MATCH("Impact/Effect of the RAID",'RAID Log'!$1:$1,0)),"")="","",IFERROR(INDEX('RAID Log'!$1:$1048576,$B444,MATCH("Impact/Effect of the RAID",'RAID Log'!$1:$1,0)),"")))</f>
        <v/>
      </c>
      <c r="E444" s="85" t="str">
        <f>IF($B444="","",IF(IFERROR(INDEX('RAID Log'!$1:$1048576,$B444,MATCH("Impact Area",'RAID Log'!$1:$1,0)),"")="","",IFERROR(INDEX('RAID Log'!$1:$1048576,$B444,MATCH("Impact Area",'RAID Log'!$1:$1,0)),"")))</f>
        <v/>
      </c>
      <c r="F444" s="85" t="str">
        <f>IF($B444="","",IF(IFERROR(INDEX('RAID Log'!$1:$1048576,$B444,MATCH("Impact Area",'RAID Log'!$1:$1,0)),"")="","",IFERROR(INDEX('RAID Log'!$1:$1048576,$B444,MATCH("Impact Area",'RAID Log'!$1:$1,0)),"")))</f>
        <v/>
      </c>
      <c r="G444" s="85" t="str">
        <f>IF($B444="","",IF(IFERROR(INDEX('RAID Log'!$1:$1048576,$B444,MATCH("Impact Rating",'RAID Log'!$1:$1,0)),"")="","",IFERROR(INDEX('RAID Log'!$1:$1048576,$B444,MATCH("Impact Rating",'RAID Log'!$1:$1,0)),"")))</f>
        <v/>
      </c>
      <c r="H444" s="85" t="str">
        <f>IF($B444="","",IF(IFERROR(INDEX('RAID Log'!$1:$1048576,$B444,MATCH("Initial Probability",'RAID Log'!$1:$1,0)),"")="","",IFERROR(INDEX('RAID Log'!$1:$1048576,$B444,MATCH("Initial Probability",'RAID Log'!$1:$1,0)),"")))</f>
        <v/>
      </c>
      <c r="I444" s="86" t="str">
        <f t="shared" si="18"/>
        <v/>
      </c>
      <c r="J444" s="85" t="str">
        <f t="shared" si="19"/>
        <v/>
      </c>
      <c r="K444" s="86" t="str">
        <f t="shared" si="20"/>
        <v/>
      </c>
      <c r="L444" s="85" t="str">
        <f>IF($B444="","",IF(IFERROR(INDEX('RAID Log'!$1:$1048576,$B444,MATCH("Status",'RAID Log'!$1:$1,0)),"")="","",IFERROR(INDEX('RAID Log'!$1:$1048576,$B444,MATCH("Status",'RAID Log'!$1:$1,0)),"")))</f>
        <v/>
      </c>
      <c r="M444" s="85" t="str">
        <f>IF($B444="","",IF(IFERROR(INDEX('RAID Log'!$1:$1048576,$B444,MATCH("RAID Owner",'RAID Log'!$1:$1,0)),"")="","",IFERROR(INDEX('RAID Log'!$1:$1048576,$B444,MATCH("RAID Owner",'RAID Log'!$1:$1,0)),"")))</f>
        <v/>
      </c>
      <c r="N444" s="87" t="str">
        <f>IF($B444="","",IF(IFERROR(INDEX('RAID Log'!$1:$1048576,$B444,MATCH("Date Raised",'RAID Log'!$1:$1,0)),"")="","",IFERROR(INDEX('RAID Log'!$1:$1048576,$B444,MATCH("Date Raised",'RAID Log'!$1:$1,0)),"")))</f>
        <v/>
      </c>
      <c r="O444" s="87" t="str">
        <f>IF($B444="","",IF(IFERROR(INDEX('RAID Log'!$1:$1048576,$B444,MATCH("Closed Date",'RAID Log'!$1:$1,0)),"")="","",IFERROR(INDEX('RAID Log'!$1:$1048576,$B444,MATCH("Closed Date",'RAID Log'!$1:$1,0)),"")))</f>
        <v/>
      </c>
      <c r="P444" s="85" t="str">
        <f>IF($B444="","",IF(IFERROR(INDEX('RAID Log'!$1:$1048576,$B444,MATCH("Mitigation Strategy",'RAID Log'!$1:$1,0)),"")="","",IFERROR(INDEX('RAID Log'!$1:$1048576,$B444,MATCH("Mitigation Strategy",'RAID Log'!$1:$1,0)),"")))</f>
        <v/>
      </c>
      <c r="Q444" s="88" t="str">
        <f>IF($B444="","",IF(IFERROR(INDEX('RAID Log'!$1:$1048576,$B444,MATCH("RAID Response/Plan",'RAID Log'!$1:$1,0)),"")="","",IFERROR(INDEX('RAID Log'!$1:$1048576,$B444,MATCH("RAID Response/Plan",'RAID Log'!$1:$1,0)),"")))</f>
        <v/>
      </c>
    </row>
    <row r="445" spans="1:17" ht="14.25" customHeight="1">
      <c r="A445" s="82" t="str">
        <f>IF($B445="","",IF(IFERROR(INDEX('RAID Log'!$1:$1048576,$B445,MATCH("RAID ID",'RAID Log'!$1:$1,0)),"")="","",IFERROR(INDEX('RAID Log'!$1:$1048576,$B445,MATCH("RAID ID",'RAID Log'!$1:$1,0)),"")))</f>
        <v/>
      </c>
      <c r="B445" s="83" t="str">
        <f>IFERROR(MATCH(ROW()-1,'RAID Log'!$S:$S,0),"")</f>
        <v/>
      </c>
      <c r="C445" s="84" t="str">
        <f>IF($B445="","",IF(IFERROR(INDEX('RAID Log'!$1:$1048576,$B445,MATCH("Description",'RAID Log'!$1:$1,0)),"")="","",IFERROR(INDEX('RAID Log'!$1:$1048576,$B445,MATCH("Description",'RAID Log'!$1:$1,0)),"")))</f>
        <v/>
      </c>
      <c r="D445" s="84" t="str">
        <f>IF($B445="","",IF(IFERROR(INDEX('RAID Log'!$1:$1048576,$B445,MATCH("Impact/Effect of the RAID",'RAID Log'!$1:$1,0)),"")="","",IFERROR(INDEX('RAID Log'!$1:$1048576,$B445,MATCH("Impact/Effect of the RAID",'RAID Log'!$1:$1,0)),"")))</f>
        <v/>
      </c>
      <c r="E445" s="85" t="str">
        <f>IF($B445="","",IF(IFERROR(INDEX('RAID Log'!$1:$1048576,$B445,MATCH("Impact Area",'RAID Log'!$1:$1,0)),"")="","",IFERROR(INDEX('RAID Log'!$1:$1048576,$B445,MATCH("Impact Area",'RAID Log'!$1:$1,0)),"")))</f>
        <v/>
      </c>
      <c r="F445" s="85" t="str">
        <f>IF($B445="","",IF(IFERROR(INDEX('RAID Log'!$1:$1048576,$B445,MATCH("Impact Area",'RAID Log'!$1:$1,0)),"")="","",IFERROR(INDEX('RAID Log'!$1:$1048576,$B445,MATCH("Impact Area",'RAID Log'!$1:$1,0)),"")))</f>
        <v/>
      </c>
      <c r="G445" s="85" t="str">
        <f>IF($B445="","",IF(IFERROR(INDEX('RAID Log'!$1:$1048576,$B445,MATCH("Impact Rating",'RAID Log'!$1:$1,0)),"")="","",IFERROR(INDEX('RAID Log'!$1:$1048576,$B445,MATCH("Impact Rating",'RAID Log'!$1:$1,0)),"")))</f>
        <v/>
      </c>
      <c r="H445" s="85" t="str">
        <f>IF($B445="","",IF(IFERROR(INDEX('RAID Log'!$1:$1048576,$B445,MATCH("Initial Probability",'RAID Log'!$1:$1,0)),"")="","",IFERROR(INDEX('RAID Log'!$1:$1048576,$B445,MATCH("Initial Probability",'RAID Log'!$1:$1,0)),"")))</f>
        <v/>
      </c>
      <c r="I445" s="86" t="str">
        <f t="shared" si="18"/>
        <v/>
      </c>
      <c r="J445" s="85" t="str">
        <f t="shared" si="19"/>
        <v/>
      </c>
      <c r="K445" s="86" t="str">
        <f t="shared" si="20"/>
        <v/>
      </c>
      <c r="L445" s="85" t="str">
        <f>IF($B445="","",IF(IFERROR(INDEX('RAID Log'!$1:$1048576,$B445,MATCH("Status",'RAID Log'!$1:$1,0)),"")="","",IFERROR(INDEX('RAID Log'!$1:$1048576,$B445,MATCH("Status",'RAID Log'!$1:$1,0)),"")))</f>
        <v/>
      </c>
      <c r="M445" s="85" t="str">
        <f>IF($B445="","",IF(IFERROR(INDEX('RAID Log'!$1:$1048576,$B445,MATCH("RAID Owner",'RAID Log'!$1:$1,0)),"")="","",IFERROR(INDEX('RAID Log'!$1:$1048576,$B445,MATCH("RAID Owner",'RAID Log'!$1:$1,0)),"")))</f>
        <v/>
      </c>
      <c r="N445" s="87" t="str">
        <f>IF($B445="","",IF(IFERROR(INDEX('RAID Log'!$1:$1048576,$B445,MATCH("Date Raised",'RAID Log'!$1:$1,0)),"")="","",IFERROR(INDEX('RAID Log'!$1:$1048576,$B445,MATCH("Date Raised",'RAID Log'!$1:$1,0)),"")))</f>
        <v/>
      </c>
      <c r="O445" s="87" t="str">
        <f>IF($B445="","",IF(IFERROR(INDEX('RAID Log'!$1:$1048576,$B445,MATCH("Closed Date",'RAID Log'!$1:$1,0)),"")="","",IFERROR(INDEX('RAID Log'!$1:$1048576,$B445,MATCH("Closed Date",'RAID Log'!$1:$1,0)),"")))</f>
        <v/>
      </c>
      <c r="P445" s="85" t="str">
        <f>IF($B445="","",IF(IFERROR(INDEX('RAID Log'!$1:$1048576,$B445,MATCH("Mitigation Strategy",'RAID Log'!$1:$1,0)),"")="","",IFERROR(INDEX('RAID Log'!$1:$1048576,$B445,MATCH("Mitigation Strategy",'RAID Log'!$1:$1,0)),"")))</f>
        <v/>
      </c>
      <c r="Q445" s="88" t="str">
        <f>IF($B445="","",IF(IFERROR(INDEX('RAID Log'!$1:$1048576,$B445,MATCH("RAID Response/Plan",'RAID Log'!$1:$1,0)),"")="","",IFERROR(INDEX('RAID Log'!$1:$1048576,$B445,MATCH("RAID Response/Plan",'RAID Log'!$1:$1,0)),"")))</f>
        <v/>
      </c>
    </row>
    <row r="446" spans="1:17" ht="14.25" customHeight="1">
      <c r="A446" s="82" t="str">
        <f>IF($B446="","",IF(IFERROR(INDEX('RAID Log'!$1:$1048576,$B446,MATCH("RAID ID",'RAID Log'!$1:$1,0)),"")="","",IFERROR(INDEX('RAID Log'!$1:$1048576,$B446,MATCH("RAID ID",'RAID Log'!$1:$1,0)),"")))</f>
        <v/>
      </c>
      <c r="B446" s="83" t="str">
        <f>IFERROR(MATCH(ROW()-1,'RAID Log'!$S:$S,0),"")</f>
        <v/>
      </c>
      <c r="C446" s="84" t="str">
        <f>IF($B446="","",IF(IFERROR(INDEX('RAID Log'!$1:$1048576,$B446,MATCH("Description",'RAID Log'!$1:$1,0)),"")="","",IFERROR(INDEX('RAID Log'!$1:$1048576,$B446,MATCH("Description",'RAID Log'!$1:$1,0)),"")))</f>
        <v/>
      </c>
      <c r="D446" s="84" t="str">
        <f>IF($B446="","",IF(IFERROR(INDEX('RAID Log'!$1:$1048576,$B446,MATCH("Impact/Effect of the RAID",'RAID Log'!$1:$1,0)),"")="","",IFERROR(INDEX('RAID Log'!$1:$1048576,$B446,MATCH("Impact/Effect of the RAID",'RAID Log'!$1:$1,0)),"")))</f>
        <v/>
      </c>
      <c r="E446" s="85" t="str">
        <f>IF($B446="","",IF(IFERROR(INDEX('RAID Log'!$1:$1048576,$B446,MATCH("Impact Area",'RAID Log'!$1:$1,0)),"")="","",IFERROR(INDEX('RAID Log'!$1:$1048576,$B446,MATCH("Impact Area",'RAID Log'!$1:$1,0)),"")))</f>
        <v/>
      </c>
      <c r="F446" s="85" t="str">
        <f>IF($B446="","",IF(IFERROR(INDEX('RAID Log'!$1:$1048576,$B446,MATCH("Impact Area",'RAID Log'!$1:$1,0)),"")="","",IFERROR(INDEX('RAID Log'!$1:$1048576,$B446,MATCH("Impact Area",'RAID Log'!$1:$1,0)),"")))</f>
        <v/>
      </c>
      <c r="G446" s="85" t="str">
        <f>IF($B446="","",IF(IFERROR(INDEX('RAID Log'!$1:$1048576,$B446,MATCH("Impact Rating",'RAID Log'!$1:$1,0)),"")="","",IFERROR(INDEX('RAID Log'!$1:$1048576,$B446,MATCH("Impact Rating",'RAID Log'!$1:$1,0)),"")))</f>
        <v/>
      </c>
      <c r="H446" s="85" t="str">
        <f>IF($B446="","",IF(IFERROR(INDEX('RAID Log'!$1:$1048576,$B446,MATCH("Initial Probability",'RAID Log'!$1:$1,0)),"")="","",IFERROR(INDEX('RAID Log'!$1:$1048576,$B446,MATCH("Initial Probability",'RAID Log'!$1:$1,0)),"")))</f>
        <v/>
      </c>
      <c r="I446" s="86" t="str">
        <f t="shared" si="18"/>
        <v/>
      </c>
      <c r="J446" s="85" t="str">
        <f t="shared" si="19"/>
        <v/>
      </c>
      <c r="K446" s="86" t="str">
        <f t="shared" si="20"/>
        <v/>
      </c>
      <c r="L446" s="85" t="str">
        <f>IF($B446="","",IF(IFERROR(INDEX('RAID Log'!$1:$1048576,$B446,MATCH("Status",'RAID Log'!$1:$1,0)),"")="","",IFERROR(INDEX('RAID Log'!$1:$1048576,$B446,MATCH("Status",'RAID Log'!$1:$1,0)),"")))</f>
        <v/>
      </c>
      <c r="M446" s="85" t="str">
        <f>IF($B446="","",IF(IFERROR(INDEX('RAID Log'!$1:$1048576,$B446,MATCH("RAID Owner",'RAID Log'!$1:$1,0)),"")="","",IFERROR(INDEX('RAID Log'!$1:$1048576,$B446,MATCH("RAID Owner",'RAID Log'!$1:$1,0)),"")))</f>
        <v/>
      </c>
      <c r="N446" s="87" t="str">
        <f>IF($B446="","",IF(IFERROR(INDEX('RAID Log'!$1:$1048576,$B446,MATCH("Date Raised",'RAID Log'!$1:$1,0)),"")="","",IFERROR(INDEX('RAID Log'!$1:$1048576,$B446,MATCH("Date Raised",'RAID Log'!$1:$1,0)),"")))</f>
        <v/>
      </c>
      <c r="O446" s="87" t="str">
        <f>IF($B446="","",IF(IFERROR(INDEX('RAID Log'!$1:$1048576,$B446,MATCH("Closed Date",'RAID Log'!$1:$1,0)),"")="","",IFERROR(INDEX('RAID Log'!$1:$1048576,$B446,MATCH("Closed Date",'RAID Log'!$1:$1,0)),"")))</f>
        <v/>
      </c>
      <c r="P446" s="85" t="str">
        <f>IF($B446="","",IF(IFERROR(INDEX('RAID Log'!$1:$1048576,$B446,MATCH("Mitigation Strategy",'RAID Log'!$1:$1,0)),"")="","",IFERROR(INDEX('RAID Log'!$1:$1048576,$B446,MATCH("Mitigation Strategy",'RAID Log'!$1:$1,0)),"")))</f>
        <v/>
      </c>
      <c r="Q446" s="88" t="str">
        <f>IF($B446="","",IF(IFERROR(INDEX('RAID Log'!$1:$1048576,$B446,MATCH("RAID Response/Plan",'RAID Log'!$1:$1,0)),"")="","",IFERROR(INDEX('RAID Log'!$1:$1048576,$B446,MATCH("RAID Response/Plan",'RAID Log'!$1:$1,0)),"")))</f>
        <v/>
      </c>
    </row>
    <row r="447" spans="1:17" ht="14.25" customHeight="1">
      <c r="A447" s="82" t="str">
        <f>IF($B447="","",IF(IFERROR(INDEX('RAID Log'!$1:$1048576,$B447,MATCH("RAID ID",'RAID Log'!$1:$1,0)),"")="","",IFERROR(INDEX('RAID Log'!$1:$1048576,$B447,MATCH("RAID ID",'RAID Log'!$1:$1,0)),"")))</f>
        <v/>
      </c>
      <c r="B447" s="83" t="str">
        <f>IFERROR(MATCH(ROW()-1,'RAID Log'!$S:$S,0),"")</f>
        <v/>
      </c>
      <c r="C447" s="84" t="str">
        <f>IF($B447="","",IF(IFERROR(INDEX('RAID Log'!$1:$1048576,$B447,MATCH("Description",'RAID Log'!$1:$1,0)),"")="","",IFERROR(INDEX('RAID Log'!$1:$1048576,$B447,MATCH("Description",'RAID Log'!$1:$1,0)),"")))</f>
        <v/>
      </c>
      <c r="D447" s="84" t="str">
        <f>IF($B447="","",IF(IFERROR(INDEX('RAID Log'!$1:$1048576,$B447,MATCH("Impact/Effect of the RAID",'RAID Log'!$1:$1,0)),"")="","",IFERROR(INDEX('RAID Log'!$1:$1048576,$B447,MATCH("Impact/Effect of the RAID",'RAID Log'!$1:$1,0)),"")))</f>
        <v/>
      </c>
      <c r="E447" s="85" t="str">
        <f>IF($B447="","",IF(IFERROR(INDEX('RAID Log'!$1:$1048576,$B447,MATCH("Impact Area",'RAID Log'!$1:$1,0)),"")="","",IFERROR(INDEX('RAID Log'!$1:$1048576,$B447,MATCH("Impact Area",'RAID Log'!$1:$1,0)),"")))</f>
        <v/>
      </c>
      <c r="F447" s="85" t="str">
        <f>IF($B447="","",IF(IFERROR(INDEX('RAID Log'!$1:$1048576,$B447,MATCH("Impact Area",'RAID Log'!$1:$1,0)),"")="","",IFERROR(INDEX('RAID Log'!$1:$1048576,$B447,MATCH("Impact Area",'RAID Log'!$1:$1,0)),"")))</f>
        <v/>
      </c>
      <c r="G447" s="85" t="str">
        <f>IF($B447="","",IF(IFERROR(INDEX('RAID Log'!$1:$1048576,$B447,MATCH("Impact Rating",'RAID Log'!$1:$1,0)),"")="","",IFERROR(INDEX('RAID Log'!$1:$1048576,$B447,MATCH("Impact Rating",'RAID Log'!$1:$1,0)),"")))</f>
        <v/>
      </c>
      <c r="H447" s="85" t="str">
        <f>IF($B447="","",IF(IFERROR(INDEX('RAID Log'!$1:$1048576,$B447,MATCH("Initial Probability",'RAID Log'!$1:$1,0)),"")="","",IFERROR(INDEX('RAID Log'!$1:$1048576,$B447,MATCH("Initial Probability",'RAID Log'!$1:$1,0)),"")))</f>
        <v/>
      </c>
      <c r="I447" s="86" t="str">
        <f t="shared" si="18"/>
        <v/>
      </c>
      <c r="J447" s="85" t="str">
        <f t="shared" si="19"/>
        <v/>
      </c>
      <c r="K447" s="86" t="str">
        <f t="shared" si="20"/>
        <v/>
      </c>
      <c r="L447" s="85" t="str">
        <f>IF($B447="","",IF(IFERROR(INDEX('RAID Log'!$1:$1048576,$B447,MATCH("Status",'RAID Log'!$1:$1,0)),"")="","",IFERROR(INDEX('RAID Log'!$1:$1048576,$B447,MATCH("Status",'RAID Log'!$1:$1,0)),"")))</f>
        <v/>
      </c>
      <c r="M447" s="85" t="str">
        <f>IF($B447="","",IF(IFERROR(INDEX('RAID Log'!$1:$1048576,$B447,MATCH("RAID Owner",'RAID Log'!$1:$1,0)),"")="","",IFERROR(INDEX('RAID Log'!$1:$1048576,$B447,MATCH("RAID Owner",'RAID Log'!$1:$1,0)),"")))</f>
        <v/>
      </c>
      <c r="N447" s="87" t="str">
        <f>IF($B447="","",IF(IFERROR(INDEX('RAID Log'!$1:$1048576,$B447,MATCH("Date Raised",'RAID Log'!$1:$1,0)),"")="","",IFERROR(INDEX('RAID Log'!$1:$1048576,$B447,MATCH("Date Raised",'RAID Log'!$1:$1,0)),"")))</f>
        <v/>
      </c>
      <c r="O447" s="87" t="str">
        <f>IF($B447="","",IF(IFERROR(INDEX('RAID Log'!$1:$1048576,$B447,MATCH("Closed Date",'RAID Log'!$1:$1,0)),"")="","",IFERROR(INDEX('RAID Log'!$1:$1048576,$B447,MATCH("Closed Date",'RAID Log'!$1:$1,0)),"")))</f>
        <v/>
      </c>
      <c r="P447" s="85" t="str">
        <f>IF($B447="","",IF(IFERROR(INDEX('RAID Log'!$1:$1048576,$B447,MATCH("Mitigation Strategy",'RAID Log'!$1:$1,0)),"")="","",IFERROR(INDEX('RAID Log'!$1:$1048576,$B447,MATCH("Mitigation Strategy",'RAID Log'!$1:$1,0)),"")))</f>
        <v/>
      </c>
      <c r="Q447" s="88" t="str">
        <f>IF($B447="","",IF(IFERROR(INDEX('RAID Log'!$1:$1048576,$B447,MATCH("RAID Response/Plan",'RAID Log'!$1:$1,0)),"")="","",IFERROR(INDEX('RAID Log'!$1:$1048576,$B447,MATCH("RAID Response/Plan",'RAID Log'!$1:$1,0)),"")))</f>
        <v/>
      </c>
    </row>
    <row r="448" spans="1:17" ht="14.25" customHeight="1">
      <c r="A448" s="82" t="str">
        <f>IF($B448="","",IF(IFERROR(INDEX('RAID Log'!$1:$1048576,$B448,MATCH("RAID ID",'RAID Log'!$1:$1,0)),"")="","",IFERROR(INDEX('RAID Log'!$1:$1048576,$B448,MATCH("RAID ID",'RAID Log'!$1:$1,0)),"")))</f>
        <v/>
      </c>
      <c r="B448" s="83" t="str">
        <f>IFERROR(MATCH(ROW()-1,'RAID Log'!$S:$S,0),"")</f>
        <v/>
      </c>
      <c r="C448" s="84" t="str">
        <f>IF($B448="","",IF(IFERROR(INDEX('RAID Log'!$1:$1048576,$B448,MATCH("Description",'RAID Log'!$1:$1,0)),"")="","",IFERROR(INDEX('RAID Log'!$1:$1048576,$B448,MATCH("Description",'RAID Log'!$1:$1,0)),"")))</f>
        <v/>
      </c>
      <c r="D448" s="84" t="str">
        <f>IF($B448="","",IF(IFERROR(INDEX('RAID Log'!$1:$1048576,$B448,MATCH("Impact/Effect of the RAID",'RAID Log'!$1:$1,0)),"")="","",IFERROR(INDEX('RAID Log'!$1:$1048576,$B448,MATCH("Impact/Effect of the RAID",'RAID Log'!$1:$1,0)),"")))</f>
        <v/>
      </c>
      <c r="E448" s="85" t="str">
        <f>IF($B448="","",IF(IFERROR(INDEX('RAID Log'!$1:$1048576,$B448,MATCH("Impact Area",'RAID Log'!$1:$1,0)),"")="","",IFERROR(INDEX('RAID Log'!$1:$1048576,$B448,MATCH("Impact Area",'RAID Log'!$1:$1,0)),"")))</f>
        <v/>
      </c>
      <c r="F448" s="85" t="str">
        <f>IF($B448="","",IF(IFERROR(INDEX('RAID Log'!$1:$1048576,$B448,MATCH("Impact Area",'RAID Log'!$1:$1,0)),"")="","",IFERROR(INDEX('RAID Log'!$1:$1048576,$B448,MATCH("Impact Area",'RAID Log'!$1:$1,0)),"")))</f>
        <v/>
      </c>
      <c r="G448" s="85" t="str">
        <f>IF($B448="","",IF(IFERROR(INDEX('RAID Log'!$1:$1048576,$B448,MATCH("Impact Rating",'RAID Log'!$1:$1,0)),"")="","",IFERROR(INDEX('RAID Log'!$1:$1048576,$B448,MATCH("Impact Rating",'RAID Log'!$1:$1,0)),"")))</f>
        <v/>
      </c>
      <c r="H448" s="85" t="str">
        <f>IF($B448="","",IF(IFERROR(INDEX('RAID Log'!$1:$1048576,$B448,MATCH("Initial Probability",'RAID Log'!$1:$1,0)),"")="","",IFERROR(INDEX('RAID Log'!$1:$1048576,$B448,MATCH("Initial Probability",'RAID Log'!$1:$1,0)),"")))</f>
        <v/>
      </c>
      <c r="I448" s="86" t="str">
        <f t="shared" si="18"/>
        <v/>
      </c>
      <c r="J448" s="85" t="str">
        <f t="shared" si="19"/>
        <v/>
      </c>
      <c r="K448" s="86" t="str">
        <f t="shared" si="20"/>
        <v/>
      </c>
      <c r="L448" s="85" t="str">
        <f>IF($B448="","",IF(IFERROR(INDEX('RAID Log'!$1:$1048576,$B448,MATCH("Status",'RAID Log'!$1:$1,0)),"")="","",IFERROR(INDEX('RAID Log'!$1:$1048576,$B448,MATCH("Status",'RAID Log'!$1:$1,0)),"")))</f>
        <v/>
      </c>
      <c r="M448" s="85" t="str">
        <f>IF($B448="","",IF(IFERROR(INDEX('RAID Log'!$1:$1048576,$B448,MATCH("RAID Owner",'RAID Log'!$1:$1,0)),"")="","",IFERROR(INDEX('RAID Log'!$1:$1048576,$B448,MATCH("RAID Owner",'RAID Log'!$1:$1,0)),"")))</f>
        <v/>
      </c>
      <c r="N448" s="87" t="str">
        <f>IF($B448="","",IF(IFERROR(INDEX('RAID Log'!$1:$1048576,$B448,MATCH("Date Raised",'RAID Log'!$1:$1,0)),"")="","",IFERROR(INDEX('RAID Log'!$1:$1048576,$B448,MATCH("Date Raised",'RAID Log'!$1:$1,0)),"")))</f>
        <v/>
      </c>
      <c r="O448" s="87" t="str">
        <f>IF($B448="","",IF(IFERROR(INDEX('RAID Log'!$1:$1048576,$B448,MATCH("Closed Date",'RAID Log'!$1:$1,0)),"")="","",IFERROR(INDEX('RAID Log'!$1:$1048576,$B448,MATCH("Closed Date",'RAID Log'!$1:$1,0)),"")))</f>
        <v/>
      </c>
      <c r="P448" s="85" t="str">
        <f>IF($B448="","",IF(IFERROR(INDEX('RAID Log'!$1:$1048576,$B448,MATCH("Mitigation Strategy",'RAID Log'!$1:$1,0)),"")="","",IFERROR(INDEX('RAID Log'!$1:$1048576,$B448,MATCH("Mitigation Strategy",'RAID Log'!$1:$1,0)),"")))</f>
        <v/>
      </c>
      <c r="Q448" s="88" t="str">
        <f>IF($B448="","",IF(IFERROR(INDEX('RAID Log'!$1:$1048576,$B448,MATCH("RAID Response/Plan",'RAID Log'!$1:$1,0)),"")="","",IFERROR(INDEX('RAID Log'!$1:$1048576,$B448,MATCH("RAID Response/Plan",'RAID Log'!$1:$1,0)),"")))</f>
        <v/>
      </c>
    </row>
    <row r="449" spans="1:17" ht="14.25" customHeight="1">
      <c r="A449" s="82" t="str">
        <f>IF($B449="","",IF(IFERROR(INDEX('RAID Log'!$1:$1048576,$B449,MATCH("RAID ID",'RAID Log'!$1:$1,0)),"")="","",IFERROR(INDEX('RAID Log'!$1:$1048576,$B449,MATCH("RAID ID",'RAID Log'!$1:$1,0)),"")))</f>
        <v/>
      </c>
      <c r="B449" s="83" t="str">
        <f>IFERROR(MATCH(ROW()-1,'RAID Log'!$S:$S,0),"")</f>
        <v/>
      </c>
      <c r="C449" s="84" t="str">
        <f>IF($B449="","",IF(IFERROR(INDEX('RAID Log'!$1:$1048576,$B449,MATCH("Description",'RAID Log'!$1:$1,0)),"")="","",IFERROR(INDEX('RAID Log'!$1:$1048576,$B449,MATCH("Description",'RAID Log'!$1:$1,0)),"")))</f>
        <v/>
      </c>
      <c r="D449" s="84" t="str">
        <f>IF($B449="","",IF(IFERROR(INDEX('RAID Log'!$1:$1048576,$B449,MATCH("Impact/Effect of the RAID",'RAID Log'!$1:$1,0)),"")="","",IFERROR(INDEX('RAID Log'!$1:$1048576,$B449,MATCH("Impact/Effect of the RAID",'RAID Log'!$1:$1,0)),"")))</f>
        <v/>
      </c>
      <c r="E449" s="85" t="str">
        <f>IF($B449="","",IF(IFERROR(INDEX('RAID Log'!$1:$1048576,$B449,MATCH("Impact Area",'RAID Log'!$1:$1,0)),"")="","",IFERROR(INDEX('RAID Log'!$1:$1048576,$B449,MATCH("Impact Area",'RAID Log'!$1:$1,0)),"")))</f>
        <v/>
      </c>
      <c r="F449" s="85" t="str">
        <f>IF($B449="","",IF(IFERROR(INDEX('RAID Log'!$1:$1048576,$B449,MATCH("Impact Area",'RAID Log'!$1:$1,0)),"")="","",IFERROR(INDEX('RAID Log'!$1:$1048576,$B449,MATCH("Impact Area",'RAID Log'!$1:$1,0)),"")))</f>
        <v/>
      </c>
      <c r="G449" s="85" t="str">
        <f>IF($B449="","",IF(IFERROR(INDEX('RAID Log'!$1:$1048576,$B449,MATCH("Impact Rating",'RAID Log'!$1:$1,0)),"")="","",IFERROR(INDEX('RAID Log'!$1:$1048576,$B449,MATCH("Impact Rating",'RAID Log'!$1:$1,0)),"")))</f>
        <v/>
      </c>
      <c r="H449" s="85" t="str">
        <f>IF($B449="","",IF(IFERROR(INDEX('RAID Log'!$1:$1048576,$B449,MATCH("Initial Probability",'RAID Log'!$1:$1,0)),"")="","",IFERROR(INDEX('RAID Log'!$1:$1048576,$B449,MATCH("Initial Probability",'RAID Log'!$1:$1,0)),"")))</f>
        <v/>
      </c>
      <c r="I449" s="86" t="str">
        <f t="shared" si="18"/>
        <v/>
      </c>
      <c r="J449" s="85" t="str">
        <f t="shared" si="19"/>
        <v/>
      </c>
      <c r="K449" s="86" t="str">
        <f t="shared" si="20"/>
        <v/>
      </c>
      <c r="L449" s="85" t="str">
        <f>IF($B449="","",IF(IFERROR(INDEX('RAID Log'!$1:$1048576,$B449,MATCH("Status",'RAID Log'!$1:$1,0)),"")="","",IFERROR(INDEX('RAID Log'!$1:$1048576,$B449,MATCH("Status",'RAID Log'!$1:$1,0)),"")))</f>
        <v/>
      </c>
      <c r="M449" s="85" t="str">
        <f>IF($B449="","",IF(IFERROR(INDEX('RAID Log'!$1:$1048576,$B449,MATCH("RAID Owner",'RAID Log'!$1:$1,0)),"")="","",IFERROR(INDEX('RAID Log'!$1:$1048576,$B449,MATCH("RAID Owner",'RAID Log'!$1:$1,0)),"")))</f>
        <v/>
      </c>
      <c r="N449" s="87" t="str">
        <f>IF($B449="","",IF(IFERROR(INDEX('RAID Log'!$1:$1048576,$B449,MATCH("Date Raised",'RAID Log'!$1:$1,0)),"")="","",IFERROR(INDEX('RAID Log'!$1:$1048576,$B449,MATCH("Date Raised",'RAID Log'!$1:$1,0)),"")))</f>
        <v/>
      </c>
      <c r="O449" s="87" t="str">
        <f>IF($B449="","",IF(IFERROR(INDEX('RAID Log'!$1:$1048576,$B449,MATCH("Closed Date",'RAID Log'!$1:$1,0)),"")="","",IFERROR(INDEX('RAID Log'!$1:$1048576,$B449,MATCH("Closed Date",'RAID Log'!$1:$1,0)),"")))</f>
        <v/>
      </c>
      <c r="P449" s="85" t="str">
        <f>IF($B449="","",IF(IFERROR(INDEX('RAID Log'!$1:$1048576,$B449,MATCH("Mitigation Strategy",'RAID Log'!$1:$1,0)),"")="","",IFERROR(INDEX('RAID Log'!$1:$1048576,$B449,MATCH("Mitigation Strategy",'RAID Log'!$1:$1,0)),"")))</f>
        <v/>
      </c>
      <c r="Q449" s="88" t="str">
        <f>IF($B449="","",IF(IFERROR(INDEX('RAID Log'!$1:$1048576,$B449,MATCH("RAID Response/Plan",'RAID Log'!$1:$1,0)),"")="","",IFERROR(INDEX('RAID Log'!$1:$1048576,$B449,MATCH("RAID Response/Plan",'RAID Log'!$1:$1,0)),"")))</f>
        <v/>
      </c>
    </row>
    <row r="450" spans="1:17" ht="14.25" customHeight="1">
      <c r="A450" s="82" t="str">
        <f>IF($B450="","",IF(IFERROR(INDEX('RAID Log'!$1:$1048576,$B450,MATCH("RAID ID",'RAID Log'!$1:$1,0)),"")="","",IFERROR(INDEX('RAID Log'!$1:$1048576,$B450,MATCH("RAID ID",'RAID Log'!$1:$1,0)),"")))</f>
        <v/>
      </c>
      <c r="B450" s="83" t="str">
        <f>IFERROR(MATCH(ROW()-1,'RAID Log'!$S:$S,0),"")</f>
        <v/>
      </c>
      <c r="C450" s="84" t="str">
        <f>IF($B450="","",IF(IFERROR(INDEX('RAID Log'!$1:$1048576,$B450,MATCH("Description",'RAID Log'!$1:$1,0)),"")="","",IFERROR(INDEX('RAID Log'!$1:$1048576,$B450,MATCH("Description",'RAID Log'!$1:$1,0)),"")))</f>
        <v/>
      </c>
      <c r="D450" s="84" t="str">
        <f>IF($B450="","",IF(IFERROR(INDEX('RAID Log'!$1:$1048576,$B450,MATCH("Impact/Effect of the RAID",'RAID Log'!$1:$1,0)),"")="","",IFERROR(INDEX('RAID Log'!$1:$1048576,$B450,MATCH("Impact/Effect of the RAID",'RAID Log'!$1:$1,0)),"")))</f>
        <v/>
      </c>
      <c r="E450" s="85" t="str">
        <f>IF($B450="","",IF(IFERROR(INDEX('RAID Log'!$1:$1048576,$B450,MATCH("Impact Area",'RAID Log'!$1:$1,0)),"")="","",IFERROR(INDEX('RAID Log'!$1:$1048576,$B450,MATCH("Impact Area",'RAID Log'!$1:$1,0)),"")))</f>
        <v/>
      </c>
      <c r="F450" s="85" t="str">
        <f>IF($B450="","",IF(IFERROR(INDEX('RAID Log'!$1:$1048576,$B450,MATCH("Impact Area",'RAID Log'!$1:$1,0)),"")="","",IFERROR(INDEX('RAID Log'!$1:$1048576,$B450,MATCH("Impact Area",'RAID Log'!$1:$1,0)),"")))</f>
        <v/>
      </c>
      <c r="G450" s="85" t="str">
        <f>IF($B450="","",IF(IFERROR(INDEX('RAID Log'!$1:$1048576,$B450,MATCH("Impact Rating",'RAID Log'!$1:$1,0)),"")="","",IFERROR(INDEX('RAID Log'!$1:$1048576,$B450,MATCH("Impact Rating",'RAID Log'!$1:$1,0)),"")))</f>
        <v/>
      </c>
      <c r="H450" s="85" t="str">
        <f>IF($B450="","",IF(IFERROR(INDEX('RAID Log'!$1:$1048576,$B450,MATCH("Initial Probability",'RAID Log'!$1:$1,0)),"")="","",IFERROR(INDEX('RAID Log'!$1:$1048576,$B450,MATCH("Initial Probability",'RAID Log'!$1:$1,0)),"")))</f>
        <v/>
      </c>
      <c r="I450" s="86" t="str">
        <f t="shared" ref="I450:I513" si="21">IF($B450="","",(IF($G450="Severe",25,IF($G450="Major",20,IF($G450="Moderate",15,IF($G450="Minor",10,IF($G450="Insignificant",5,0))))))*IF($H450="Very High",1,IF($H450="High",0.8,IF($H450="Average",0.6,IF($H450="Low",0.4,IF($H450="Very Low",0.2,0))))))</f>
        <v/>
      </c>
      <c r="J450" s="85" t="str">
        <f t="shared" ref="J450:J513" si="22">IF($B450="","",IF($I450&gt;20,"Critical",IF($I450&gt;15,"High",IF($I450&gt;8,"Moderate",IF($I450&gt;3,"Tolerable","Negligible")))))</f>
        <v/>
      </c>
      <c r="K450" s="86" t="str">
        <f t="shared" ref="K450:K513" si="23">IF(OR($B450="",UPPER($L450)="CLOSED"),"",COUNTIFS($L$2:$L$880,"&lt;&gt;Closed",$I$2:$I$880,"&gt;"&amp;$I450)+COUNTIFS($L$2:$L$880,"&lt;&gt;Closed",$I$2:$I$880,$I450,$N$2:$N$880,"&lt;"&amp;$N450)+COUNTIFS($L$2:$L$880,"&lt;&gt;Closed",$I$2:$I$880,$I450,$N$2:$N$880,$N450,$B$2:$B$880,"&lt;"&amp;$B450)+1)</f>
        <v/>
      </c>
      <c r="L450" s="85" t="str">
        <f>IF($B450="","",IF(IFERROR(INDEX('RAID Log'!$1:$1048576,$B450,MATCH("Status",'RAID Log'!$1:$1,0)),"")="","",IFERROR(INDEX('RAID Log'!$1:$1048576,$B450,MATCH("Status",'RAID Log'!$1:$1,0)),"")))</f>
        <v/>
      </c>
      <c r="M450" s="85" t="str">
        <f>IF($B450="","",IF(IFERROR(INDEX('RAID Log'!$1:$1048576,$B450,MATCH("RAID Owner",'RAID Log'!$1:$1,0)),"")="","",IFERROR(INDEX('RAID Log'!$1:$1048576,$B450,MATCH("RAID Owner",'RAID Log'!$1:$1,0)),"")))</f>
        <v/>
      </c>
      <c r="N450" s="87" t="str">
        <f>IF($B450="","",IF(IFERROR(INDEX('RAID Log'!$1:$1048576,$B450,MATCH("Date Raised",'RAID Log'!$1:$1,0)),"")="","",IFERROR(INDEX('RAID Log'!$1:$1048576,$B450,MATCH("Date Raised",'RAID Log'!$1:$1,0)),"")))</f>
        <v/>
      </c>
      <c r="O450" s="87" t="str">
        <f>IF($B450="","",IF(IFERROR(INDEX('RAID Log'!$1:$1048576,$B450,MATCH("Closed Date",'RAID Log'!$1:$1,0)),"")="","",IFERROR(INDEX('RAID Log'!$1:$1048576,$B450,MATCH("Closed Date",'RAID Log'!$1:$1,0)),"")))</f>
        <v/>
      </c>
      <c r="P450" s="85" t="str">
        <f>IF($B450="","",IF(IFERROR(INDEX('RAID Log'!$1:$1048576,$B450,MATCH("Mitigation Strategy",'RAID Log'!$1:$1,0)),"")="","",IFERROR(INDEX('RAID Log'!$1:$1048576,$B450,MATCH("Mitigation Strategy",'RAID Log'!$1:$1,0)),"")))</f>
        <v/>
      </c>
      <c r="Q450" s="88" t="str">
        <f>IF($B450="","",IF(IFERROR(INDEX('RAID Log'!$1:$1048576,$B450,MATCH("RAID Response/Plan",'RAID Log'!$1:$1,0)),"")="","",IFERROR(INDEX('RAID Log'!$1:$1048576,$B450,MATCH("RAID Response/Plan",'RAID Log'!$1:$1,0)),"")))</f>
        <v/>
      </c>
    </row>
    <row r="451" spans="1:17" ht="14.25" customHeight="1">
      <c r="A451" s="82" t="str">
        <f>IF($B451="","",IF(IFERROR(INDEX('RAID Log'!$1:$1048576,$B451,MATCH("RAID ID",'RAID Log'!$1:$1,0)),"")="","",IFERROR(INDEX('RAID Log'!$1:$1048576,$B451,MATCH("RAID ID",'RAID Log'!$1:$1,0)),"")))</f>
        <v/>
      </c>
      <c r="B451" s="83" t="str">
        <f>IFERROR(MATCH(ROW()-1,'RAID Log'!$S:$S,0),"")</f>
        <v/>
      </c>
      <c r="C451" s="84" t="str">
        <f>IF($B451="","",IF(IFERROR(INDEX('RAID Log'!$1:$1048576,$B451,MATCH("Description",'RAID Log'!$1:$1,0)),"")="","",IFERROR(INDEX('RAID Log'!$1:$1048576,$B451,MATCH("Description",'RAID Log'!$1:$1,0)),"")))</f>
        <v/>
      </c>
      <c r="D451" s="84" t="str">
        <f>IF($B451="","",IF(IFERROR(INDEX('RAID Log'!$1:$1048576,$B451,MATCH("Impact/Effect of the RAID",'RAID Log'!$1:$1,0)),"")="","",IFERROR(INDEX('RAID Log'!$1:$1048576,$B451,MATCH("Impact/Effect of the RAID",'RAID Log'!$1:$1,0)),"")))</f>
        <v/>
      </c>
      <c r="E451" s="85" t="str">
        <f>IF($B451="","",IF(IFERROR(INDEX('RAID Log'!$1:$1048576,$B451,MATCH("Impact Area",'RAID Log'!$1:$1,0)),"")="","",IFERROR(INDEX('RAID Log'!$1:$1048576,$B451,MATCH("Impact Area",'RAID Log'!$1:$1,0)),"")))</f>
        <v/>
      </c>
      <c r="F451" s="85" t="str">
        <f>IF($B451="","",IF(IFERROR(INDEX('RAID Log'!$1:$1048576,$B451,MATCH("Impact Area",'RAID Log'!$1:$1,0)),"")="","",IFERROR(INDEX('RAID Log'!$1:$1048576,$B451,MATCH("Impact Area",'RAID Log'!$1:$1,0)),"")))</f>
        <v/>
      </c>
      <c r="G451" s="85" t="str">
        <f>IF($B451="","",IF(IFERROR(INDEX('RAID Log'!$1:$1048576,$B451,MATCH("Impact Rating",'RAID Log'!$1:$1,0)),"")="","",IFERROR(INDEX('RAID Log'!$1:$1048576,$B451,MATCH("Impact Rating",'RAID Log'!$1:$1,0)),"")))</f>
        <v/>
      </c>
      <c r="H451" s="85" t="str">
        <f>IF($B451="","",IF(IFERROR(INDEX('RAID Log'!$1:$1048576,$B451,MATCH("Initial Probability",'RAID Log'!$1:$1,0)),"")="","",IFERROR(INDEX('RAID Log'!$1:$1048576,$B451,MATCH("Initial Probability",'RAID Log'!$1:$1,0)),"")))</f>
        <v/>
      </c>
      <c r="I451" s="86" t="str">
        <f t="shared" si="21"/>
        <v/>
      </c>
      <c r="J451" s="85" t="str">
        <f t="shared" si="22"/>
        <v/>
      </c>
      <c r="K451" s="86" t="str">
        <f t="shared" si="23"/>
        <v/>
      </c>
      <c r="L451" s="85" t="str">
        <f>IF($B451="","",IF(IFERROR(INDEX('RAID Log'!$1:$1048576,$B451,MATCH("Status",'RAID Log'!$1:$1,0)),"")="","",IFERROR(INDEX('RAID Log'!$1:$1048576,$B451,MATCH("Status",'RAID Log'!$1:$1,0)),"")))</f>
        <v/>
      </c>
      <c r="M451" s="85" t="str">
        <f>IF($B451="","",IF(IFERROR(INDEX('RAID Log'!$1:$1048576,$B451,MATCH("RAID Owner",'RAID Log'!$1:$1,0)),"")="","",IFERROR(INDEX('RAID Log'!$1:$1048576,$B451,MATCH("RAID Owner",'RAID Log'!$1:$1,0)),"")))</f>
        <v/>
      </c>
      <c r="N451" s="87" t="str">
        <f>IF($B451="","",IF(IFERROR(INDEX('RAID Log'!$1:$1048576,$B451,MATCH("Date Raised",'RAID Log'!$1:$1,0)),"")="","",IFERROR(INDEX('RAID Log'!$1:$1048576,$B451,MATCH("Date Raised",'RAID Log'!$1:$1,0)),"")))</f>
        <v/>
      </c>
      <c r="O451" s="87" t="str">
        <f>IF($B451="","",IF(IFERROR(INDEX('RAID Log'!$1:$1048576,$B451,MATCH("Closed Date",'RAID Log'!$1:$1,0)),"")="","",IFERROR(INDEX('RAID Log'!$1:$1048576,$B451,MATCH("Closed Date",'RAID Log'!$1:$1,0)),"")))</f>
        <v/>
      </c>
      <c r="P451" s="85" t="str">
        <f>IF($B451="","",IF(IFERROR(INDEX('RAID Log'!$1:$1048576,$B451,MATCH("Mitigation Strategy",'RAID Log'!$1:$1,0)),"")="","",IFERROR(INDEX('RAID Log'!$1:$1048576,$B451,MATCH("Mitigation Strategy",'RAID Log'!$1:$1,0)),"")))</f>
        <v/>
      </c>
      <c r="Q451" s="88" t="str">
        <f>IF($B451="","",IF(IFERROR(INDEX('RAID Log'!$1:$1048576,$B451,MATCH("RAID Response/Plan",'RAID Log'!$1:$1,0)),"")="","",IFERROR(INDEX('RAID Log'!$1:$1048576,$B451,MATCH("RAID Response/Plan",'RAID Log'!$1:$1,0)),"")))</f>
        <v/>
      </c>
    </row>
    <row r="452" spans="1:17" ht="14.25" customHeight="1">
      <c r="A452" s="82" t="str">
        <f>IF($B452="","",IF(IFERROR(INDEX('RAID Log'!$1:$1048576,$B452,MATCH("RAID ID",'RAID Log'!$1:$1,0)),"")="","",IFERROR(INDEX('RAID Log'!$1:$1048576,$B452,MATCH("RAID ID",'RAID Log'!$1:$1,0)),"")))</f>
        <v/>
      </c>
      <c r="B452" s="83" t="str">
        <f>IFERROR(MATCH(ROW()-1,'RAID Log'!$S:$S,0),"")</f>
        <v/>
      </c>
      <c r="C452" s="84" t="str">
        <f>IF($B452="","",IF(IFERROR(INDEX('RAID Log'!$1:$1048576,$B452,MATCH("Description",'RAID Log'!$1:$1,0)),"")="","",IFERROR(INDEX('RAID Log'!$1:$1048576,$B452,MATCH("Description",'RAID Log'!$1:$1,0)),"")))</f>
        <v/>
      </c>
      <c r="D452" s="84" t="str">
        <f>IF($B452="","",IF(IFERROR(INDEX('RAID Log'!$1:$1048576,$B452,MATCH("Impact/Effect of the RAID",'RAID Log'!$1:$1,0)),"")="","",IFERROR(INDEX('RAID Log'!$1:$1048576,$B452,MATCH("Impact/Effect of the RAID",'RAID Log'!$1:$1,0)),"")))</f>
        <v/>
      </c>
      <c r="E452" s="85" t="str">
        <f>IF($B452="","",IF(IFERROR(INDEX('RAID Log'!$1:$1048576,$B452,MATCH("Impact Area",'RAID Log'!$1:$1,0)),"")="","",IFERROR(INDEX('RAID Log'!$1:$1048576,$B452,MATCH("Impact Area",'RAID Log'!$1:$1,0)),"")))</f>
        <v/>
      </c>
      <c r="F452" s="85" t="str">
        <f>IF($B452="","",IF(IFERROR(INDEX('RAID Log'!$1:$1048576,$B452,MATCH("Impact Area",'RAID Log'!$1:$1,0)),"")="","",IFERROR(INDEX('RAID Log'!$1:$1048576,$B452,MATCH("Impact Area",'RAID Log'!$1:$1,0)),"")))</f>
        <v/>
      </c>
      <c r="G452" s="85" t="str">
        <f>IF($B452="","",IF(IFERROR(INDEX('RAID Log'!$1:$1048576,$B452,MATCH("Impact Rating",'RAID Log'!$1:$1,0)),"")="","",IFERROR(INDEX('RAID Log'!$1:$1048576,$B452,MATCH("Impact Rating",'RAID Log'!$1:$1,0)),"")))</f>
        <v/>
      </c>
      <c r="H452" s="85" t="str">
        <f>IF($B452="","",IF(IFERROR(INDEX('RAID Log'!$1:$1048576,$B452,MATCH("Initial Probability",'RAID Log'!$1:$1,0)),"")="","",IFERROR(INDEX('RAID Log'!$1:$1048576,$B452,MATCH("Initial Probability",'RAID Log'!$1:$1,0)),"")))</f>
        <v/>
      </c>
      <c r="I452" s="86" t="str">
        <f t="shared" si="21"/>
        <v/>
      </c>
      <c r="J452" s="85" t="str">
        <f t="shared" si="22"/>
        <v/>
      </c>
      <c r="K452" s="86" t="str">
        <f t="shared" si="23"/>
        <v/>
      </c>
      <c r="L452" s="85" t="str">
        <f>IF($B452="","",IF(IFERROR(INDEX('RAID Log'!$1:$1048576,$B452,MATCH("Status",'RAID Log'!$1:$1,0)),"")="","",IFERROR(INDEX('RAID Log'!$1:$1048576,$B452,MATCH("Status",'RAID Log'!$1:$1,0)),"")))</f>
        <v/>
      </c>
      <c r="M452" s="85" t="str">
        <f>IF($B452="","",IF(IFERROR(INDEX('RAID Log'!$1:$1048576,$B452,MATCH("RAID Owner",'RAID Log'!$1:$1,0)),"")="","",IFERROR(INDEX('RAID Log'!$1:$1048576,$B452,MATCH("RAID Owner",'RAID Log'!$1:$1,0)),"")))</f>
        <v/>
      </c>
      <c r="N452" s="87" t="str">
        <f>IF($B452="","",IF(IFERROR(INDEX('RAID Log'!$1:$1048576,$B452,MATCH("Date Raised",'RAID Log'!$1:$1,0)),"")="","",IFERROR(INDEX('RAID Log'!$1:$1048576,$B452,MATCH("Date Raised",'RAID Log'!$1:$1,0)),"")))</f>
        <v/>
      </c>
      <c r="O452" s="87" t="str">
        <f>IF($B452="","",IF(IFERROR(INDEX('RAID Log'!$1:$1048576,$B452,MATCH("Closed Date",'RAID Log'!$1:$1,0)),"")="","",IFERROR(INDEX('RAID Log'!$1:$1048576,$B452,MATCH("Closed Date",'RAID Log'!$1:$1,0)),"")))</f>
        <v/>
      </c>
      <c r="P452" s="85" t="str">
        <f>IF($B452="","",IF(IFERROR(INDEX('RAID Log'!$1:$1048576,$B452,MATCH("Mitigation Strategy",'RAID Log'!$1:$1,0)),"")="","",IFERROR(INDEX('RAID Log'!$1:$1048576,$B452,MATCH("Mitigation Strategy",'RAID Log'!$1:$1,0)),"")))</f>
        <v/>
      </c>
      <c r="Q452" s="88" t="str">
        <f>IF($B452="","",IF(IFERROR(INDEX('RAID Log'!$1:$1048576,$B452,MATCH("RAID Response/Plan",'RAID Log'!$1:$1,0)),"")="","",IFERROR(INDEX('RAID Log'!$1:$1048576,$B452,MATCH("RAID Response/Plan",'RAID Log'!$1:$1,0)),"")))</f>
        <v/>
      </c>
    </row>
    <row r="453" spans="1:17" ht="14.25" customHeight="1">
      <c r="A453" s="82" t="str">
        <f>IF($B453="","",IF(IFERROR(INDEX('RAID Log'!$1:$1048576,$B453,MATCH("RAID ID",'RAID Log'!$1:$1,0)),"")="","",IFERROR(INDEX('RAID Log'!$1:$1048576,$B453,MATCH("RAID ID",'RAID Log'!$1:$1,0)),"")))</f>
        <v/>
      </c>
      <c r="B453" s="83" t="str">
        <f>IFERROR(MATCH(ROW()-1,'RAID Log'!$S:$S,0),"")</f>
        <v/>
      </c>
      <c r="C453" s="84" t="str">
        <f>IF($B453="","",IF(IFERROR(INDEX('RAID Log'!$1:$1048576,$B453,MATCH("Description",'RAID Log'!$1:$1,0)),"")="","",IFERROR(INDEX('RAID Log'!$1:$1048576,$B453,MATCH("Description",'RAID Log'!$1:$1,0)),"")))</f>
        <v/>
      </c>
      <c r="D453" s="84" t="str">
        <f>IF($B453="","",IF(IFERROR(INDEX('RAID Log'!$1:$1048576,$B453,MATCH("Impact/Effect of the RAID",'RAID Log'!$1:$1,0)),"")="","",IFERROR(INDEX('RAID Log'!$1:$1048576,$B453,MATCH("Impact/Effect of the RAID",'RAID Log'!$1:$1,0)),"")))</f>
        <v/>
      </c>
      <c r="E453" s="85" t="str">
        <f>IF($B453="","",IF(IFERROR(INDEX('RAID Log'!$1:$1048576,$B453,MATCH("Impact Area",'RAID Log'!$1:$1,0)),"")="","",IFERROR(INDEX('RAID Log'!$1:$1048576,$B453,MATCH("Impact Area",'RAID Log'!$1:$1,0)),"")))</f>
        <v/>
      </c>
      <c r="F453" s="85" t="str">
        <f>IF($B453="","",IF(IFERROR(INDEX('RAID Log'!$1:$1048576,$B453,MATCH("Impact Area",'RAID Log'!$1:$1,0)),"")="","",IFERROR(INDEX('RAID Log'!$1:$1048576,$B453,MATCH("Impact Area",'RAID Log'!$1:$1,0)),"")))</f>
        <v/>
      </c>
      <c r="G453" s="85" t="str">
        <f>IF($B453="","",IF(IFERROR(INDEX('RAID Log'!$1:$1048576,$B453,MATCH("Impact Rating",'RAID Log'!$1:$1,0)),"")="","",IFERROR(INDEX('RAID Log'!$1:$1048576,$B453,MATCH("Impact Rating",'RAID Log'!$1:$1,0)),"")))</f>
        <v/>
      </c>
      <c r="H453" s="85" t="str">
        <f>IF($B453="","",IF(IFERROR(INDEX('RAID Log'!$1:$1048576,$B453,MATCH("Initial Probability",'RAID Log'!$1:$1,0)),"")="","",IFERROR(INDEX('RAID Log'!$1:$1048576,$B453,MATCH("Initial Probability",'RAID Log'!$1:$1,0)),"")))</f>
        <v/>
      </c>
      <c r="I453" s="86" t="str">
        <f t="shared" si="21"/>
        <v/>
      </c>
      <c r="J453" s="85" t="str">
        <f t="shared" si="22"/>
        <v/>
      </c>
      <c r="K453" s="86" t="str">
        <f t="shared" si="23"/>
        <v/>
      </c>
      <c r="L453" s="85" t="str">
        <f>IF($B453="","",IF(IFERROR(INDEX('RAID Log'!$1:$1048576,$B453,MATCH("Status",'RAID Log'!$1:$1,0)),"")="","",IFERROR(INDEX('RAID Log'!$1:$1048576,$B453,MATCH("Status",'RAID Log'!$1:$1,0)),"")))</f>
        <v/>
      </c>
      <c r="M453" s="85" t="str">
        <f>IF($B453="","",IF(IFERROR(INDEX('RAID Log'!$1:$1048576,$B453,MATCH("RAID Owner",'RAID Log'!$1:$1,0)),"")="","",IFERROR(INDEX('RAID Log'!$1:$1048576,$B453,MATCH("RAID Owner",'RAID Log'!$1:$1,0)),"")))</f>
        <v/>
      </c>
      <c r="N453" s="87" t="str">
        <f>IF($B453="","",IF(IFERROR(INDEX('RAID Log'!$1:$1048576,$B453,MATCH("Date Raised",'RAID Log'!$1:$1,0)),"")="","",IFERROR(INDEX('RAID Log'!$1:$1048576,$B453,MATCH("Date Raised",'RAID Log'!$1:$1,0)),"")))</f>
        <v/>
      </c>
      <c r="O453" s="87" t="str">
        <f>IF($B453="","",IF(IFERROR(INDEX('RAID Log'!$1:$1048576,$B453,MATCH("Closed Date",'RAID Log'!$1:$1,0)),"")="","",IFERROR(INDEX('RAID Log'!$1:$1048576,$B453,MATCH("Closed Date",'RAID Log'!$1:$1,0)),"")))</f>
        <v/>
      </c>
      <c r="P453" s="85" t="str">
        <f>IF($B453="","",IF(IFERROR(INDEX('RAID Log'!$1:$1048576,$B453,MATCH("Mitigation Strategy",'RAID Log'!$1:$1,0)),"")="","",IFERROR(INDEX('RAID Log'!$1:$1048576,$B453,MATCH("Mitigation Strategy",'RAID Log'!$1:$1,0)),"")))</f>
        <v/>
      </c>
      <c r="Q453" s="88" t="str">
        <f>IF($B453="","",IF(IFERROR(INDEX('RAID Log'!$1:$1048576,$B453,MATCH("RAID Response/Plan",'RAID Log'!$1:$1,0)),"")="","",IFERROR(INDEX('RAID Log'!$1:$1048576,$B453,MATCH("RAID Response/Plan",'RAID Log'!$1:$1,0)),"")))</f>
        <v/>
      </c>
    </row>
    <row r="454" spans="1:17" ht="14.25" customHeight="1">
      <c r="A454" s="82" t="str">
        <f>IF($B454="","",IF(IFERROR(INDEX('RAID Log'!$1:$1048576,$B454,MATCH("RAID ID",'RAID Log'!$1:$1,0)),"")="","",IFERROR(INDEX('RAID Log'!$1:$1048576,$B454,MATCH("RAID ID",'RAID Log'!$1:$1,0)),"")))</f>
        <v/>
      </c>
      <c r="B454" s="83" t="str">
        <f>IFERROR(MATCH(ROW()-1,'RAID Log'!$S:$S,0),"")</f>
        <v/>
      </c>
      <c r="C454" s="84" t="str">
        <f>IF($B454="","",IF(IFERROR(INDEX('RAID Log'!$1:$1048576,$B454,MATCH("Description",'RAID Log'!$1:$1,0)),"")="","",IFERROR(INDEX('RAID Log'!$1:$1048576,$B454,MATCH("Description",'RAID Log'!$1:$1,0)),"")))</f>
        <v/>
      </c>
      <c r="D454" s="84" t="str">
        <f>IF($B454="","",IF(IFERROR(INDEX('RAID Log'!$1:$1048576,$B454,MATCH("Impact/Effect of the RAID",'RAID Log'!$1:$1,0)),"")="","",IFERROR(INDEX('RAID Log'!$1:$1048576,$B454,MATCH("Impact/Effect of the RAID",'RAID Log'!$1:$1,0)),"")))</f>
        <v/>
      </c>
      <c r="E454" s="85" t="str">
        <f>IF($B454="","",IF(IFERROR(INDEX('RAID Log'!$1:$1048576,$B454,MATCH("Impact Area",'RAID Log'!$1:$1,0)),"")="","",IFERROR(INDEX('RAID Log'!$1:$1048576,$B454,MATCH("Impact Area",'RAID Log'!$1:$1,0)),"")))</f>
        <v/>
      </c>
      <c r="F454" s="85" t="str">
        <f>IF($B454="","",IF(IFERROR(INDEX('RAID Log'!$1:$1048576,$B454,MATCH("Impact Area",'RAID Log'!$1:$1,0)),"")="","",IFERROR(INDEX('RAID Log'!$1:$1048576,$B454,MATCH("Impact Area",'RAID Log'!$1:$1,0)),"")))</f>
        <v/>
      </c>
      <c r="G454" s="85" t="str">
        <f>IF($B454="","",IF(IFERROR(INDEX('RAID Log'!$1:$1048576,$B454,MATCH("Impact Rating",'RAID Log'!$1:$1,0)),"")="","",IFERROR(INDEX('RAID Log'!$1:$1048576,$B454,MATCH("Impact Rating",'RAID Log'!$1:$1,0)),"")))</f>
        <v/>
      </c>
      <c r="H454" s="85" t="str">
        <f>IF($B454="","",IF(IFERROR(INDEX('RAID Log'!$1:$1048576,$B454,MATCH("Initial Probability",'RAID Log'!$1:$1,0)),"")="","",IFERROR(INDEX('RAID Log'!$1:$1048576,$B454,MATCH("Initial Probability",'RAID Log'!$1:$1,0)),"")))</f>
        <v/>
      </c>
      <c r="I454" s="86" t="str">
        <f t="shared" si="21"/>
        <v/>
      </c>
      <c r="J454" s="85" t="str">
        <f t="shared" si="22"/>
        <v/>
      </c>
      <c r="K454" s="86" t="str">
        <f t="shared" si="23"/>
        <v/>
      </c>
      <c r="L454" s="85" t="str">
        <f>IF($B454="","",IF(IFERROR(INDEX('RAID Log'!$1:$1048576,$B454,MATCH("Status",'RAID Log'!$1:$1,0)),"")="","",IFERROR(INDEX('RAID Log'!$1:$1048576,$B454,MATCH("Status",'RAID Log'!$1:$1,0)),"")))</f>
        <v/>
      </c>
      <c r="M454" s="85" t="str">
        <f>IF($B454="","",IF(IFERROR(INDEX('RAID Log'!$1:$1048576,$B454,MATCH("RAID Owner",'RAID Log'!$1:$1,0)),"")="","",IFERROR(INDEX('RAID Log'!$1:$1048576,$B454,MATCH("RAID Owner",'RAID Log'!$1:$1,0)),"")))</f>
        <v/>
      </c>
      <c r="N454" s="87" t="str">
        <f>IF($B454="","",IF(IFERROR(INDEX('RAID Log'!$1:$1048576,$B454,MATCH("Date Raised",'RAID Log'!$1:$1,0)),"")="","",IFERROR(INDEX('RAID Log'!$1:$1048576,$B454,MATCH("Date Raised",'RAID Log'!$1:$1,0)),"")))</f>
        <v/>
      </c>
      <c r="O454" s="87" t="str">
        <f>IF($B454="","",IF(IFERROR(INDEX('RAID Log'!$1:$1048576,$B454,MATCH("Closed Date",'RAID Log'!$1:$1,0)),"")="","",IFERROR(INDEX('RAID Log'!$1:$1048576,$B454,MATCH("Closed Date",'RAID Log'!$1:$1,0)),"")))</f>
        <v/>
      </c>
      <c r="P454" s="85" t="str">
        <f>IF($B454="","",IF(IFERROR(INDEX('RAID Log'!$1:$1048576,$B454,MATCH("Mitigation Strategy",'RAID Log'!$1:$1,0)),"")="","",IFERROR(INDEX('RAID Log'!$1:$1048576,$B454,MATCH("Mitigation Strategy",'RAID Log'!$1:$1,0)),"")))</f>
        <v/>
      </c>
      <c r="Q454" s="88" t="str">
        <f>IF($B454="","",IF(IFERROR(INDEX('RAID Log'!$1:$1048576,$B454,MATCH("RAID Response/Plan",'RAID Log'!$1:$1,0)),"")="","",IFERROR(INDEX('RAID Log'!$1:$1048576,$B454,MATCH("RAID Response/Plan",'RAID Log'!$1:$1,0)),"")))</f>
        <v/>
      </c>
    </row>
    <row r="455" spans="1:17" ht="14.25" customHeight="1">
      <c r="A455" s="82" t="str">
        <f>IF($B455="","",IF(IFERROR(INDEX('RAID Log'!$1:$1048576,$B455,MATCH("RAID ID",'RAID Log'!$1:$1,0)),"")="","",IFERROR(INDEX('RAID Log'!$1:$1048576,$B455,MATCH("RAID ID",'RAID Log'!$1:$1,0)),"")))</f>
        <v/>
      </c>
      <c r="B455" s="83" t="str">
        <f>IFERROR(MATCH(ROW()-1,'RAID Log'!$S:$S,0),"")</f>
        <v/>
      </c>
      <c r="C455" s="84" t="str">
        <f>IF($B455="","",IF(IFERROR(INDEX('RAID Log'!$1:$1048576,$B455,MATCH("Description",'RAID Log'!$1:$1,0)),"")="","",IFERROR(INDEX('RAID Log'!$1:$1048576,$B455,MATCH("Description",'RAID Log'!$1:$1,0)),"")))</f>
        <v/>
      </c>
      <c r="D455" s="84" t="str">
        <f>IF($B455="","",IF(IFERROR(INDEX('RAID Log'!$1:$1048576,$B455,MATCH("Impact/Effect of the RAID",'RAID Log'!$1:$1,0)),"")="","",IFERROR(INDEX('RAID Log'!$1:$1048576,$B455,MATCH("Impact/Effect of the RAID",'RAID Log'!$1:$1,0)),"")))</f>
        <v/>
      </c>
      <c r="E455" s="85" t="str">
        <f>IF($B455="","",IF(IFERROR(INDEX('RAID Log'!$1:$1048576,$B455,MATCH("Impact Area",'RAID Log'!$1:$1,0)),"")="","",IFERROR(INDEX('RAID Log'!$1:$1048576,$B455,MATCH("Impact Area",'RAID Log'!$1:$1,0)),"")))</f>
        <v/>
      </c>
      <c r="F455" s="85" t="str">
        <f>IF($B455="","",IF(IFERROR(INDEX('RAID Log'!$1:$1048576,$B455,MATCH("Impact Area",'RAID Log'!$1:$1,0)),"")="","",IFERROR(INDEX('RAID Log'!$1:$1048576,$B455,MATCH("Impact Area",'RAID Log'!$1:$1,0)),"")))</f>
        <v/>
      </c>
      <c r="G455" s="85" t="str">
        <f>IF($B455="","",IF(IFERROR(INDEX('RAID Log'!$1:$1048576,$B455,MATCH("Impact Rating",'RAID Log'!$1:$1,0)),"")="","",IFERROR(INDEX('RAID Log'!$1:$1048576,$B455,MATCH("Impact Rating",'RAID Log'!$1:$1,0)),"")))</f>
        <v/>
      </c>
      <c r="H455" s="85" t="str">
        <f>IF($B455="","",IF(IFERROR(INDEX('RAID Log'!$1:$1048576,$B455,MATCH("Initial Probability",'RAID Log'!$1:$1,0)),"")="","",IFERROR(INDEX('RAID Log'!$1:$1048576,$B455,MATCH("Initial Probability",'RAID Log'!$1:$1,0)),"")))</f>
        <v/>
      </c>
      <c r="I455" s="86" t="str">
        <f t="shared" si="21"/>
        <v/>
      </c>
      <c r="J455" s="85" t="str">
        <f t="shared" si="22"/>
        <v/>
      </c>
      <c r="K455" s="86" t="str">
        <f t="shared" si="23"/>
        <v/>
      </c>
      <c r="L455" s="85" t="str">
        <f>IF($B455="","",IF(IFERROR(INDEX('RAID Log'!$1:$1048576,$B455,MATCH("Status",'RAID Log'!$1:$1,0)),"")="","",IFERROR(INDEX('RAID Log'!$1:$1048576,$B455,MATCH("Status",'RAID Log'!$1:$1,0)),"")))</f>
        <v/>
      </c>
      <c r="M455" s="85" t="str">
        <f>IF($B455="","",IF(IFERROR(INDEX('RAID Log'!$1:$1048576,$B455,MATCH("RAID Owner",'RAID Log'!$1:$1,0)),"")="","",IFERROR(INDEX('RAID Log'!$1:$1048576,$B455,MATCH("RAID Owner",'RAID Log'!$1:$1,0)),"")))</f>
        <v/>
      </c>
      <c r="N455" s="87" t="str">
        <f>IF($B455="","",IF(IFERROR(INDEX('RAID Log'!$1:$1048576,$B455,MATCH("Date Raised",'RAID Log'!$1:$1,0)),"")="","",IFERROR(INDEX('RAID Log'!$1:$1048576,$B455,MATCH("Date Raised",'RAID Log'!$1:$1,0)),"")))</f>
        <v/>
      </c>
      <c r="O455" s="87" t="str">
        <f>IF($B455="","",IF(IFERROR(INDEX('RAID Log'!$1:$1048576,$B455,MATCH("Closed Date",'RAID Log'!$1:$1,0)),"")="","",IFERROR(INDEX('RAID Log'!$1:$1048576,$B455,MATCH("Closed Date",'RAID Log'!$1:$1,0)),"")))</f>
        <v/>
      </c>
      <c r="P455" s="85" t="str">
        <f>IF($B455="","",IF(IFERROR(INDEX('RAID Log'!$1:$1048576,$B455,MATCH("Mitigation Strategy",'RAID Log'!$1:$1,0)),"")="","",IFERROR(INDEX('RAID Log'!$1:$1048576,$B455,MATCH("Mitigation Strategy",'RAID Log'!$1:$1,0)),"")))</f>
        <v/>
      </c>
      <c r="Q455" s="88" t="str">
        <f>IF($B455="","",IF(IFERROR(INDEX('RAID Log'!$1:$1048576,$B455,MATCH("RAID Response/Plan",'RAID Log'!$1:$1,0)),"")="","",IFERROR(INDEX('RAID Log'!$1:$1048576,$B455,MATCH("RAID Response/Plan",'RAID Log'!$1:$1,0)),"")))</f>
        <v/>
      </c>
    </row>
    <row r="456" spans="1:17" ht="14.25" customHeight="1">
      <c r="A456" s="82" t="str">
        <f>IF($B456="","",IF(IFERROR(INDEX('RAID Log'!$1:$1048576,$B456,MATCH("RAID ID",'RAID Log'!$1:$1,0)),"")="","",IFERROR(INDEX('RAID Log'!$1:$1048576,$B456,MATCH("RAID ID",'RAID Log'!$1:$1,0)),"")))</f>
        <v/>
      </c>
      <c r="B456" s="83" t="str">
        <f>IFERROR(MATCH(ROW()-1,'RAID Log'!$S:$S,0),"")</f>
        <v/>
      </c>
      <c r="C456" s="84" t="str">
        <f>IF($B456="","",IF(IFERROR(INDEX('RAID Log'!$1:$1048576,$B456,MATCH("Description",'RAID Log'!$1:$1,0)),"")="","",IFERROR(INDEX('RAID Log'!$1:$1048576,$B456,MATCH("Description",'RAID Log'!$1:$1,0)),"")))</f>
        <v/>
      </c>
      <c r="D456" s="84" t="str">
        <f>IF($B456="","",IF(IFERROR(INDEX('RAID Log'!$1:$1048576,$B456,MATCH("Impact/Effect of the RAID",'RAID Log'!$1:$1,0)),"")="","",IFERROR(INDEX('RAID Log'!$1:$1048576,$B456,MATCH("Impact/Effect of the RAID",'RAID Log'!$1:$1,0)),"")))</f>
        <v/>
      </c>
      <c r="E456" s="85" t="str">
        <f>IF($B456="","",IF(IFERROR(INDEX('RAID Log'!$1:$1048576,$B456,MATCH("Impact Area",'RAID Log'!$1:$1,0)),"")="","",IFERROR(INDEX('RAID Log'!$1:$1048576,$B456,MATCH("Impact Area",'RAID Log'!$1:$1,0)),"")))</f>
        <v/>
      </c>
      <c r="F456" s="85" t="str">
        <f>IF($B456="","",IF(IFERROR(INDEX('RAID Log'!$1:$1048576,$B456,MATCH("Impact Area",'RAID Log'!$1:$1,0)),"")="","",IFERROR(INDEX('RAID Log'!$1:$1048576,$B456,MATCH("Impact Area",'RAID Log'!$1:$1,0)),"")))</f>
        <v/>
      </c>
      <c r="G456" s="85" t="str">
        <f>IF($B456="","",IF(IFERROR(INDEX('RAID Log'!$1:$1048576,$B456,MATCH("Impact Rating",'RAID Log'!$1:$1,0)),"")="","",IFERROR(INDEX('RAID Log'!$1:$1048576,$B456,MATCH("Impact Rating",'RAID Log'!$1:$1,0)),"")))</f>
        <v/>
      </c>
      <c r="H456" s="85" t="str">
        <f>IF($B456="","",IF(IFERROR(INDEX('RAID Log'!$1:$1048576,$B456,MATCH("Initial Probability",'RAID Log'!$1:$1,0)),"")="","",IFERROR(INDEX('RAID Log'!$1:$1048576,$B456,MATCH("Initial Probability",'RAID Log'!$1:$1,0)),"")))</f>
        <v/>
      </c>
      <c r="I456" s="86" t="str">
        <f t="shared" si="21"/>
        <v/>
      </c>
      <c r="J456" s="85" t="str">
        <f t="shared" si="22"/>
        <v/>
      </c>
      <c r="K456" s="86" t="str">
        <f t="shared" si="23"/>
        <v/>
      </c>
      <c r="L456" s="85" t="str">
        <f>IF($B456="","",IF(IFERROR(INDEX('RAID Log'!$1:$1048576,$B456,MATCH("Status",'RAID Log'!$1:$1,0)),"")="","",IFERROR(INDEX('RAID Log'!$1:$1048576,$B456,MATCH("Status",'RAID Log'!$1:$1,0)),"")))</f>
        <v/>
      </c>
      <c r="M456" s="85" t="str">
        <f>IF($B456="","",IF(IFERROR(INDEX('RAID Log'!$1:$1048576,$B456,MATCH("RAID Owner",'RAID Log'!$1:$1,0)),"")="","",IFERROR(INDEX('RAID Log'!$1:$1048576,$B456,MATCH("RAID Owner",'RAID Log'!$1:$1,0)),"")))</f>
        <v/>
      </c>
      <c r="N456" s="87" t="str">
        <f>IF($B456="","",IF(IFERROR(INDEX('RAID Log'!$1:$1048576,$B456,MATCH("Date Raised",'RAID Log'!$1:$1,0)),"")="","",IFERROR(INDEX('RAID Log'!$1:$1048576,$B456,MATCH("Date Raised",'RAID Log'!$1:$1,0)),"")))</f>
        <v/>
      </c>
      <c r="O456" s="87" t="str">
        <f>IF($B456="","",IF(IFERROR(INDEX('RAID Log'!$1:$1048576,$B456,MATCH("Closed Date",'RAID Log'!$1:$1,0)),"")="","",IFERROR(INDEX('RAID Log'!$1:$1048576,$B456,MATCH("Closed Date",'RAID Log'!$1:$1,0)),"")))</f>
        <v/>
      </c>
      <c r="P456" s="85" t="str">
        <f>IF($B456="","",IF(IFERROR(INDEX('RAID Log'!$1:$1048576,$B456,MATCH("Mitigation Strategy",'RAID Log'!$1:$1,0)),"")="","",IFERROR(INDEX('RAID Log'!$1:$1048576,$B456,MATCH("Mitigation Strategy",'RAID Log'!$1:$1,0)),"")))</f>
        <v/>
      </c>
      <c r="Q456" s="88" t="str">
        <f>IF($B456="","",IF(IFERROR(INDEX('RAID Log'!$1:$1048576,$B456,MATCH("RAID Response/Plan",'RAID Log'!$1:$1,0)),"")="","",IFERROR(INDEX('RAID Log'!$1:$1048576,$B456,MATCH("RAID Response/Plan",'RAID Log'!$1:$1,0)),"")))</f>
        <v/>
      </c>
    </row>
    <row r="457" spans="1:17" ht="14.25" customHeight="1">
      <c r="A457" s="82" t="str">
        <f>IF($B457="","",IF(IFERROR(INDEX('RAID Log'!$1:$1048576,$B457,MATCH("RAID ID",'RAID Log'!$1:$1,0)),"")="","",IFERROR(INDEX('RAID Log'!$1:$1048576,$B457,MATCH("RAID ID",'RAID Log'!$1:$1,0)),"")))</f>
        <v/>
      </c>
      <c r="B457" s="83" t="str">
        <f>IFERROR(MATCH(ROW()-1,'RAID Log'!$S:$S,0),"")</f>
        <v/>
      </c>
      <c r="C457" s="84" t="str">
        <f>IF($B457="","",IF(IFERROR(INDEX('RAID Log'!$1:$1048576,$B457,MATCH("Description",'RAID Log'!$1:$1,0)),"")="","",IFERROR(INDEX('RAID Log'!$1:$1048576,$B457,MATCH("Description",'RAID Log'!$1:$1,0)),"")))</f>
        <v/>
      </c>
      <c r="D457" s="84" t="str">
        <f>IF($B457="","",IF(IFERROR(INDEX('RAID Log'!$1:$1048576,$B457,MATCH("Impact/Effect of the RAID",'RAID Log'!$1:$1,0)),"")="","",IFERROR(INDEX('RAID Log'!$1:$1048576,$B457,MATCH("Impact/Effect of the RAID",'RAID Log'!$1:$1,0)),"")))</f>
        <v/>
      </c>
      <c r="E457" s="85" t="str">
        <f>IF($B457="","",IF(IFERROR(INDEX('RAID Log'!$1:$1048576,$B457,MATCH("Impact Area",'RAID Log'!$1:$1,0)),"")="","",IFERROR(INDEX('RAID Log'!$1:$1048576,$B457,MATCH("Impact Area",'RAID Log'!$1:$1,0)),"")))</f>
        <v/>
      </c>
      <c r="F457" s="85" t="str">
        <f>IF($B457="","",IF(IFERROR(INDEX('RAID Log'!$1:$1048576,$B457,MATCH("Impact Area",'RAID Log'!$1:$1,0)),"")="","",IFERROR(INDEX('RAID Log'!$1:$1048576,$B457,MATCH("Impact Area",'RAID Log'!$1:$1,0)),"")))</f>
        <v/>
      </c>
      <c r="G457" s="85" t="str">
        <f>IF($B457="","",IF(IFERROR(INDEX('RAID Log'!$1:$1048576,$B457,MATCH("Impact Rating",'RAID Log'!$1:$1,0)),"")="","",IFERROR(INDEX('RAID Log'!$1:$1048576,$B457,MATCH("Impact Rating",'RAID Log'!$1:$1,0)),"")))</f>
        <v/>
      </c>
      <c r="H457" s="85" t="str">
        <f>IF($B457="","",IF(IFERROR(INDEX('RAID Log'!$1:$1048576,$B457,MATCH("Initial Probability",'RAID Log'!$1:$1,0)),"")="","",IFERROR(INDEX('RAID Log'!$1:$1048576,$B457,MATCH("Initial Probability",'RAID Log'!$1:$1,0)),"")))</f>
        <v/>
      </c>
      <c r="I457" s="86" t="str">
        <f t="shared" si="21"/>
        <v/>
      </c>
      <c r="J457" s="85" t="str">
        <f t="shared" si="22"/>
        <v/>
      </c>
      <c r="K457" s="86" t="str">
        <f t="shared" si="23"/>
        <v/>
      </c>
      <c r="L457" s="85" t="str">
        <f>IF($B457="","",IF(IFERROR(INDEX('RAID Log'!$1:$1048576,$B457,MATCH("Status",'RAID Log'!$1:$1,0)),"")="","",IFERROR(INDEX('RAID Log'!$1:$1048576,$B457,MATCH("Status",'RAID Log'!$1:$1,0)),"")))</f>
        <v/>
      </c>
      <c r="M457" s="85" t="str">
        <f>IF($B457="","",IF(IFERROR(INDEX('RAID Log'!$1:$1048576,$B457,MATCH("RAID Owner",'RAID Log'!$1:$1,0)),"")="","",IFERROR(INDEX('RAID Log'!$1:$1048576,$B457,MATCH("RAID Owner",'RAID Log'!$1:$1,0)),"")))</f>
        <v/>
      </c>
      <c r="N457" s="87" t="str">
        <f>IF($B457="","",IF(IFERROR(INDEX('RAID Log'!$1:$1048576,$B457,MATCH("Date Raised",'RAID Log'!$1:$1,0)),"")="","",IFERROR(INDEX('RAID Log'!$1:$1048576,$B457,MATCH("Date Raised",'RAID Log'!$1:$1,0)),"")))</f>
        <v/>
      </c>
      <c r="O457" s="87" t="str">
        <f>IF($B457="","",IF(IFERROR(INDEX('RAID Log'!$1:$1048576,$B457,MATCH("Closed Date",'RAID Log'!$1:$1,0)),"")="","",IFERROR(INDEX('RAID Log'!$1:$1048576,$B457,MATCH("Closed Date",'RAID Log'!$1:$1,0)),"")))</f>
        <v/>
      </c>
      <c r="P457" s="85" t="str">
        <f>IF($B457="","",IF(IFERROR(INDEX('RAID Log'!$1:$1048576,$B457,MATCH("Mitigation Strategy",'RAID Log'!$1:$1,0)),"")="","",IFERROR(INDEX('RAID Log'!$1:$1048576,$B457,MATCH("Mitigation Strategy",'RAID Log'!$1:$1,0)),"")))</f>
        <v/>
      </c>
      <c r="Q457" s="88" t="str">
        <f>IF($B457="","",IF(IFERROR(INDEX('RAID Log'!$1:$1048576,$B457,MATCH("RAID Response/Plan",'RAID Log'!$1:$1,0)),"")="","",IFERROR(INDEX('RAID Log'!$1:$1048576,$B457,MATCH("RAID Response/Plan",'RAID Log'!$1:$1,0)),"")))</f>
        <v/>
      </c>
    </row>
    <row r="458" spans="1:17" ht="14.25" customHeight="1">
      <c r="A458" s="82" t="str">
        <f>IF($B458="","",IF(IFERROR(INDEX('RAID Log'!$1:$1048576,$B458,MATCH("RAID ID",'RAID Log'!$1:$1,0)),"")="","",IFERROR(INDEX('RAID Log'!$1:$1048576,$B458,MATCH("RAID ID",'RAID Log'!$1:$1,0)),"")))</f>
        <v/>
      </c>
      <c r="B458" s="83" t="str">
        <f>IFERROR(MATCH(ROW()-1,'RAID Log'!$S:$S,0),"")</f>
        <v/>
      </c>
      <c r="C458" s="84" t="str">
        <f>IF($B458="","",IF(IFERROR(INDEX('RAID Log'!$1:$1048576,$B458,MATCH("Description",'RAID Log'!$1:$1,0)),"")="","",IFERROR(INDEX('RAID Log'!$1:$1048576,$B458,MATCH("Description",'RAID Log'!$1:$1,0)),"")))</f>
        <v/>
      </c>
      <c r="D458" s="84" t="str">
        <f>IF($B458="","",IF(IFERROR(INDEX('RAID Log'!$1:$1048576,$B458,MATCH("Impact/Effect of the RAID",'RAID Log'!$1:$1,0)),"")="","",IFERROR(INDEX('RAID Log'!$1:$1048576,$B458,MATCH("Impact/Effect of the RAID",'RAID Log'!$1:$1,0)),"")))</f>
        <v/>
      </c>
      <c r="E458" s="85" t="str">
        <f>IF($B458="","",IF(IFERROR(INDEX('RAID Log'!$1:$1048576,$B458,MATCH("Impact Area",'RAID Log'!$1:$1,0)),"")="","",IFERROR(INDEX('RAID Log'!$1:$1048576,$B458,MATCH("Impact Area",'RAID Log'!$1:$1,0)),"")))</f>
        <v/>
      </c>
      <c r="F458" s="85" t="str">
        <f>IF($B458="","",IF(IFERROR(INDEX('RAID Log'!$1:$1048576,$B458,MATCH("Impact Area",'RAID Log'!$1:$1,0)),"")="","",IFERROR(INDEX('RAID Log'!$1:$1048576,$B458,MATCH("Impact Area",'RAID Log'!$1:$1,0)),"")))</f>
        <v/>
      </c>
      <c r="G458" s="85" t="str">
        <f>IF($B458="","",IF(IFERROR(INDEX('RAID Log'!$1:$1048576,$B458,MATCH("Impact Rating",'RAID Log'!$1:$1,0)),"")="","",IFERROR(INDEX('RAID Log'!$1:$1048576,$B458,MATCH("Impact Rating",'RAID Log'!$1:$1,0)),"")))</f>
        <v/>
      </c>
      <c r="H458" s="85" t="str">
        <f>IF($B458="","",IF(IFERROR(INDEX('RAID Log'!$1:$1048576,$B458,MATCH("Initial Probability",'RAID Log'!$1:$1,0)),"")="","",IFERROR(INDEX('RAID Log'!$1:$1048576,$B458,MATCH("Initial Probability",'RAID Log'!$1:$1,0)),"")))</f>
        <v/>
      </c>
      <c r="I458" s="86" t="str">
        <f t="shared" si="21"/>
        <v/>
      </c>
      <c r="J458" s="85" t="str">
        <f t="shared" si="22"/>
        <v/>
      </c>
      <c r="K458" s="86" t="str">
        <f t="shared" si="23"/>
        <v/>
      </c>
      <c r="L458" s="85" t="str">
        <f>IF($B458="","",IF(IFERROR(INDEX('RAID Log'!$1:$1048576,$B458,MATCH("Status",'RAID Log'!$1:$1,0)),"")="","",IFERROR(INDEX('RAID Log'!$1:$1048576,$B458,MATCH("Status",'RAID Log'!$1:$1,0)),"")))</f>
        <v/>
      </c>
      <c r="M458" s="85" t="str">
        <f>IF($B458="","",IF(IFERROR(INDEX('RAID Log'!$1:$1048576,$B458,MATCH("RAID Owner",'RAID Log'!$1:$1,0)),"")="","",IFERROR(INDEX('RAID Log'!$1:$1048576,$B458,MATCH("RAID Owner",'RAID Log'!$1:$1,0)),"")))</f>
        <v/>
      </c>
      <c r="N458" s="87" t="str">
        <f>IF($B458="","",IF(IFERROR(INDEX('RAID Log'!$1:$1048576,$B458,MATCH("Date Raised",'RAID Log'!$1:$1,0)),"")="","",IFERROR(INDEX('RAID Log'!$1:$1048576,$B458,MATCH("Date Raised",'RAID Log'!$1:$1,0)),"")))</f>
        <v/>
      </c>
      <c r="O458" s="87" t="str">
        <f>IF($B458="","",IF(IFERROR(INDEX('RAID Log'!$1:$1048576,$B458,MATCH("Closed Date",'RAID Log'!$1:$1,0)),"")="","",IFERROR(INDEX('RAID Log'!$1:$1048576,$B458,MATCH("Closed Date",'RAID Log'!$1:$1,0)),"")))</f>
        <v/>
      </c>
      <c r="P458" s="85" t="str">
        <f>IF($B458="","",IF(IFERROR(INDEX('RAID Log'!$1:$1048576,$B458,MATCH("Mitigation Strategy",'RAID Log'!$1:$1,0)),"")="","",IFERROR(INDEX('RAID Log'!$1:$1048576,$B458,MATCH("Mitigation Strategy",'RAID Log'!$1:$1,0)),"")))</f>
        <v/>
      </c>
      <c r="Q458" s="88" t="str">
        <f>IF($B458="","",IF(IFERROR(INDEX('RAID Log'!$1:$1048576,$B458,MATCH("RAID Response/Plan",'RAID Log'!$1:$1,0)),"")="","",IFERROR(INDEX('RAID Log'!$1:$1048576,$B458,MATCH("RAID Response/Plan",'RAID Log'!$1:$1,0)),"")))</f>
        <v/>
      </c>
    </row>
    <row r="459" spans="1:17" ht="14.25" customHeight="1">
      <c r="A459" s="82" t="str">
        <f>IF($B459="","",IF(IFERROR(INDEX('RAID Log'!$1:$1048576,$B459,MATCH("RAID ID",'RAID Log'!$1:$1,0)),"")="","",IFERROR(INDEX('RAID Log'!$1:$1048576,$B459,MATCH("RAID ID",'RAID Log'!$1:$1,0)),"")))</f>
        <v/>
      </c>
      <c r="B459" s="83" t="str">
        <f>IFERROR(MATCH(ROW()-1,'RAID Log'!$S:$S,0),"")</f>
        <v/>
      </c>
      <c r="C459" s="84" t="str">
        <f>IF($B459="","",IF(IFERROR(INDEX('RAID Log'!$1:$1048576,$B459,MATCH("Description",'RAID Log'!$1:$1,0)),"")="","",IFERROR(INDEX('RAID Log'!$1:$1048576,$B459,MATCH("Description",'RAID Log'!$1:$1,0)),"")))</f>
        <v/>
      </c>
      <c r="D459" s="84" t="str">
        <f>IF($B459="","",IF(IFERROR(INDEX('RAID Log'!$1:$1048576,$B459,MATCH("Impact/Effect of the RAID",'RAID Log'!$1:$1,0)),"")="","",IFERROR(INDEX('RAID Log'!$1:$1048576,$B459,MATCH("Impact/Effect of the RAID",'RAID Log'!$1:$1,0)),"")))</f>
        <v/>
      </c>
      <c r="E459" s="85" t="str">
        <f>IF($B459="","",IF(IFERROR(INDEX('RAID Log'!$1:$1048576,$B459,MATCH("Impact Area",'RAID Log'!$1:$1,0)),"")="","",IFERROR(INDEX('RAID Log'!$1:$1048576,$B459,MATCH("Impact Area",'RAID Log'!$1:$1,0)),"")))</f>
        <v/>
      </c>
      <c r="F459" s="85" t="str">
        <f>IF($B459="","",IF(IFERROR(INDEX('RAID Log'!$1:$1048576,$B459,MATCH("Impact Area",'RAID Log'!$1:$1,0)),"")="","",IFERROR(INDEX('RAID Log'!$1:$1048576,$B459,MATCH("Impact Area",'RAID Log'!$1:$1,0)),"")))</f>
        <v/>
      </c>
      <c r="G459" s="85" t="str">
        <f>IF($B459="","",IF(IFERROR(INDEX('RAID Log'!$1:$1048576,$B459,MATCH("Impact Rating",'RAID Log'!$1:$1,0)),"")="","",IFERROR(INDEX('RAID Log'!$1:$1048576,$B459,MATCH("Impact Rating",'RAID Log'!$1:$1,0)),"")))</f>
        <v/>
      </c>
      <c r="H459" s="85" t="str">
        <f>IF($B459="","",IF(IFERROR(INDEX('RAID Log'!$1:$1048576,$B459,MATCH("Initial Probability",'RAID Log'!$1:$1,0)),"")="","",IFERROR(INDEX('RAID Log'!$1:$1048576,$B459,MATCH("Initial Probability",'RAID Log'!$1:$1,0)),"")))</f>
        <v/>
      </c>
      <c r="I459" s="86" t="str">
        <f t="shared" si="21"/>
        <v/>
      </c>
      <c r="J459" s="85" t="str">
        <f t="shared" si="22"/>
        <v/>
      </c>
      <c r="K459" s="86" t="str">
        <f t="shared" si="23"/>
        <v/>
      </c>
      <c r="L459" s="85" t="str">
        <f>IF($B459="","",IF(IFERROR(INDEX('RAID Log'!$1:$1048576,$B459,MATCH("Status",'RAID Log'!$1:$1,0)),"")="","",IFERROR(INDEX('RAID Log'!$1:$1048576,$B459,MATCH("Status",'RAID Log'!$1:$1,0)),"")))</f>
        <v/>
      </c>
      <c r="M459" s="85" t="str">
        <f>IF($B459="","",IF(IFERROR(INDEX('RAID Log'!$1:$1048576,$B459,MATCH("RAID Owner",'RAID Log'!$1:$1,0)),"")="","",IFERROR(INDEX('RAID Log'!$1:$1048576,$B459,MATCH("RAID Owner",'RAID Log'!$1:$1,0)),"")))</f>
        <v/>
      </c>
      <c r="N459" s="87" t="str">
        <f>IF($B459="","",IF(IFERROR(INDEX('RAID Log'!$1:$1048576,$B459,MATCH("Date Raised",'RAID Log'!$1:$1,0)),"")="","",IFERROR(INDEX('RAID Log'!$1:$1048576,$B459,MATCH("Date Raised",'RAID Log'!$1:$1,0)),"")))</f>
        <v/>
      </c>
      <c r="O459" s="87" t="str">
        <f>IF($B459="","",IF(IFERROR(INDEX('RAID Log'!$1:$1048576,$B459,MATCH("Closed Date",'RAID Log'!$1:$1,0)),"")="","",IFERROR(INDEX('RAID Log'!$1:$1048576,$B459,MATCH("Closed Date",'RAID Log'!$1:$1,0)),"")))</f>
        <v/>
      </c>
      <c r="P459" s="85" t="str">
        <f>IF($B459="","",IF(IFERROR(INDEX('RAID Log'!$1:$1048576,$B459,MATCH("Mitigation Strategy",'RAID Log'!$1:$1,0)),"")="","",IFERROR(INDEX('RAID Log'!$1:$1048576,$B459,MATCH("Mitigation Strategy",'RAID Log'!$1:$1,0)),"")))</f>
        <v/>
      </c>
      <c r="Q459" s="88" t="str">
        <f>IF($B459="","",IF(IFERROR(INDEX('RAID Log'!$1:$1048576,$B459,MATCH("RAID Response/Plan",'RAID Log'!$1:$1,0)),"")="","",IFERROR(INDEX('RAID Log'!$1:$1048576,$B459,MATCH("RAID Response/Plan",'RAID Log'!$1:$1,0)),"")))</f>
        <v/>
      </c>
    </row>
    <row r="460" spans="1:17" ht="14.25" customHeight="1">
      <c r="A460" s="82" t="str">
        <f>IF($B460="","",IF(IFERROR(INDEX('RAID Log'!$1:$1048576,$B460,MATCH("RAID ID",'RAID Log'!$1:$1,0)),"")="","",IFERROR(INDEX('RAID Log'!$1:$1048576,$B460,MATCH("RAID ID",'RAID Log'!$1:$1,0)),"")))</f>
        <v/>
      </c>
      <c r="B460" s="83" t="str">
        <f>IFERROR(MATCH(ROW()-1,'RAID Log'!$S:$S,0),"")</f>
        <v/>
      </c>
      <c r="C460" s="84" t="str">
        <f>IF($B460="","",IF(IFERROR(INDEX('RAID Log'!$1:$1048576,$B460,MATCH("Description",'RAID Log'!$1:$1,0)),"")="","",IFERROR(INDEX('RAID Log'!$1:$1048576,$B460,MATCH("Description",'RAID Log'!$1:$1,0)),"")))</f>
        <v/>
      </c>
      <c r="D460" s="84" t="str">
        <f>IF($B460="","",IF(IFERROR(INDEX('RAID Log'!$1:$1048576,$B460,MATCH("Impact/Effect of the RAID",'RAID Log'!$1:$1,0)),"")="","",IFERROR(INDEX('RAID Log'!$1:$1048576,$B460,MATCH("Impact/Effect of the RAID",'RAID Log'!$1:$1,0)),"")))</f>
        <v/>
      </c>
      <c r="E460" s="85" t="str">
        <f>IF($B460="","",IF(IFERROR(INDEX('RAID Log'!$1:$1048576,$B460,MATCH("Impact Area",'RAID Log'!$1:$1,0)),"")="","",IFERROR(INDEX('RAID Log'!$1:$1048576,$B460,MATCH("Impact Area",'RAID Log'!$1:$1,0)),"")))</f>
        <v/>
      </c>
      <c r="F460" s="85" t="str">
        <f>IF($B460="","",IF(IFERROR(INDEX('RAID Log'!$1:$1048576,$B460,MATCH("Impact Area",'RAID Log'!$1:$1,0)),"")="","",IFERROR(INDEX('RAID Log'!$1:$1048576,$B460,MATCH("Impact Area",'RAID Log'!$1:$1,0)),"")))</f>
        <v/>
      </c>
      <c r="G460" s="85" t="str">
        <f>IF($B460="","",IF(IFERROR(INDEX('RAID Log'!$1:$1048576,$B460,MATCH("Impact Rating",'RAID Log'!$1:$1,0)),"")="","",IFERROR(INDEX('RAID Log'!$1:$1048576,$B460,MATCH("Impact Rating",'RAID Log'!$1:$1,0)),"")))</f>
        <v/>
      </c>
      <c r="H460" s="85" t="str">
        <f>IF($B460="","",IF(IFERROR(INDEX('RAID Log'!$1:$1048576,$B460,MATCH("Initial Probability",'RAID Log'!$1:$1,0)),"")="","",IFERROR(INDEX('RAID Log'!$1:$1048576,$B460,MATCH("Initial Probability",'RAID Log'!$1:$1,0)),"")))</f>
        <v/>
      </c>
      <c r="I460" s="86" t="str">
        <f t="shared" si="21"/>
        <v/>
      </c>
      <c r="J460" s="85" t="str">
        <f t="shared" si="22"/>
        <v/>
      </c>
      <c r="K460" s="86" t="str">
        <f t="shared" si="23"/>
        <v/>
      </c>
      <c r="L460" s="85" t="str">
        <f>IF($B460="","",IF(IFERROR(INDEX('RAID Log'!$1:$1048576,$B460,MATCH("Status",'RAID Log'!$1:$1,0)),"")="","",IFERROR(INDEX('RAID Log'!$1:$1048576,$B460,MATCH("Status",'RAID Log'!$1:$1,0)),"")))</f>
        <v/>
      </c>
      <c r="M460" s="85" t="str">
        <f>IF($B460="","",IF(IFERROR(INDEX('RAID Log'!$1:$1048576,$B460,MATCH("RAID Owner",'RAID Log'!$1:$1,0)),"")="","",IFERROR(INDEX('RAID Log'!$1:$1048576,$B460,MATCH("RAID Owner",'RAID Log'!$1:$1,0)),"")))</f>
        <v/>
      </c>
      <c r="N460" s="87" t="str">
        <f>IF($B460="","",IF(IFERROR(INDEX('RAID Log'!$1:$1048576,$B460,MATCH("Date Raised",'RAID Log'!$1:$1,0)),"")="","",IFERROR(INDEX('RAID Log'!$1:$1048576,$B460,MATCH("Date Raised",'RAID Log'!$1:$1,0)),"")))</f>
        <v/>
      </c>
      <c r="O460" s="87" t="str">
        <f>IF($B460="","",IF(IFERROR(INDEX('RAID Log'!$1:$1048576,$B460,MATCH("Closed Date",'RAID Log'!$1:$1,0)),"")="","",IFERROR(INDEX('RAID Log'!$1:$1048576,$B460,MATCH("Closed Date",'RAID Log'!$1:$1,0)),"")))</f>
        <v/>
      </c>
      <c r="P460" s="85" t="str">
        <f>IF($B460="","",IF(IFERROR(INDEX('RAID Log'!$1:$1048576,$B460,MATCH("Mitigation Strategy",'RAID Log'!$1:$1,0)),"")="","",IFERROR(INDEX('RAID Log'!$1:$1048576,$B460,MATCH("Mitigation Strategy",'RAID Log'!$1:$1,0)),"")))</f>
        <v/>
      </c>
      <c r="Q460" s="88" t="str">
        <f>IF($B460="","",IF(IFERROR(INDEX('RAID Log'!$1:$1048576,$B460,MATCH("RAID Response/Plan",'RAID Log'!$1:$1,0)),"")="","",IFERROR(INDEX('RAID Log'!$1:$1048576,$B460,MATCH("RAID Response/Plan",'RAID Log'!$1:$1,0)),"")))</f>
        <v/>
      </c>
    </row>
    <row r="461" spans="1:17" ht="14.25" customHeight="1">
      <c r="A461" s="82" t="str">
        <f>IF($B461="","",IF(IFERROR(INDEX('RAID Log'!$1:$1048576,$B461,MATCH("RAID ID",'RAID Log'!$1:$1,0)),"")="","",IFERROR(INDEX('RAID Log'!$1:$1048576,$B461,MATCH("RAID ID",'RAID Log'!$1:$1,0)),"")))</f>
        <v/>
      </c>
      <c r="B461" s="83" t="str">
        <f>IFERROR(MATCH(ROW()-1,'RAID Log'!$S:$S,0),"")</f>
        <v/>
      </c>
      <c r="C461" s="84" t="str">
        <f>IF($B461="","",IF(IFERROR(INDEX('RAID Log'!$1:$1048576,$B461,MATCH("Description",'RAID Log'!$1:$1,0)),"")="","",IFERROR(INDEX('RAID Log'!$1:$1048576,$B461,MATCH("Description",'RAID Log'!$1:$1,0)),"")))</f>
        <v/>
      </c>
      <c r="D461" s="84" t="str">
        <f>IF($B461="","",IF(IFERROR(INDEX('RAID Log'!$1:$1048576,$B461,MATCH("Impact/Effect of the RAID",'RAID Log'!$1:$1,0)),"")="","",IFERROR(INDEX('RAID Log'!$1:$1048576,$B461,MATCH("Impact/Effect of the RAID",'RAID Log'!$1:$1,0)),"")))</f>
        <v/>
      </c>
      <c r="E461" s="85" t="str">
        <f>IF($B461="","",IF(IFERROR(INDEX('RAID Log'!$1:$1048576,$B461,MATCH("Impact Area",'RAID Log'!$1:$1,0)),"")="","",IFERROR(INDEX('RAID Log'!$1:$1048576,$B461,MATCH("Impact Area",'RAID Log'!$1:$1,0)),"")))</f>
        <v/>
      </c>
      <c r="F461" s="85" t="str">
        <f>IF($B461="","",IF(IFERROR(INDEX('RAID Log'!$1:$1048576,$B461,MATCH("Impact Area",'RAID Log'!$1:$1,0)),"")="","",IFERROR(INDEX('RAID Log'!$1:$1048576,$B461,MATCH("Impact Area",'RAID Log'!$1:$1,0)),"")))</f>
        <v/>
      </c>
      <c r="G461" s="85" t="str">
        <f>IF($B461="","",IF(IFERROR(INDEX('RAID Log'!$1:$1048576,$B461,MATCH("Impact Rating",'RAID Log'!$1:$1,0)),"")="","",IFERROR(INDEX('RAID Log'!$1:$1048576,$B461,MATCH("Impact Rating",'RAID Log'!$1:$1,0)),"")))</f>
        <v/>
      </c>
      <c r="H461" s="85" t="str">
        <f>IF($B461="","",IF(IFERROR(INDEX('RAID Log'!$1:$1048576,$B461,MATCH("Initial Probability",'RAID Log'!$1:$1,0)),"")="","",IFERROR(INDEX('RAID Log'!$1:$1048576,$B461,MATCH("Initial Probability",'RAID Log'!$1:$1,0)),"")))</f>
        <v/>
      </c>
      <c r="I461" s="86" t="str">
        <f t="shared" si="21"/>
        <v/>
      </c>
      <c r="J461" s="85" t="str">
        <f t="shared" si="22"/>
        <v/>
      </c>
      <c r="K461" s="86" t="str">
        <f t="shared" si="23"/>
        <v/>
      </c>
      <c r="L461" s="85" t="str">
        <f>IF($B461="","",IF(IFERROR(INDEX('RAID Log'!$1:$1048576,$B461,MATCH("Status",'RAID Log'!$1:$1,0)),"")="","",IFERROR(INDEX('RAID Log'!$1:$1048576,$B461,MATCH("Status",'RAID Log'!$1:$1,0)),"")))</f>
        <v/>
      </c>
      <c r="M461" s="85" t="str">
        <f>IF($B461="","",IF(IFERROR(INDEX('RAID Log'!$1:$1048576,$B461,MATCH("RAID Owner",'RAID Log'!$1:$1,0)),"")="","",IFERROR(INDEX('RAID Log'!$1:$1048576,$B461,MATCH("RAID Owner",'RAID Log'!$1:$1,0)),"")))</f>
        <v/>
      </c>
      <c r="N461" s="87" t="str">
        <f>IF($B461="","",IF(IFERROR(INDEX('RAID Log'!$1:$1048576,$B461,MATCH("Date Raised",'RAID Log'!$1:$1,0)),"")="","",IFERROR(INDEX('RAID Log'!$1:$1048576,$B461,MATCH("Date Raised",'RAID Log'!$1:$1,0)),"")))</f>
        <v/>
      </c>
      <c r="O461" s="87" t="str">
        <f>IF($B461="","",IF(IFERROR(INDEX('RAID Log'!$1:$1048576,$B461,MATCH("Closed Date",'RAID Log'!$1:$1,0)),"")="","",IFERROR(INDEX('RAID Log'!$1:$1048576,$B461,MATCH("Closed Date",'RAID Log'!$1:$1,0)),"")))</f>
        <v/>
      </c>
      <c r="P461" s="85" t="str">
        <f>IF($B461="","",IF(IFERROR(INDEX('RAID Log'!$1:$1048576,$B461,MATCH("Mitigation Strategy",'RAID Log'!$1:$1,0)),"")="","",IFERROR(INDEX('RAID Log'!$1:$1048576,$B461,MATCH("Mitigation Strategy",'RAID Log'!$1:$1,0)),"")))</f>
        <v/>
      </c>
      <c r="Q461" s="88" t="str">
        <f>IF($B461="","",IF(IFERROR(INDEX('RAID Log'!$1:$1048576,$B461,MATCH("RAID Response/Plan",'RAID Log'!$1:$1,0)),"")="","",IFERROR(INDEX('RAID Log'!$1:$1048576,$B461,MATCH("RAID Response/Plan",'RAID Log'!$1:$1,0)),"")))</f>
        <v/>
      </c>
    </row>
    <row r="462" spans="1:17" ht="14.25" customHeight="1">
      <c r="A462" s="82" t="str">
        <f>IF($B462="","",IF(IFERROR(INDEX('RAID Log'!$1:$1048576,$B462,MATCH("RAID ID",'RAID Log'!$1:$1,0)),"")="","",IFERROR(INDEX('RAID Log'!$1:$1048576,$B462,MATCH("RAID ID",'RAID Log'!$1:$1,0)),"")))</f>
        <v/>
      </c>
      <c r="B462" s="83" t="str">
        <f>IFERROR(MATCH(ROW()-1,'RAID Log'!$S:$S,0),"")</f>
        <v/>
      </c>
      <c r="C462" s="84" t="str">
        <f>IF($B462="","",IF(IFERROR(INDEX('RAID Log'!$1:$1048576,$B462,MATCH("Description",'RAID Log'!$1:$1,0)),"")="","",IFERROR(INDEX('RAID Log'!$1:$1048576,$B462,MATCH("Description",'RAID Log'!$1:$1,0)),"")))</f>
        <v/>
      </c>
      <c r="D462" s="84" t="str">
        <f>IF($B462="","",IF(IFERROR(INDEX('RAID Log'!$1:$1048576,$B462,MATCH("Impact/Effect of the RAID",'RAID Log'!$1:$1,0)),"")="","",IFERROR(INDEX('RAID Log'!$1:$1048576,$B462,MATCH("Impact/Effect of the RAID",'RAID Log'!$1:$1,0)),"")))</f>
        <v/>
      </c>
      <c r="E462" s="85" t="str">
        <f>IF($B462="","",IF(IFERROR(INDEX('RAID Log'!$1:$1048576,$B462,MATCH("Impact Area",'RAID Log'!$1:$1,0)),"")="","",IFERROR(INDEX('RAID Log'!$1:$1048576,$B462,MATCH("Impact Area",'RAID Log'!$1:$1,0)),"")))</f>
        <v/>
      </c>
      <c r="F462" s="85" t="str">
        <f>IF($B462="","",IF(IFERROR(INDEX('RAID Log'!$1:$1048576,$B462,MATCH("Impact Area",'RAID Log'!$1:$1,0)),"")="","",IFERROR(INDEX('RAID Log'!$1:$1048576,$B462,MATCH("Impact Area",'RAID Log'!$1:$1,0)),"")))</f>
        <v/>
      </c>
      <c r="G462" s="85" t="str">
        <f>IF($B462="","",IF(IFERROR(INDEX('RAID Log'!$1:$1048576,$B462,MATCH("Impact Rating",'RAID Log'!$1:$1,0)),"")="","",IFERROR(INDEX('RAID Log'!$1:$1048576,$B462,MATCH("Impact Rating",'RAID Log'!$1:$1,0)),"")))</f>
        <v/>
      </c>
      <c r="H462" s="85" t="str">
        <f>IF($B462="","",IF(IFERROR(INDEX('RAID Log'!$1:$1048576,$B462,MATCH("Initial Probability",'RAID Log'!$1:$1,0)),"")="","",IFERROR(INDEX('RAID Log'!$1:$1048576,$B462,MATCH("Initial Probability",'RAID Log'!$1:$1,0)),"")))</f>
        <v/>
      </c>
      <c r="I462" s="86" t="str">
        <f t="shared" si="21"/>
        <v/>
      </c>
      <c r="J462" s="85" t="str">
        <f t="shared" si="22"/>
        <v/>
      </c>
      <c r="K462" s="86" t="str">
        <f t="shared" si="23"/>
        <v/>
      </c>
      <c r="L462" s="85" t="str">
        <f>IF($B462="","",IF(IFERROR(INDEX('RAID Log'!$1:$1048576,$B462,MATCH("Status",'RAID Log'!$1:$1,0)),"")="","",IFERROR(INDEX('RAID Log'!$1:$1048576,$B462,MATCH("Status",'RAID Log'!$1:$1,0)),"")))</f>
        <v/>
      </c>
      <c r="M462" s="85" t="str">
        <f>IF($B462="","",IF(IFERROR(INDEX('RAID Log'!$1:$1048576,$B462,MATCH("RAID Owner",'RAID Log'!$1:$1,0)),"")="","",IFERROR(INDEX('RAID Log'!$1:$1048576,$B462,MATCH("RAID Owner",'RAID Log'!$1:$1,0)),"")))</f>
        <v/>
      </c>
      <c r="N462" s="87" t="str">
        <f>IF($B462="","",IF(IFERROR(INDEX('RAID Log'!$1:$1048576,$B462,MATCH("Date Raised",'RAID Log'!$1:$1,0)),"")="","",IFERROR(INDEX('RAID Log'!$1:$1048576,$B462,MATCH("Date Raised",'RAID Log'!$1:$1,0)),"")))</f>
        <v/>
      </c>
      <c r="O462" s="87" t="str">
        <f>IF($B462="","",IF(IFERROR(INDEX('RAID Log'!$1:$1048576,$B462,MATCH("Closed Date",'RAID Log'!$1:$1,0)),"")="","",IFERROR(INDEX('RAID Log'!$1:$1048576,$B462,MATCH("Closed Date",'RAID Log'!$1:$1,0)),"")))</f>
        <v/>
      </c>
      <c r="P462" s="85" t="str">
        <f>IF($B462="","",IF(IFERROR(INDEX('RAID Log'!$1:$1048576,$B462,MATCH("Mitigation Strategy",'RAID Log'!$1:$1,0)),"")="","",IFERROR(INDEX('RAID Log'!$1:$1048576,$B462,MATCH("Mitigation Strategy",'RAID Log'!$1:$1,0)),"")))</f>
        <v/>
      </c>
      <c r="Q462" s="88" t="str">
        <f>IF($B462="","",IF(IFERROR(INDEX('RAID Log'!$1:$1048576,$B462,MATCH("RAID Response/Plan",'RAID Log'!$1:$1,0)),"")="","",IFERROR(INDEX('RAID Log'!$1:$1048576,$B462,MATCH("RAID Response/Plan",'RAID Log'!$1:$1,0)),"")))</f>
        <v/>
      </c>
    </row>
    <row r="463" spans="1:17" ht="14.25" customHeight="1">
      <c r="A463" s="82" t="str">
        <f>IF($B463="","",IF(IFERROR(INDEX('RAID Log'!$1:$1048576,$B463,MATCH("RAID ID",'RAID Log'!$1:$1,0)),"")="","",IFERROR(INDEX('RAID Log'!$1:$1048576,$B463,MATCH("RAID ID",'RAID Log'!$1:$1,0)),"")))</f>
        <v/>
      </c>
      <c r="B463" s="83" t="str">
        <f>IFERROR(MATCH(ROW()-1,'RAID Log'!$S:$S,0),"")</f>
        <v/>
      </c>
      <c r="C463" s="84" t="str">
        <f>IF($B463="","",IF(IFERROR(INDEX('RAID Log'!$1:$1048576,$B463,MATCH("Description",'RAID Log'!$1:$1,0)),"")="","",IFERROR(INDEX('RAID Log'!$1:$1048576,$B463,MATCH("Description",'RAID Log'!$1:$1,0)),"")))</f>
        <v/>
      </c>
      <c r="D463" s="84" t="str">
        <f>IF($B463="","",IF(IFERROR(INDEX('RAID Log'!$1:$1048576,$B463,MATCH("Impact/Effect of the RAID",'RAID Log'!$1:$1,0)),"")="","",IFERROR(INDEX('RAID Log'!$1:$1048576,$B463,MATCH("Impact/Effect of the RAID",'RAID Log'!$1:$1,0)),"")))</f>
        <v/>
      </c>
      <c r="E463" s="85" t="str">
        <f>IF($B463="","",IF(IFERROR(INDEX('RAID Log'!$1:$1048576,$B463,MATCH("Impact Area",'RAID Log'!$1:$1,0)),"")="","",IFERROR(INDEX('RAID Log'!$1:$1048576,$B463,MATCH("Impact Area",'RAID Log'!$1:$1,0)),"")))</f>
        <v/>
      </c>
      <c r="F463" s="85" t="str">
        <f>IF($B463="","",IF(IFERROR(INDEX('RAID Log'!$1:$1048576,$B463,MATCH("Impact Area",'RAID Log'!$1:$1,0)),"")="","",IFERROR(INDEX('RAID Log'!$1:$1048576,$B463,MATCH("Impact Area",'RAID Log'!$1:$1,0)),"")))</f>
        <v/>
      </c>
      <c r="G463" s="85" t="str">
        <f>IF($B463="","",IF(IFERROR(INDEX('RAID Log'!$1:$1048576,$B463,MATCH("Impact Rating",'RAID Log'!$1:$1,0)),"")="","",IFERROR(INDEX('RAID Log'!$1:$1048576,$B463,MATCH("Impact Rating",'RAID Log'!$1:$1,0)),"")))</f>
        <v/>
      </c>
      <c r="H463" s="85" t="str">
        <f>IF($B463="","",IF(IFERROR(INDEX('RAID Log'!$1:$1048576,$B463,MATCH("Initial Probability",'RAID Log'!$1:$1,0)),"")="","",IFERROR(INDEX('RAID Log'!$1:$1048576,$B463,MATCH("Initial Probability",'RAID Log'!$1:$1,0)),"")))</f>
        <v/>
      </c>
      <c r="I463" s="86" t="str">
        <f t="shared" si="21"/>
        <v/>
      </c>
      <c r="J463" s="85" t="str">
        <f t="shared" si="22"/>
        <v/>
      </c>
      <c r="K463" s="86" t="str">
        <f t="shared" si="23"/>
        <v/>
      </c>
      <c r="L463" s="85" t="str">
        <f>IF($B463="","",IF(IFERROR(INDEX('RAID Log'!$1:$1048576,$B463,MATCH("Status",'RAID Log'!$1:$1,0)),"")="","",IFERROR(INDEX('RAID Log'!$1:$1048576,$B463,MATCH("Status",'RAID Log'!$1:$1,0)),"")))</f>
        <v/>
      </c>
      <c r="M463" s="85" t="str">
        <f>IF($B463="","",IF(IFERROR(INDEX('RAID Log'!$1:$1048576,$B463,MATCH("RAID Owner",'RAID Log'!$1:$1,0)),"")="","",IFERROR(INDEX('RAID Log'!$1:$1048576,$B463,MATCH("RAID Owner",'RAID Log'!$1:$1,0)),"")))</f>
        <v/>
      </c>
      <c r="N463" s="87" t="str">
        <f>IF($B463="","",IF(IFERROR(INDEX('RAID Log'!$1:$1048576,$B463,MATCH("Date Raised",'RAID Log'!$1:$1,0)),"")="","",IFERROR(INDEX('RAID Log'!$1:$1048576,$B463,MATCH("Date Raised",'RAID Log'!$1:$1,0)),"")))</f>
        <v/>
      </c>
      <c r="O463" s="87" t="str">
        <f>IF($B463="","",IF(IFERROR(INDEX('RAID Log'!$1:$1048576,$B463,MATCH("Closed Date",'RAID Log'!$1:$1,0)),"")="","",IFERROR(INDEX('RAID Log'!$1:$1048576,$B463,MATCH("Closed Date",'RAID Log'!$1:$1,0)),"")))</f>
        <v/>
      </c>
      <c r="P463" s="85" t="str">
        <f>IF($B463="","",IF(IFERROR(INDEX('RAID Log'!$1:$1048576,$B463,MATCH("Mitigation Strategy",'RAID Log'!$1:$1,0)),"")="","",IFERROR(INDEX('RAID Log'!$1:$1048576,$B463,MATCH("Mitigation Strategy",'RAID Log'!$1:$1,0)),"")))</f>
        <v/>
      </c>
      <c r="Q463" s="88" t="str">
        <f>IF($B463="","",IF(IFERROR(INDEX('RAID Log'!$1:$1048576,$B463,MATCH("RAID Response/Plan",'RAID Log'!$1:$1,0)),"")="","",IFERROR(INDEX('RAID Log'!$1:$1048576,$B463,MATCH("RAID Response/Plan",'RAID Log'!$1:$1,0)),"")))</f>
        <v/>
      </c>
    </row>
    <row r="464" spans="1:17" ht="14.25" customHeight="1">
      <c r="A464" s="82" t="str">
        <f>IF($B464="","",IF(IFERROR(INDEX('RAID Log'!$1:$1048576,$B464,MATCH("RAID ID",'RAID Log'!$1:$1,0)),"")="","",IFERROR(INDEX('RAID Log'!$1:$1048576,$B464,MATCH("RAID ID",'RAID Log'!$1:$1,0)),"")))</f>
        <v/>
      </c>
      <c r="B464" s="83" t="str">
        <f>IFERROR(MATCH(ROW()-1,'RAID Log'!$S:$S,0),"")</f>
        <v/>
      </c>
      <c r="C464" s="84" t="str">
        <f>IF($B464="","",IF(IFERROR(INDEX('RAID Log'!$1:$1048576,$B464,MATCH("Description",'RAID Log'!$1:$1,0)),"")="","",IFERROR(INDEX('RAID Log'!$1:$1048576,$B464,MATCH("Description",'RAID Log'!$1:$1,0)),"")))</f>
        <v/>
      </c>
      <c r="D464" s="84" t="str">
        <f>IF($B464="","",IF(IFERROR(INDEX('RAID Log'!$1:$1048576,$B464,MATCH("Impact/Effect of the RAID",'RAID Log'!$1:$1,0)),"")="","",IFERROR(INDEX('RAID Log'!$1:$1048576,$B464,MATCH("Impact/Effect of the RAID",'RAID Log'!$1:$1,0)),"")))</f>
        <v/>
      </c>
      <c r="E464" s="85" t="str">
        <f>IF($B464="","",IF(IFERROR(INDEX('RAID Log'!$1:$1048576,$B464,MATCH("Impact Area",'RAID Log'!$1:$1,0)),"")="","",IFERROR(INDEX('RAID Log'!$1:$1048576,$B464,MATCH("Impact Area",'RAID Log'!$1:$1,0)),"")))</f>
        <v/>
      </c>
      <c r="F464" s="85" t="str">
        <f>IF($B464="","",IF(IFERROR(INDEX('RAID Log'!$1:$1048576,$B464,MATCH("Impact Area",'RAID Log'!$1:$1,0)),"")="","",IFERROR(INDEX('RAID Log'!$1:$1048576,$B464,MATCH("Impact Area",'RAID Log'!$1:$1,0)),"")))</f>
        <v/>
      </c>
      <c r="G464" s="85" t="str">
        <f>IF($B464="","",IF(IFERROR(INDEX('RAID Log'!$1:$1048576,$B464,MATCH("Impact Rating",'RAID Log'!$1:$1,0)),"")="","",IFERROR(INDEX('RAID Log'!$1:$1048576,$B464,MATCH("Impact Rating",'RAID Log'!$1:$1,0)),"")))</f>
        <v/>
      </c>
      <c r="H464" s="85" t="str">
        <f>IF($B464="","",IF(IFERROR(INDEX('RAID Log'!$1:$1048576,$B464,MATCH("Initial Probability",'RAID Log'!$1:$1,0)),"")="","",IFERROR(INDEX('RAID Log'!$1:$1048576,$B464,MATCH("Initial Probability",'RAID Log'!$1:$1,0)),"")))</f>
        <v/>
      </c>
      <c r="I464" s="86" t="str">
        <f t="shared" si="21"/>
        <v/>
      </c>
      <c r="J464" s="85" t="str">
        <f t="shared" si="22"/>
        <v/>
      </c>
      <c r="K464" s="86" t="str">
        <f t="shared" si="23"/>
        <v/>
      </c>
      <c r="L464" s="85" t="str">
        <f>IF($B464="","",IF(IFERROR(INDEX('RAID Log'!$1:$1048576,$B464,MATCH("Status",'RAID Log'!$1:$1,0)),"")="","",IFERROR(INDEX('RAID Log'!$1:$1048576,$B464,MATCH("Status",'RAID Log'!$1:$1,0)),"")))</f>
        <v/>
      </c>
      <c r="M464" s="85" t="str">
        <f>IF($B464="","",IF(IFERROR(INDEX('RAID Log'!$1:$1048576,$B464,MATCH("RAID Owner",'RAID Log'!$1:$1,0)),"")="","",IFERROR(INDEX('RAID Log'!$1:$1048576,$B464,MATCH("RAID Owner",'RAID Log'!$1:$1,0)),"")))</f>
        <v/>
      </c>
      <c r="N464" s="87" t="str">
        <f>IF($B464="","",IF(IFERROR(INDEX('RAID Log'!$1:$1048576,$B464,MATCH("Date Raised",'RAID Log'!$1:$1,0)),"")="","",IFERROR(INDEX('RAID Log'!$1:$1048576,$B464,MATCH("Date Raised",'RAID Log'!$1:$1,0)),"")))</f>
        <v/>
      </c>
      <c r="O464" s="87" t="str">
        <f>IF($B464="","",IF(IFERROR(INDEX('RAID Log'!$1:$1048576,$B464,MATCH("Closed Date",'RAID Log'!$1:$1,0)),"")="","",IFERROR(INDEX('RAID Log'!$1:$1048576,$B464,MATCH("Closed Date",'RAID Log'!$1:$1,0)),"")))</f>
        <v/>
      </c>
      <c r="P464" s="85" t="str">
        <f>IF($B464="","",IF(IFERROR(INDEX('RAID Log'!$1:$1048576,$B464,MATCH("Mitigation Strategy",'RAID Log'!$1:$1,0)),"")="","",IFERROR(INDEX('RAID Log'!$1:$1048576,$B464,MATCH("Mitigation Strategy",'RAID Log'!$1:$1,0)),"")))</f>
        <v/>
      </c>
      <c r="Q464" s="88" t="str">
        <f>IF($B464="","",IF(IFERROR(INDEX('RAID Log'!$1:$1048576,$B464,MATCH("RAID Response/Plan",'RAID Log'!$1:$1,0)),"")="","",IFERROR(INDEX('RAID Log'!$1:$1048576,$B464,MATCH("RAID Response/Plan",'RAID Log'!$1:$1,0)),"")))</f>
        <v/>
      </c>
    </row>
    <row r="465" spans="1:17" ht="14.25" customHeight="1">
      <c r="A465" s="82" t="str">
        <f>IF($B465="","",IF(IFERROR(INDEX('RAID Log'!$1:$1048576,$B465,MATCH("RAID ID",'RAID Log'!$1:$1,0)),"")="","",IFERROR(INDEX('RAID Log'!$1:$1048576,$B465,MATCH("RAID ID",'RAID Log'!$1:$1,0)),"")))</f>
        <v/>
      </c>
      <c r="B465" s="83" t="str">
        <f>IFERROR(MATCH(ROW()-1,'RAID Log'!$S:$S,0),"")</f>
        <v/>
      </c>
      <c r="C465" s="84" t="str">
        <f>IF($B465="","",IF(IFERROR(INDEX('RAID Log'!$1:$1048576,$B465,MATCH("Description",'RAID Log'!$1:$1,0)),"")="","",IFERROR(INDEX('RAID Log'!$1:$1048576,$B465,MATCH("Description",'RAID Log'!$1:$1,0)),"")))</f>
        <v/>
      </c>
      <c r="D465" s="84" t="str">
        <f>IF($B465="","",IF(IFERROR(INDEX('RAID Log'!$1:$1048576,$B465,MATCH("Impact/Effect of the RAID",'RAID Log'!$1:$1,0)),"")="","",IFERROR(INDEX('RAID Log'!$1:$1048576,$B465,MATCH("Impact/Effect of the RAID",'RAID Log'!$1:$1,0)),"")))</f>
        <v/>
      </c>
      <c r="E465" s="85" t="str">
        <f>IF($B465="","",IF(IFERROR(INDEX('RAID Log'!$1:$1048576,$B465,MATCH("Impact Area",'RAID Log'!$1:$1,0)),"")="","",IFERROR(INDEX('RAID Log'!$1:$1048576,$B465,MATCH("Impact Area",'RAID Log'!$1:$1,0)),"")))</f>
        <v/>
      </c>
      <c r="F465" s="85" t="str">
        <f>IF($B465="","",IF(IFERROR(INDEX('RAID Log'!$1:$1048576,$B465,MATCH("Impact Area",'RAID Log'!$1:$1,0)),"")="","",IFERROR(INDEX('RAID Log'!$1:$1048576,$B465,MATCH("Impact Area",'RAID Log'!$1:$1,0)),"")))</f>
        <v/>
      </c>
      <c r="G465" s="85" t="str">
        <f>IF($B465="","",IF(IFERROR(INDEX('RAID Log'!$1:$1048576,$B465,MATCH("Impact Rating",'RAID Log'!$1:$1,0)),"")="","",IFERROR(INDEX('RAID Log'!$1:$1048576,$B465,MATCH("Impact Rating",'RAID Log'!$1:$1,0)),"")))</f>
        <v/>
      </c>
      <c r="H465" s="85" t="str">
        <f>IF($B465="","",IF(IFERROR(INDEX('RAID Log'!$1:$1048576,$B465,MATCH("Initial Probability",'RAID Log'!$1:$1,0)),"")="","",IFERROR(INDEX('RAID Log'!$1:$1048576,$B465,MATCH("Initial Probability",'RAID Log'!$1:$1,0)),"")))</f>
        <v/>
      </c>
      <c r="I465" s="86" t="str">
        <f t="shared" si="21"/>
        <v/>
      </c>
      <c r="J465" s="85" t="str">
        <f t="shared" si="22"/>
        <v/>
      </c>
      <c r="K465" s="86" t="str">
        <f t="shared" si="23"/>
        <v/>
      </c>
      <c r="L465" s="85" t="str">
        <f>IF($B465="","",IF(IFERROR(INDEX('RAID Log'!$1:$1048576,$B465,MATCH("Status",'RAID Log'!$1:$1,0)),"")="","",IFERROR(INDEX('RAID Log'!$1:$1048576,$B465,MATCH("Status",'RAID Log'!$1:$1,0)),"")))</f>
        <v/>
      </c>
      <c r="M465" s="85" t="str">
        <f>IF($B465="","",IF(IFERROR(INDEX('RAID Log'!$1:$1048576,$B465,MATCH("RAID Owner",'RAID Log'!$1:$1,0)),"")="","",IFERROR(INDEX('RAID Log'!$1:$1048576,$B465,MATCH("RAID Owner",'RAID Log'!$1:$1,0)),"")))</f>
        <v/>
      </c>
      <c r="N465" s="87" t="str">
        <f>IF($B465="","",IF(IFERROR(INDEX('RAID Log'!$1:$1048576,$B465,MATCH("Date Raised",'RAID Log'!$1:$1,0)),"")="","",IFERROR(INDEX('RAID Log'!$1:$1048576,$B465,MATCH("Date Raised",'RAID Log'!$1:$1,0)),"")))</f>
        <v/>
      </c>
      <c r="O465" s="87" t="str">
        <f>IF($B465="","",IF(IFERROR(INDEX('RAID Log'!$1:$1048576,$B465,MATCH("Closed Date",'RAID Log'!$1:$1,0)),"")="","",IFERROR(INDEX('RAID Log'!$1:$1048576,$B465,MATCH("Closed Date",'RAID Log'!$1:$1,0)),"")))</f>
        <v/>
      </c>
      <c r="P465" s="85" t="str">
        <f>IF($B465="","",IF(IFERROR(INDEX('RAID Log'!$1:$1048576,$B465,MATCH("Mitigation Strategy",'RAID Log'!$1:$1,0)),"")="","",IFERROR(INDEX('RAID Log'!$1:$1048576,$B465,MATCH("Mitigation Strategy",'RAID Log'!$1:$1,0)),"")))</f>
        <v/>
      </c>
      <c r="Q465" s="88" t="str">
        <f>IF($B465="","",IF(IFERROR(INDEX('RAID Log'!$1:$1048576,$B465,MATCH("RAID Response/Plan",'RAID Log'!$1:$1,0)),"")="","",IFERROR(INDEX('RAID Log'!$1:$1048576,$B465,MATCH("RAID Response/Plan",'RAID Log'!$1:$1,0)),"")))</f>
        <v/>
      </c>
    </row>
    <row r="466" spans="1:17" ht="14.25" customHeight="1">
      <c r="A466" s="82" t="str">
        <f>IF($B466="","",IF(IFERROR(INDEX('RAID Log'!$1:$1048576,$B466,MATCH("RAID ID",'RAID Log'!$1:$1,0)),"")="","",IFERROR(INDEX('RAID Log'!$1:$1048576,$B466,MATCH("RAID ID",'RAID Log'!$1:$1,0)),"")))</f>
        <v/>
      </c>
      <c r="B466" s="83" t="str">
        <f>IFERROR(MATCH(ROW()-1,'RAID Log'!$S:$S,0),"")</f>
        <v/>
      </c>
      <c r="C466" s="84" t="str">
        <f>IF($B466="","",IF(IFERROR(INDEX('RAID Log'!$1:$1048576,$B466,MATCH("Description",'RAID Log'!$1:$1,0)),"")="","",IFERROR(INDEX('RAID Log'!$1:$1048576,$B466,MATCH("Description",'RAID Log'!$1:$1,0)),"")))</f>
        <v/>
      </c>
      <c r="D466" s="84" t="str">
        <f>IF($B466="","",IF(IFERROR(INDEX('RAID Log'!$1:$1048576,$B466,MATCH("Impact/Effect of the RAID",'RAID Log'!$1:$1,0)),"")="","",IFERROR(INDEX('RAID Log'!$1:$1048576,$B466,MATCH("Impact/Effect of the RAID",'RAID Log'!$1:$1,0)),"")))</f>
        <v/>
      </c>
      <c r="E466" s="85" t="str">
        <f>IF($B466="","",IF(IFERROR(INDEX('RAID Log'!$1:$1048576,$B466,MATCH("Impact Area",'RAID Log'!$1:$1,0)),"")="","",IFERROR(INDEX('RAID Log'!$1:$1048576,$B466,MATCH("Impact Area",'RAID Log'!$1:$1,0)),"")))</f>
        <v/>
      </c>
      <c r="F466" s="85" t="str">
        <f>IF($B466="","",IF(IFERROR(INDEX('RAID Log'!$1:$1048576,$B466,MATCH("Impact Area",'RAID Log'!$1:$1,0)),"")="","",IFERROR(INDEX('RAID Log'!$1:$1048576,$B466,MATCH("Impact Area",'RAID Log'!$1:$1,0)),"")))</f>
        <v/>
      </c>
      <c r="G466" s="85" t="str">
        <f>IF($B466="","",IF(IFERROR(INDEX('RAID Log'!$1:$1048576,$B466,MATCH("Impact Rating",'RAID Log'!$1:$1,0)),"")="","",IFERROR(INDEX('RAID Log'!$1:$1048576,$B466,MATCH("Impact Rating",'RAID Log'!$1:$1,0)),"")))</f>
        <v/>
      </c>
      <c r="H466" s="85" t="str">
        <f>IF($B466="","",IF(IFERROR(INDEX('RAID Log'!$1:$1048576,$B466,MATCH("Initial Probability",'RAID Log'!$1:$1,0)),"")="","",IFERROR(INDEX('RAID Log'!$1:$1048576,$B466,MATCH("Initial Probability",'RAID Log'!$1:$1,0)),"")))</f>
        <v/>
      </c>
      <c r="I466" s="86" t="str">
        <f t="shared" si="21"/>
        <v/>
      </c>
      <c r="J466" s="85" t="str">
        <f t="shared" si="22"/>
        <v/>
      </c>
      <c r="K466" s="86" t="str">
        <f t="shared" si="23"/>
        <v/>
      </c>
      <c r="L466" s="85" t="str">
        <f>IF($B466="","",IF(IFERROR(INDEX('RAID Log'!$1:$1048576,$B466,MATCH("Status",'RAID Log'!$1:$1,0)),"")="","",IFERROR(INDEX('RAID Log'!$1:$1048576,$B466,MATCH("Status",'RAID Log'!$1:$1,0)),"")))</f>
        <v/>
      </c>
      <c r="M466" s="85" t="str">
        <f>IF($B466="","",IF(IFERROR(INDEX('RAID Log'!$1:$1048576,$B466,MATCH("RAID Owner",'RAID Log'!$1:$1,0)),"")="","",IFERROR(INDEX('RAID Log'!$1:$1048576,$B466,MATCH("RAID Owner",'RAID Log'!$1:$1,0)),"")))</f>
        <v/>
      </c>
      <c r="N466" s="87" t="str">
        <f>IF($B466="","",IF(IFERROR(INDEX('RAID Log'!$1:$1048576,$B466,MATCH("Date Raised",'RAID Log'!$1:$1,0)),"")="","",IFERROR(INDEX('RAID Log'!$1:$1048576,$B466,MATCH("Date Raised",'RAID Log'!$1:$1,0)),"")))</f>
        <v/>
      </c>
      <c r="O466" s="87" t="str">
        <f>IF($B466="","",IF(IFERROR(INDEX('RAID Log'!$1:$1048576,$B466,MATCH("Closed Date",'RAID Log'!$1:$1,0)),"")="","",IFERROR(INDEX('RAID Log'!$1:$1048576,$B466,MATCH("Closed Date",'RAID Log'!$1:$1,0)),"")))</f>
        <v/>
      </c>
      <c r="P466" s="85" t="str">
        <f>IF($B466="","",IF(IFERROR(INDEX('RAID Log'!$1:$1048576,$B466,MATCH("Mitigation Strategy",'RAID Log'!$1:$1,0)),"")="","",IFERROR(INDEX('RAID Log'!$1:$1048576,$B466,MATCH("Mitigation Strategy",'RAID Log'!$1:$1,0)),"")))</f>
        <v/>
      </c>
      <c r="Q466" s="88" t="str">
        <f>IF($B466="","",IF(IFERROR(INDEX('RAID Log'!$1:$1048576,$B466,MATCH("RAID Response/Plan",'RAID Log'!$1:$1,0)),"")="","",IFERROR(INDEX('RAID Log'!$1:$1048576,$B466,MATCH("RAID Response/Plan",'RAID Log'!$1:$1,0)),"")))</f>
        <v/>
      </c>
    </row>
    <row r="467" spans="1:17" ht="14.25" customHeight="1">
      <c r="A467" s="82" t="str">
        <f>IF($B467="","",IF(IFERROR(INDEX('RAID Log'!$1:$1048576,$B467,MATCH("RAID ID",'RAID Log'!$1:$1,0)),"")="","",IFERROR(INDEX('RAID Log'!$1:$1048576,$B467,MATCH("RAID ID",'RAID Log'!$1:$1,0)),"")))</f>
        <v/>
      </c>
      <c r="B467" s="83" t="str">
        <f>IFERROR(MATCH(ROW()-1,'RAID Log'!$S:$S,0),"")</f>
        <v/>
      </c>
      <c r="C467" s="84" t="str">
        <f>IF($B467="","",IF(IFERROR(INDEX('RAID Log'!$1:$1048576,$B467,MATCH("Description",'RAID Log'!$1:$1,0)),"")="","",IFERROR(INDEX('RAID Log'!$1:$1048576,$B467,MATCH("Description",'RAID Log'!$1:$1,0)),"")))</f>
        <v/>
      </c>
      <c r="D467" s="84" t="str">
        <f>IF($B467="","",IF(IFERROR(INDEX('RAID Log'!$1:$1048576,$B467,MATCH("Impact/Effect of the RAID",'RAID Log'!$1:$1,0)),"")="","",IFERROR(INDEX('RAID Log'!$1:$1048576,$B467,MATCH("Impact/Effect of the RAID",'RAID Log'!$1:$1,0)),"")))</f>
        <v/>
      </c>
      <c r="E467" s="85" t="str">
        <f>IF($B467="","",IF(IFERROR(INDEX('RAID Log'!$1:$1048576,$B467,MATCH("Impact Area",'RAID Log'!$1:$1,0)),"")="","",IFERROR(INDEX('RAID Log'!$1:$1048576,$B467,MATCH("Impact Area",'RAID Log'!$1:$1,0)),"")))</f>
        <v/>
      </c>
      <c r="F467" s="85" t="str">
        <f>IF($B467="","",IF(IFERROR(INDEX('RAID Log'!$1:$1048576,$B467,MATCH("Impact Area",'RAID Log'!$1:$1,0)),"")="","",IFERROR(INDEX('RAID Log'!$1:$1048576,$B467,MATCH("Impact Area",'RAID Log'!$1:$1,0)),"")))</f>
        <v/>
      </c>
      <c r="G467" s="85" t="str">
        <f>IF($B467="","",IF(IFERROR(INDEX('RAID Log'!$1:$1048576,$B467,MATCH("Impact Rating",'RAID Log'!$1:$1,0)),"")="","",IFERROR(INDEX('RAID Log'!$1:$1048576,$B467,MATCH("Impact Rating",'RAID Log'!$1:$1,0)),"")))</f>
        <v/>
      </c>
      <c r="H467" s="85" t="str">
        <f>IF($B467="","",IF(IFERROR(INDEX('RAID Log'!$1:$1048576,$B467,MATCH("Initial Probability",'RAID Log'!$1:$1,0)),"")="","",IFERROR(INDEX('RAID Log'!$1:$1048576,$B467,MATCH("Initial Probability",'RAID Log'!$1:$1,0)),"")))</f>
        <v/>
      </c>
      <c r="I467" s="86" t="str">
        <f t="shared" si="21"/>
        <v/>
      </c>
      <c r="J467" s="85" t="str">
        <f t="shared" si="22"/>
        <v/>
      </c>
      <c r="K467" s="86" t="str">
        <f t="shared" si="23"/>
        <v/>
      </c>
      <c r="L467" s="85" t="str">
        <f>IF($B467="","",IF(IFERROR(INDEX('RAID Log'!$1:$1048576,$B467,MATCH("Status",'RAID Log'!$1:$1,0)),"")="","",IFERROR(INDEX('RAID Log'!$1:$1048576,$B467,MATCH("Status",'RAID Log'!$1:$1,0)),"")))</f>
        <v/>
      </c>
      <c r="M467" s="85" t="str">
        <f>IF($B467="","",IF(IFERROR(INDEX('RAID Log'!$1:$1048576,$B467,MATCH("RAID Owner",'RAID Log'!$1:$1,0)),"")="","",IFERROR(INDEX('RAID Log'!$1:$1048576,$B467,MATCH("RAID Owner",'RAID Log'!$1:$1,0)),"")))</f>
        <v/>
      </c>
      <c r="N467" s="87" t="str">
        <f>IF($B467="","",IF(IFERROR(INDEX('RAID Log'!$1:$1048576,$B467,MATCH("Date Raised",'RAID Log'!$1:$1,0)),"")="","",IFERROR(INDEX('RAID Log'!$1:$1048576,$B467,MATCH("Date Raised",'RAID Log'!$1:$1,0)),"")))</f>
        <v/>
      </c>
      <c r="O467" s="87" t="str">
        <f>IF($B467="","",IF(IFERROR(INDEX('RAID Log'!$1:$1048576,$B467,MATCH("Closed Date",'RAID Log'!$1:$1,0)),"")="","",IFERROR(INDEX('RAID Log'!$1:$1048576,$B467,MATCH("Closed Date",'RAID Log'!$1:$1,0)),"")))</f>
        <v/>
      </c>
      <c r="P467" s="85" t="str">
        <f>IF($B467="","",IF(IFERROR(INDEX('RAID Log'!$1:$1048576,$B467,MATCH("Mitigation Strategy",'RAID Log'!$1:$1,0)),"")="","",IFERROR(INDEX('RAID Log'!$1:$1048576,$B467,MATCH("Mitigation Strategy",'RAID Log'!$1:$1,0)),"")))</f>
        <v/>
      </c>
      <c r="Q467" s="88" t="str">
        <f>IF($B467="","",IF(IFERROR(INDEX('RAID Log'!$1:$1048576,$B467,MATCH("RAID Response/Plan",'RAID Log'!$1:$1,0)),"")="","",IFERROR(INDEX('RAID Log'!$1:$1048576,$B467,MATCH("RAID Response/Plan",'RAID Log'!$1:$1,0)),"")))</f>
        <v/>
      </c>
    </row>
    <row r="468" spans="1:17" ht="14.25" customHeight="1">
      <c r="A468" s="82" t="str">
        <f>IF($B468="","",IF(IFERROR(INDEX('RAID Log'!$1:$1048576,$B468,MATCH("RAID ID",'RAID Log'!$1:$1,0)),"")="","",IFERROR(INDEX('RAID Log'!$1:$1048576,$B468,MATCH("RAID ID",'RAID Log'!$1:$1,0)),"")))</f>
        <v/>
      </c>
      <c r="B468" s="83" t="str">
        <f>IFERROR(MATCH(ROW()-1,'RAID Log'!$S:$S,0),"")</f>
        <v/>
      </c>
      <c r="C468" s="84" t="str">
        <f>IF($B468="","",IF(IFERROR(INDEX('RAID Log'!$1:$1048576,$B468,MATCH("Description",'RAID Log'!$1:$1,0)),"")="","",IFERROR(INDEX('RAID Log'!$1:$1048576,$B468,MATCH("Description",'RAID Log'!$1:$1,0)),"")))</f>
        <v/>
      </c>
      <c r="D468" s="84" t="str">
        <f>IF($B468="","",IF(IFERROR(INDEX('RAID Log'!$1:$1048576,$B468,MATCH("Impact/Effect of the RAID",'RAID Log'!$1:$1,0)),"")="","",IFERROR(INDEX('RAID Log'!$1:$1048576,$B468,MATCH("Impact/Effect of the RAID",'RAID Log'!$1:$1,0)),"")))</f>
        <v/>
      </c>
      <c r="E468" s="85" t="str">
        <f>IF($B468="","",IF(IFERROR(INDEX('RAID Log'!$1:$1048576,$B468,MATCH("Impact Area",'RAID Log'!$1:$1,0)),"")="","",IFERROR(INDEX('RAID Log'!$1:$1048576,$B468,MATCH("Impact Area",'RAID Log'!$1:$1,0)),"")))</f>
        <v/>
      </c>
      <c r="F468" s="85" t="str">
        <f>IF($B468="","",IF(IFERROR(INDEX('RAID Log'!$1:$1048576,$B468,MATCH("Impact Area",'RAID Log'!$1:$1,0)),"")="","",IFERROR(INDEX('RAID Log'!$1:$1048576,$B468,MATCH("Impact Area",'RAID Log'!$1:$1,0)),"")))</f>
        <v/>
      </c>
      <c r="G468" s="85" t="str">
        <f>IF($B468="","",IF(IFERROR(INDEX('RAID Log'!$1:$1048576,$B468,MATCH("Impact Rating",'RAID Log'!$1:$1,0)),"")="","",IFERROR(INDEX('RAID Log'!$1:$1048576,$B468,MATCH("Impact Rating",'RAID Log'!$1:$1,0)),"")))</f>
        <v/>
      </c>
      <c r="H468" s="85" t="str">
        <f>IF($B468="","",IF(IFERROR(INDEX('RAID Log'!$1:$1048576,$B468,MATCH("Initial Probability",'RAID Log'!$1:$1,0)),"")="","",IFERROR(INDEX('RAID Log'!$1:$1048576,$B468,MATCH("Initial Probability",'RAID Log'!$1:$1,0)),"")))</f>
        <v/>
      </c>
      <c r="I468" s="86" t="str">
        <f t="shared" si="21"/>
        <v/>
      </c>
      <c r="J468" s="85" t="str">
        <f t="shared" si="22"/>
        <v/>
      </c>
      <c r="K468" s="86" t="str">
        <f t="shared" si="23"/>
        <v/>
      </c>
      <c r="L468" s="85" t="str">
        <f>IF($B468="","",IF(IFERROR(INDEX('RAID Log'!$1:$1048576,$B468,MATCH("Status",'RAID Log'!$1:$1,0)),"")="","",IFERROR(INDEX('RAID Log'!$1:$1048576,$B468,MATCH("Status",'RAID Log'!$1:$1,0)),"")))</f>
        <v/>
      </c>
      <c r="M468" s="85" t="str">
        <f>IF($B468="","",IF(IFERROR(INDEX('RAID Log'!$1:$1048576,$B468,MATCH("RAID Owner",'RAID Log'!$1:$1,0)),"")="","",IFERROR(INDEX('RAID Log'!$1:$1048576,$B468,MATCH("RAID Owner",'RAID Log'!$1:$1,0)),"")))</f>
        <v/>
      </c>
      <c r="N468" s="87" t="str">
        <f>IF($B468="","",IF(IFERROR(INDEX('RAID Log'!$1:$1048576,$B468,MATCH("Date Raised",'RAID Log'!$1:$1,0)),"")="","",IFERROR(INDEX('RAID Log'!$1:$1048576,$B468,MATCH("Date Raised",'RAID Log'!$1:$1,0)),"")))</f>
        <v/>
      </c>
      <c r="O468" s="87" t="str">
        <f>IF($B468="","",IF(IFERROR(INDEX('RAID Log'!$1:$1048576,$B468,MATCH("Closed Date",'RAID Log'!$1:$1,0)),"")="","",IFERROR(INDEX('RAID Log'!$1:$1048576,$B468,MATCH("Closed Date",'RAID Log'!$1:$1,0)),"")))</f>
        <v/>
      </c>
      <c r="P468" s="85" t="str">
        <f>IF($B468="","",IF(IFERROR(INDEX('RAID Log'!$1:$1048576,$B468,MATCH("Mitigation Strategy",'RAID Log'!$1:$1,0)),"")="","",IFERROR(INDEX('RAID Log'!$1:$1048576,$B468,MATCH("Mitigation Strategy",'RAID Log'!$1:$1,0)),"")))</f>
        <v/>
      </c>
      <c r="Q468" s="88" t="str">
        <f>IF($B468="","",IF(IFERROR(INDEX('RAID Log'!$1:$1048576,$B468,MATCH("RAID Response/Plan",'RAID Log'!$1:$1,0)),"")="","",IFERROR(INDEX('RAID Log'!$1:$1048576,$B468,MATCH("RAID Response/Plan",'RAID Log'!$1:$1,0)),"")))</f>
        <v/>
      </c>
    </row>
    <row r="469" spans="1:17" ht="14.25" customHeight="1">
      <c r="A469" s="82" t="str">
        <f>IF($B469="","",IF(IFERROR(INDEX('RAID Log'!$1:$1048576,$B469,MATCH("RAID ID",'RAID Log'!$1:$1,0)),"")="","",IFERROR(INDEX('RAID Log'!$1:$1048576,$B469,MATCH("RAID ID",'RAID Log'!$1:$1,0)),"")))</f>
        <v/>
      </c>
      <c r="B469" s="83" t="str">
        <f>IFERROR(MATCH(ROW()-1,'RAID Log'!$S:$S,0),"")</f>
        <v/>
      </c>
      <c r="C469" s="84" t="str">
        <f>IF($B469="","",IF(IFERROR(INDEX('RAID Log'!$1:$1048576,$B469,MATCH("Description",'RAID Log'!$1:$1,0)),"")="","",IFERROR(INDEX('RAID Log'!$1:$1048576,$B469,MATCH("Description",'RAID Log'!$1:$1,0)),"")))</f>
        <v/>
      </c>
      <c r="D469" s="84" t="str">
        <f>IF($B469="","",IF(IFERROR(INDEX('RAID Log'!$1:$1048576,$B469,MATCH("Impact/Effect of the RAID",'RAID Log'!$1:$1,0)),"")="","",IFERROR(INDEX('RAID Log'!$1:$1048576,$B469,MATCH("Impact/Effect of the RAID",'RAID Log'!$1:$1,0)),"")))</f>
        <v/>
      </c>
      <c r="E469" s="85" t="str">
        <f>IF($B469="","",IF(IFERROR(INDEX('RAID Log'!$1:$1048576,$B469,MATCH("Impact Area",'RAID Log'!$1:$1,0)),"")="","",IFERROR(INDEX('RAID Log'!$1:$1048576,$B469,MATCH("Impact Area",'RAID Log'!$1:$1,0)),"")))</f>
        <v/>
      </c>
      <c r="F469" s="85" t="str">
        <f>IF($B469="","",IF(IFERROR(INDEX('RAID Log'!$1:$1048576,$B469,MATCH("Impact Area",'RAID Log'!$1:$1,0)),"")="","",IFERROR(INDEX('RAID Log'!$1:$1048576,$B469,MATCH("Impact Area",'RAID Log'!$1:$1,0)),"")))</f>
        <v/>
      </c>
      <c r="G469" s="85" t="str">
        <f>IF($B469="","",IF(IFERROR(INDEX('RAID Log'!$1:$1048576,$B469,MATCH("Impact Rating",'RAID Log'!$1:$1,0)),"")="","",IFERROR(INDEX('RAID Log'!$1:$1048576,$B469,MATCH("Impact Rating",'RAID Log'!$1:$1,0)),"")))</f>
        <v/>
      </c>
      <c r="H469" s="85" t="str">
        <f>IF($B469="","",IF(IFERROR(INDEX('RAID Log'!$1:$1048576,$B469,MATCH("Initial Probability",'RAID Log'!$1:$1,0)),"")="","",IFERROR(INDEX('RAID Log'!$1:$1048576,$B469,MATCH("Initial Probability",'RAID Log'!$1:$1,0)),"")))</f>
        <v/>
      </c>
      <c r="I469" s="86" t="str">
        <f t="shared" si="21"/>
        <v/>
      </c>
      <c r="J469" s="85" t="str">
        <f t="shared" si="22"/>
        <v/>
      </c>
      <c r="K469" s="86" t="str">
        <f t="shared" si="23"/>
        <v/>
      </c>
      <c r="L469" s="85" t="str">
        <f>IF($B469="","",IF(IFERROR(INDEX('RAID Log'!$1:$1048576,$B469,MATCH("Status",'RAID Log'!$1:$1,0)),"")="","",IFERROR(INDEX('RAID Log'!$1:$1048576,$B469,MATCH("Status",'RAID Log'!$1:$1,0)),"")))</f>
        <v/>
      </c>
      <c r="M469" s="85" t="str">
        <f>IF($B469="","",IF(IFERROR(INDEX('RAID Log'!$1:$1048576,$B469,MATCH("RAID Owner",'RAID Log'!$1:$1,0)),"")="","",IFERROR(INDEX('RAID Log'!$1:$1048576,$B469,MATCH("RAID Owner",'RAID Log'!$1:$1,0)),"")))</f>
        <v/>
      </c>
      <c r="N469" s="87" t="str">
        <f>IF($B469="","",IF(IFERROR(INDEX('RAID Log'!$1:$1048576,$B469,MATCH("Date Raised",'RAID Log'!$1:$1,0)),"")="","",IFERROR(INDEX('RAID Log'!$1:$1048576,$B469,MATCH("Date Raised",'RAID Log'!$1:$1,0)),"")))</f>
        <v/>
      </c>
      <c r="O469" s="87" t="str">
        <f>IF($B469="","",IF(IFERROR(INDEX('RAID Log'!$1:$1048576,$B469,MATCH("Closed Date",'RAID Log'!$1:$1,0)),"")="","",IFERROR(INDEX('RAID Log'!$1:$1048576,$B469,MATCH("Closed Date",'RAID Log'!$1:$1,0)),"")))</f>
        <v/>
      </c>
      <c r="P469" s="85" t="str">
        <f>IF($B469="","",IF(IFERROR(INDEX('RAID Log'!$1:$1048576,$B469,MATCH("Mitigation Strategy",'RAID Log'!$1:$1,0)),"")="","",IFERROR(INDEX('RAID Log'!$1:$1048576,$B469,MATCH("Mitigation Strategy",'RAID Log'!$1:$1,0)),"")))</f>
        <v/>
      </c>
      <c r="Q469" s="88" t="str">
        <f>IF($B469="","",IF(IFERROR(INDEX('RAID Log'!$1:$1048576,$B469,MATCH("RAID Response/Plan",'RAID Log'!$1:$1,0)),"")="","",IFERROR(INDEX('RAID Log'!$1:$1048576,$B469,MATCH("RAID Response/Plan",'RAID Log'!$1:$1,0)),"")))</f>
        <v/>
      </c>
    </row>
    <row r="470" spans="1:17" ht="14.25" customHeight="1">
      <c r="A470" s="82" t="str">
        <f>IF($B470="","",IF(IFERROR(INDEX('RAID Log'!$1:$1048576,$B470,MATCH("RAID ID",'RAID Log'!$1:$1,0)),"")="","",IFERROR(INDEX('RAID Log'!$1:$1048576,$B470,MATCH("RAID ID",'RAID Log'!$1:$1,0)),"")))</f>
        <v/>
      </c>
      <c r="B470" s="83" t="str">
        <f>IFERROR(MATCH(ROW()-1,'RAID Log'!$S:$S,0),"")</f>
        <v/>
      </c>
      <c r="C470" s="84" t="str">
        <f>IF($B470="","",IF(IFERROR(INDEX('RAID Log'!$1:$1048576,$B470,MATCH("Description",'RAID Log'!$1:$1,0)),"")="","",IFERROR(INDEX('RAID Log'!$1:$1048576,$B470,MATCH("Description",'RAID Log'!$1:$1,0)),"")))</f>
        <v/>
      </c>
      <c r="D470" s="84" t="str">
        <f>IF($B470="","",IF(IFERROR(INDEX('RAID Log'!$1:$1048576,$B470,MATCH("Impact/Effect of the RAID",'RAID Log'!$1:$1,0)),"")="","",IFERROR(INDEX('RAID Log'!$1:$1048576,$B470,MATCH("Impact/Effect of the RAID",'RAID Log'!$1:$1,0)),"")))</f>
        <v/>
      </c>
      <c r="E470" s="85" t="str">
        <f>IF($B470="","",IF(IFERROR(INDEX('RAID Log'!$1:$1048576,$B470,MATCH("Impact Area",'RAID Log'!$1:$1,0)),"")="","",IFERROR(INDEX('RAID Log'!$1:$1048576,$B470,MATCH("Impact Area",'RAID Log'!$1:$1,0)),"")))</f>
        <v/>
      </c>
      <c r="F470" s="85" t="str">
        <f>IF($B470="","",IF(IFERROR(INDEX('RAID Log'!$1:$1048576,$B470,MATCH("Impact Area",'RAID Log'!$1:$1,0)),"")="","",IFERROR(INDEX('RAID Log'!$1:$1048576,$B470,MATCH("Impact Area",'RAID Log'!$1:$1,0)),"")))</f>
        <v/>
      </c>
      <c r="G470" s="85" t="str">
        <f>IF($B470="","",IF(IFERROR(INDEX('RAID Log'!$1:$1048576,$B470,MATCH("Impact Rating",'RAID Log'!$1:$1,0)),"")="","",IFERROR(INDEX('RAID Log'!$1:$1048576,$B470,MATCH("Impact Rating",'RAID Log'!$1:$1,0)),"")))</f>
        <v/>
      </c>
      <c r="H470" s="85" t="str">
        <f>IF($B470="","",IF(IFERROR(INDEX('RAID Log'!$1:$1048576,$B470,MATCH("Initial Probability",'RAID Log'!$1:$1,0)),"")="","",IFERROR(INDEX('RAID Log'!$1:$1048576,$B470,MATCH("Initial Probability",'RAID Log'!$1:$1,0)),"")))</f>
        <v/>
      </c>
      <c r="I470" s="86" t="str">
        <f t="shared" si="21"/>
        <v/>
      </c>
      <c r="J470" s="85" t="str">
        <f t="shared" si="22"/>
        <v/>
      </c>
      <c r="K470" s="86" t="str">
        <f t="shared" si="23"/>
        <v/>
      </c>
      <c r="L470" s="85" t="str">
        <f>IF($B470="","",IF(IFERROR(INDEX('RAID Log'!$1:$1048576,$B470,MATCH("Status",'RAID Log'!$1:$1,0)),"")="","",IFERROR(INDEX('RAID Log'!$1:$1048576,$B470,MATCH("Status",'RAID Log'!$1:$1,0)),"")))</f>
        <v/>
      </c>
      <c r="M470" s="85" t="str">
        <f>IF($B470="","",IF(IFERROR(INDEX('RAID Log'!$1:$1048576,$B470,MATCH("RAID Owner",'RAID Log'!$1:$1,0)),"")="","",IFERROR(INDEX('RAID Log'!$1:$1048576,$B470,MATCH("RAID Owner",'RAID Log'!$1:$1,0)),"")))</f>
        <v/>
      </c>
      <c r="N470" s="87" t="str">
        <f>IF($B470="","",IF(IFERROR(INDEX('RAID Log'!$1:$1048576,$B470,MATCH("Date Raised",'RAID Log'!$1:$1,0)),"")="","",IFERROR(INDEX('RAID Log'!$1:$1048576,$B470,MATCH("Date Raised",'RAID Log'!$1:$1,0)),"")))</f>
        <v/>
      </c>
      <c r="O470" s="87" t="str">
        <f>IF($B470="","",IF(IFERROR(INDEX('RAID Log'!$1:$1048576,$B470,MATCH("Closed Date",'RAID Log'!$1:$1,0)),"")="","",IFERROR(INDEX('RAID Log'!$1:$1048576,$B470,MATCH("Closed Date",'RAID Log'!$1:$1,0)),"")))</f>
        <v/>
      </c>
      <c r="P470" s="85" t="str">
        <f>IF($B470="","",IF(IFERROR(INDEX('RAID Log'!$1:$1048576,$B470,MATCH("Mitigation Strategy",'RAID Log'!$1:$1,0)),"")="","",IFERROR(INDEX('RAID Log'!$1:$1048576,$B470,MATCH("Mitigation Strategy",'RAID Log'!$1:$1,0)),"")))</f>
        <v/>
      </c>
      <c r="Q470" s="88" t="str">
        <f>IF($B470="","",IF(IFERROR(INDEX('RAID Log'!$1:$1048576,$B470,MATCH("RAID Response/Plan",'RAID Log'!$1:$1,0)),"")="","",IFERROR(INDEX('RAID Log'!$1:$1048576,$B470,MATCH("RAID Response/Plan",'RAID Log'!$1:$1,0)),"")))</f>
        <v/>
      </c>
    </row>
    <row r="471" spans="1:17" ht="14.25" customHeight="1">
      <c r="A471" s="82" t="str">
        <f>IF($B471="","",IF(IFERROR(INDEX('RAID Log'!$1:$1048576,$B471,MATCH("RAID ID",'RAID Log'!$1:$1,0)),"")="","",IFERROR(INDEX('RAID Log'!$1:$1048576,$B471,MATCH("RAID ID",'RAID Log'!$1:$1,0)),"")))</f>
        <v/>
      </c>
      <c r="B471" s="83" t="str">
        <f>IFERROR(MATCH(ROW()-1,'RAID Log'!$S:$S,0),"")</f>
        <v/>
      </c>
      <c r="C471" s="84" t="str">
        <f>IF($B471="","",IF(IFERROR(INDEX('RAID Log'!$1:$1048576,$B471,MATCH("Description",'RAID Log'!$1:$1,0)),"")="","",IFERROR(INDEX('RAID Log'!$1:$1048576,$B471,MATCH("Description",'RAID Log'!$1:$1,0)),"")))</f>
        <v/>
      </c>
      <c r="D471" s="84" t="str">
        <f>IF($B471="","",IF(IFERROR(INDEX('RAID Log'!$1:$1048576,$B471,MATCH("Impact/Effect of the RAID",'RAID Log'!$1:$1,0)),"")="","",IFERROR(INDEX('RAID Log'!$1:$1048576,$B471,MATCH("Impact/Effect of the RAID",'RAID Log'!$1:$1,0)),"")))</f>
        <v/>
      </c>
      <c r="E471" s="85" t="str">
        <f>IF($B471="","",IF(IFERROR(INDEX('RAID Log'!$1:$1048576,$B471,MATCH("Impact Area",'RAID Log'!$1:$1,0)),"")="","",IFERROR(INDEX('RAID Log'!$1:$1048576,$B471,MATCH("Impact Area",'RAID Log'!$1:$1,0)),"")))</f>
        <v/>
      </c>
      <c r="F471" s="85" t="str">
        <f>IF($B471="","",IF(IFERROR(INDEX('RAID Log'!$1:$1048576,$B471,MATCH("Impact Area",'RAID Log'!$1:$1,0)),"")="","",IFERROR(INDEX('RAID Log'!$1:$1048576,$B471,MATCH("Impact Area",'RAID Log'!$1:$1,0)),"")))</f>
        <v/>
      </c>
      <c r="G471" s="85" t="str">
        <f>IF($B471="","",IF(IFERROR(INDEX('RAID Log'!$1:$1048576,$B471,MATCH("Impact Rating",'RAID Log'!$1:$1,0)),"")="","",IFERROR(INDEX('RAID Log'!$1:$1048576,$B471,MATCH("Impact Rating",'RAID Log'!$1:$1,0)),"")))</f>
        <v/>
      </c>
      <c r="H471" s="85" t="str">
        <f>IF($B471="","",IF(IFERROR(INDEX('RAID Log'!$1:$1048576,$B471,MATCH("Initial Probability",'RAID Log'!$1:$1,0)),"")="","",IFERROR(INDEX('RAID Log'!$1:$1048576,$B471,MATCH("Initial Probability",'RAID Log'!$1:$1,0)),"")))</f>
        <v/>
      </c>
      <c r="I471" s="86" t="str">
        <f t="shared" si="21"/>
        <v/>
      </c>
      <c r="J471" s="85" t="str">
        <f t="shared" si="22"/>
        <v/>
      </c>
      <c r="K471" s="86" t="str">
        <f t="shared" si="23"/>
        <v/>
      </c>
      <c r="L471" s="85" t="str">
        <f>IF($B471="","",IF(IFERROR(INDEX('RAID Log'!$1:$1048576,$B471,MATCH("Status",'RAID Log'!$1:$1,0)),"")="","",IFERROR(INDEX('RAID Log'!$1:$1048576,$B471,MATCH("Status",'RAID Log'!$1:$1,0)),"")))</f>
        <v/>
      </c>
      <c r="M471" s="85" t="str">
        <f>IF($B471="","",IF(IFERROR(INDEX('RAID Log'!$1:$1048576,$B471,MATCH("RAID Owner",'RAID Log'!$1:$1,0)),"")="","",IFERROR(INDEX('RAID Log'!$1:$1048576,$B471,MATCH("RAID Owner",'RAID Log'!$1:$1,0)),"")))</f>
        <v/>
      </c>
      <c r="N471" s="87" t="str">
        <f>IF($B471="","",IF(IFERROR(INDEX('RAID Log'!$1:$1048576,$B471,MATCH("Date Raised",'RAID Log'!$1:$1,0)),"")="","",IFERROR(INDEX('RAID Log'!$1:$1048576,$B471,MATCH("Date Raised",'RAID Log'!$1:$1,0)),"")))</f>
        <v/>
      </c>
      <c r="O471" s="87" t="str">
        <f>IF($B471="","",IF(IFERROR(INDEX('RAID Log'!$1:$1048576,$B471,MATCH("Closed Date",'RAID Log'!$1:$1,0)),"")="","",IFERROR(INDEX('RAID Log'!$1:$1048576,$B471,MATCH("Closed Date",'RAID Log'!$1:$1,0)),"")))</f>
        <v/>
      </c>
      <c r="P471" s="85" t="str">
        <f>IF($B471="","",IF(IFERROR(INDEX('RAID Log'!$1:$1048576,$B471,MATCH("Mitigation Strategy",'RAID Log'!$1:$1,0)),"")="","",IFERROR(INDEX('RAID Log'!$1:$1048576,$B471,MATCH("Mitigation Strategy",'RAID Log'!$1:$1,0)),"")))</f>
        <v/>
      </c>
      <c r="Q471" s="88" t="str">
        <f>IF($B471="","",IF(IFERROR(INDEX('RAID Log'!$1:$1048576,$B471,MATCH("RAID Response/Plan",'RAID Log'!$1:$1,0)),"")="","",IFERROR(INDEX('RAID Log'!$1:$1048576,$B471,MATCH("RAID Response/Plan",'RAID Log'!$1:$1,0)),"")))</f>
        <v/>
      </c>
    </row>
    <row r="472" spans="1:17" ht="14.25" customHeight="1">
      <c r="A472" s="82" t="str">
        <f>IF($B472="","",IF(IFERROR(INDEX('RAID Log'!$1:$1048576,$B472,MATCH("RAID ID",'RAID Log'!$1:$1,0)),"")="","",IFERROR(INDEX('RAID Log'!$1:$1048576,$B472,MATCH("RAID ID",'RAID Log'!$1:$1,0)),"")))</f>
        <v/>
      </c>
      <c r="B472" s="83" t="str">
        <f>IFERROR(MATCH(ROW()-1,'RAID Log'!$S:$S,0),"")</f>
        <v/>
      </c>
      <c r="C472" s="84" t="str">
        <f>IF($B472="","",IF(IFERROR(INDEX('RAID Log'!$1:$1048576,$B472,MATCH("Description",'RAID Log'!$1:$1,0)),"")="","",IFERROR(INDEX('RAID Log'!$1:$1048576,$B472,MATCH("Description",'RAID Log'!$1:$1,0)),"")))</f>
        <v/>
      </c>
      <c r="D472" s="84" t="str">
        <f>IF($B472="","",IF(IFERROR(INDEX('RAID Log'!$1:$1048576,$B472,MATCH("Impact/Effect of the RAID",'RAID Log'!$1:$1,0)),"")="","",IFERROR(INDEX('RAID Log'!$1:$1048576,$B472,MATCH("Impact/Effect of the RAID",'RAID Log'!$1:$1,0)),"")))</f>
        <v/>
      </c>
      <c r="E472" s="85" t="str">
        <f>IF($B472="","",IF(IFERROR(INDEX('RAID Log'!$1:$1048576,$B472,MATCH("Impact Area",'RAID Log'!$1:$1,0)),"")="","",IFERROR(INDEX('RAID Log'!$1:$1048576,$B472,MATCH("Impact Area",'RAID Log'!$1:$1,0)),"")))</f>
        <v/>
      </c>
      <c r="F472" s="85" t="str">
        <f>IF($B472="","",IF(IFERROR(INDEX('RAID Log'!$1:$1048576,$B472,MATCH("Impact Area",'RAID Log'!$1:$1,0)),"")="","",IFERROR(INDEX('RAID Log'!$1:$1048576,$B472,MATCH("Impact Area",'RAID Log'!$1:$1,0)),"")))</f>
        <v/>
      </c>
      <c r="G472" s="85" t="str">
        <f>IF($B472="","",IF(IFERROR(INDEX('RAID Log'!$1:$1048576,$B472,MATCH("Impact Rating",'RAID Log'!$1:$1,0)),"")="","",IFERROR(INDEX('RAID Log'!$1:$1048576,$B472,MATCH("Impact Rating",'RAID Log'!$1:$1,0)),"")))</f>
        <v/>
      </c>
      <c r="H472" s="85" t="str">
        <f>IF($B472="","",IF(IFERROR(INDEX('RAID Log'!$1:$1048576,$B472,MATCH("Initial Probability",'RAID Log'!$1:$1,0)),"")="","",IFERROR(INDEX('RAID Log'!$1:$1048576,$B472,MATCH("Initial Probability",'RAID Log'!$1:$1,0)),"")))</f>
        <v/>
      </c>
      <c r="I472" s="86" t="str">
        <f t="shared" si="21"/>
        <v/>
      </c>
      <c r="J472" s="85" t="str">
        <f t="shared" si="22"/>
        <v/>
      </c>
      <c r="K472" s="86" t="str">
        <f t="shared" si="23"/>
        <v/>
      </c>
      <c r="L472" s="85" t="str">
        <f>IF($B472="","",IF(IFERROR(INDEX('RAID Log'!$1:$1048576,$B472,MATCH("Status",'RAID Log'!$1:$1,0)),"")="","",IFERROR(INDEX('RAID Log'!$1:$1048576,$B472,MATCH("Status",'RAID Log'!$1:$1,0)),"")))</f>
        <v/>
      </c>
      <c r="M472" s="85" t="str">
        <f>IF($B472="","",IF(IFERROR(INDEX('RAID Log'!$1:$1048576,$B472,MATCH("RAID Owner",'RAID Log'!$1:$1,0)),"")="","",IFERROR(INDEX('RAID Log'!$1:$1048576,$B472,MATCH("RAID Owner",'RAID Log'!$1:$1,0)),"")))</f>
        <v/>
      </c>
      <c r="N472" s="87" t="str">
        <f>IF($B472="","",IF(IFERROR(INDEX('RAID Log'!$1:$1048576,$B472,MATCH("Date Raised",'RAID Log'!$1:$1,0)),"")="","",IFERROR(INDEX('RAID Log'!$1:$1048576,$B472,MATCH("Date Raised",'RAID Log'!$1:$1,0)),"")))</f>
        <v/>
      </c>
      <c r="O472" s="87" t="str">
        <f>IF($B472="","",IF(IFERROR(INDEX('RAID Log'!$1:$1048576,$B472,MATCH("Closed Date",'RAID Log'!$1:$1,0)),"")="","",IFERROR(INDEX('RAID Log'!$1:$1048576,$B472,MATCH("Closed Date",'RAID Log'!$1:$1,0)),"")))</f>
        <v/>
      </c>
      <c r="P472" s="85" t="str">
        <f>IF($B472="","",IF(IFERROR(INDEX('RAID Log'!$1:$1048576,$B472,MATCH("Mitigation Strategy",'RAID Log'!$1:$1,0)),"")="","",IFERROR(INDEX('RAID Log'!$1:$1048576,$B472,MATCH("Mitigation Strategy",'RAID Log'!$1:$1,0)),"")))</f>
        <v/>
      </c>
      <c r="Q472" s="88" t="str">
        <f>IF($B472="","",IF(IFERROR(INDEX('RAID Log'!$1:$1048576,$B472,MATCH("RAID Response/Plan",'RAID Log'!$1:$1,0)),"")="","",IFERROR(INDEX('RAID Log'!$1:$1048576,$B472,MATCH("RAID Response/Plan",'RAID Log'!$1:$1,0)),"")))</f>
        <v/>
      </c>
    </row>
    <row r="473" spans="1:17" ht="14.25" customHeight="1">
      <c r="A473" s="82" t="str">
        <f>IF($B473="","",IF(IFERROR(INDEX('RAID Log'!$1:$1048576,$B473,MATCH("RAID ID",'RAID Log'!$1:$1,0)),"")="","",IFERROR(INDEX('RAID Log'!$1:$1048576,$B473,MATCH("RAID ID",'RAID Log'!$1:$1,0)),"")))</f>
        <v/>
      </c>
      <c r="B473" s="83" t="str">
        <f>IFERROR(MATCH(ROW()-1,'RAID Log'!$S:$S,0),"")</f>
        <v/>
      </c>
      <c r="C473" s="84" t="str">
        <f>IF($B473="","",IF(IFERROR(INDEX('RAID Log'!$1:$1048576,$B473,MATCH("Description",'RAID Log'!$1:$1,0)),"")="","",IFERROR(INDEX('RAID Log'!$1:$1048576,$B473,MATCH("Description",'RAID Log'!$1:$1,0)),"")))</f>
        <v/>
      </c>
      <c r="D473" s="84" t="str">
        <f>IF($B473="","",IF(IFERROR(INDEX('RAID Log'!$1:$1048576,$B473,MATCH("Impact/Effect of the RAID",'RAID Log'!$1:$1,0)),"")="","",IFERROR(INDEX('RAID Log'!$1:$1048576,$B473,MATCH("Impact/Effect of the RAID",'RAID Log'!$1:$1,0)),"")))</f>
        <v/>
      </c>
      <c r="E473" s="85" t="str">
        <f>IF($B473="","",IF(IFERROR(INDEX('RAID Log'!$1:$1048576,$B473,MATCH("Impact Area",'RAID Log'!$1:$1,0)),"")="","",IFERROR(INDEX('RAID Log'!$1:$1048576,$B473,MATCH("Impact Area",'RAID Log'!$1:$1,0)),"")))</f>
        <v/>
      </c>
      <c r="F473" s="85" t="str">
        <f>IF($B473="","",IF(IFERROR(INDEX('RAID Log'!$1:$1048576,$B473,MATCH("Impact Area",'RAID Log'!$1:$1,0)),"")="","",IFERROR(INDEX('RAID Log'!$1:$1048576,$B473,MATCH("Impact Area",'RAID Log'!$1:$1,0)),"")))</f>
        <v/>
      </c>
      <c r="G473" s="85" t="str">
        <f>IF($B473="","",IF(IFERROR(INDEX('RAID Log'!$1:$1048576,$B473,MATCH("Impact Rating",'RAID Log'!$1:$1,0)),"")="","",IFERROR(INDEX('RAID Log'!$1:$1048576,$B473,MATCH("Impact Rating",'RAID Log'!$1:$1,0)),"")))</f>
        <v/>
      </c>
      <c r="H473" s="85" t="str">
        <f>IF($B473="","",IF(IFERROR(INDEX('RAID Log'!$1:$1048576,$B473,MATCH("Initial Probability",'RAID Log'!$1:$1,0)),"")="","",IFERROR(INDEX('RAID Log'!$1:$1048576,$B473,MATCH("Initial Probability",'RAID Log'!$1:$1,0)),"")))</f>
        <v/>
      </c>
      <c r="I473" s="86" t="str">
        <f t="shared" si="21"/>
        <v/>
      </c>
      <c r="J473" s="85" t="str">
        <f t="shared" si="22"/>
        <v/>
      </c>
      <c r="K473" s="86" t="str">
        <f t="shared" si="23"/>
        <v/>
      </c>
      <c r="L473" s="85" t="str">
        <f>IF($B473="","",IF(IFERROR(INDEX('RAID Log'!$1:$1048576,$B473,MATCH("Status",'RAID Log'!$1:$1,0)),"")="","",IFERROR(INDEX('RAID Log'!$1:$1048576,$B473,MATCH("Status",'RAID Log'!$1:$1,0)),"")))</f>
        <v/>
      </c>
      <c r="M473" s="85" t="str">
        <f>IF($B473="","",IF(IFERROR(INDEX('RAID Log'!$1:$1048576,$B473,MATCH("RAID Owner",'RAID Log'!$1:$1,0)),"")="","",IFERROR(INDEX('RAID Log'!$1:$1048576,$B473,MATCH("RAID Owner",'RAID Log'!$1:$1,0)),"")))</f>
        <v/>
      </c>
      <c r="N473" s="87" t="str">
        <f>IF($B473="","",IF(IFERROR(INDEX('RAID Log'!$1:$1048576,$B473,MATCH("Date Raised",'RAID Log'!$1:$1,0)),"")="","",IFERROR(INDEX('RAID Log'!$1:$1048576,$B473,MATCH("Date Raised",'RAID Log'!$1:$1,0)),"")))</f>
        <v/>
      </c>
      <c r="O473" s="87" t="str">
        <f>IF($B473="","",IF(IFERROR(INDEX('RAID Log'!$1:$1048576,$B473,MATCH("Closed Date",'RAID Log'!$1:$1,0)),"")="","",IFERROR(INDEX('RAID Log'!$1:$1048576,$B473,MATCH("Closed Date",'RAID Log'!$1:$1,0)),"")))</f>
        <v/>
      </c>
      <c r="P473" s="85" t="str">
        <f>IF($B473="","",IF(IFERROR(INDEX('RAID Log'!$1:$1048576,$B473,MATCH("Mitigation Strategy",'RAID Log'!$1:$1,0)),"")="","",IFERROR(INDEX('RAID Log'!$1:$1048576,$B473,MATCH("Mitigation Strategy",'RAID Log'!$1:$1,0)),"")))</f>
        <v/>
      </c>
      <c r="Q473" s="88" t="str">
        <f>IF($B473="","",IF(IFERROR(INDEX('RAID Log'!$1:$1048576,$B473,MATCH("RAID Response/Plan",'RAID Log'!$1:$1,0)),"")="","",IFERROR(INDEX('RAID Log'!$1:$1048576,$B473,MATCH("RAID Response/Plan",'RAID Log'!$1:$1,0)),"")))</f>
        <v/>
      </c>
    </row>
    <row r="474" spans="1:17" ht="14.25" customHeight="1">
      <c r="A474" s="82" t="str">
        <f>IF($B474="","",IF(IFERROR(INDEX('RAID Log'!$1:$1048576,$B474,MATCH("RAID ID",'RAID Log'!$1:$1,0)),"")="","",IFERROR(INDEX('RAID Log'!$1:$1048576,$B474,MATCH("RAID ID",'RAID Log'!$1:$1,0)),"")))</f>
        <v/>
      </c>
      <c r="B474" s="83" t="str">
        <f>IFERROR(MATCH(ROW()-1,'RAID Log'!$S:$S,0),"")</f>
        <v/>
      </c>
      <c r="C474" s="84" t="str">
        <f>IF($B474="","",IF(IFERROR(INDEX('RAID Log'!$1:$1048576,$B474,MATCH("Description",'RAID Log'!$1:$1,0)),"")="","",IFERROR(INDEX('RAID Log'!$1:$1048576,$B474,MATCH("Description",'RAID Log'!$1:$1,0)),"")))</f>
        <v/>
      </c>
      <c r="D474" s="84" t="str">
        <f>IF($B474="","",IF(IFERROR(INDEX('RAID Log'!$1:$1048576,$B474,MATCH("Impact/Effect of the RAID",'RAID Log'!$1:$1,0)),"")="","",IFERROR(INDEX('RAID Log'!$1:$1048576,$B474,MATCH("Impact/Effect of the RAID",'RAID Log'!$1:$1,0)),"")))</f>
        <v/>
      </c>
      <c r="E474" s="85" t="str">
        <f>IF($B474="","",IF(IFERROR(INDEX('RAID Log'!$1:$1048576,$B474,MATCH("Impact Area",'RAID Log'!$1:$1,0)),"")="","",IFERROR(INDEX('RAID Log'!$1:$1048576,$B474,MATCH("Impact Area",'RAID Log'!$1:$1,0)),"")))</f>
        <v/>
      </c>
      <c r="F474" s="85" t="str">
        <f>IF($B474="","",IF(IFERROR(INDEX('RAID Log'!$1:$1048576,$B474,MATCH("Impact Area",'RAID Log'!$1:$1,0)),"")="","",IFERROR(INDEX('RAID Log'!$1:$1048576,$B474,MATCH("Impact Area",'RAID Log'!$1:$1,0)),"")))</f>
        <v/>
      </c>
      <c r="G474" s="85" t="str">
        <f>IF($B474="","",IF(IFERROR(INDEX('RAID Log'!$1:$1048576,$B474,MATCH("Impact Rating",'RAID Log'!$1:$1,0)),"")="","",IFERROR(INDEX('RAID Log'!$1:$1048576,$B474,MATCH("Impact Rating",'RAID Log'!$1:$1,0)),"")))</f>
        <v/>
      </c>
      <c r="H474" s="85" t="str">
        <f>IF($B474="","",IF(IFERROR(INDEX('RAID Log'!$1:$1048576,$B474,MATCH("Initial Probability",'RAID Log'!$1:$1,0)),"")="","",IFERROR(INDEX('RAID Log'!$1:$1048576,$B474,MATCH("Initial Probability",'RAID Log'!$1:$1,0)),"")))</f>
        <v/>
      </c>
      <c r="I474" s="86" t="str">
        <f t="shared" si="21"/>
        <v/>
      </c>
      <c r="J474" s="85" t="str">
        <f t="shared" si="22"/>
        <v/>
      </c>
      <c r="K474" s="86" t="str">
        <f t="shared" si="23"/>
        <v/>
      </c>
      <c r="L474" s="85" t="str">
        <f>IF($B474="","",IF(IFERROR(INDEX('RAID Log'!$1:$1048576,$B474,MATCH("Status",'RAID Log'!$1:$1,0)),"")="","",IFERROR(INDEX('RAID Log'!$1:$1048576,$B474,MATCH("Status",'RAID Log'!$1:$1,0)),"")))</f>
        <v/>
      </c>
      <c r="M474" s="85" t="str">
        <f>IF($B474="","",IF(IFERROR(INDEX('RAID Log'!$1:$1048576,$B474,MATCH("RAID Owner",'RAID Log'!$1:$1,0)),"")="","",IFERROR(INDEX('RAID Log'!$1:$1048576,$B474,MATCH("RAID Owner",'RAID Log'!$1:$1,0)),"")))</f>
        <v/>
      </c>
      <c r="N474" s="87" t="str">
        <f>IF($B474="","",IF(IFERROR(INDEX('RAID Log'!$1:$1048576,$B474,MATCH("Date Raised",'RAID Log'!$1:$1,0)),"")="","",IFERROR(INDEX('RAID Log'!$1:$1048576,$B474,MATCH("Date Raised",'RAID Log'!$1:$1,0)),"")))</f>
        <v/>
      </c>
      <c r="O474" s="87" t="str">
        <f>IF($B474="","",IF(IFERROR(INDEX('RAID Log'!$1:$1048576,$B474,MATCH("Closed Date",'RAID Log'!$1:$1,0)),"")="","",IFERROR(INDEX('RAID Log'!$1:$1048576,$B474,MATCH("Closed Date",'RAID Log'!$1:$1,0)),"")))</f>
        <v/>
      </c>
      <c r="P474" s="85" t="str">
        <f>IF($B474="","",IF(IFERROR(INDEX('RAID Log'!$1:$1048576,$B474,MATCH("Mitigation Strategy",'RAID Log'!$1:$1,0)),"")="","",IFERROR(INDEX('RAID Log'!$1:$1048576,$B474,MATCH("Mitigation Strategy",'RAID Log'!$1:$1,0)),"")))</f>
        <v/>
      </c>
      <c r="Q474" s="88" t="str">
        <f>IF($B474="","",IF(IFERROR(INDEX('RAID Log'!$1:$1048576,$B474,MATCH("RAID Response/Plan",'RAID Log'!$1:$1,0)),"")="","",IFERROR(INDEX('RAID Log'!$1:$1048576,$B474,MATCH("RAID Response/Plan",'RAID Log'!$1:$1,0)),"")))</f>
        <v/>
      </c>
    </row>
    <row r="475" spans="1:17" ht="14.25" customHeight="1">
      <c r="A475" s="82" t="str">
        <f>IF($B475="","",IF(IFERROR(INDEX('RAID Log'!$1:$1048576,$B475,MATCH("RAID ID",'RAID Log'!$1:$1,0)),"")="","",IFERROR(INDEX('RAID Log'!$1:$1048576,$B475,MATCH("RAID ID",'RAID Log'!$1:$1,0)),"")))</f>
        <v/>
      </c>
      <c r="B475" s="83" t="str">
        <f>IFERROR(MATCH(ROW()-1,'RAID Log'!$S:$S,0),"")</f>
        <v/>
      </c>
      <c r="C475" s="84" t="str">
        <f>IF($B475="","",IF(IFERROR(INDEX('RAID Log'!$1:$1048576,$B475,MATCH("Description",'RAID Log'!$1:$1,0)),"")="","",IFERROR(INDEX('RAID Log'!$1:$1048576,$B475,MATCH("Description",'RAID Log'!$1:$1,0)),"")))</f>
        <v/>
      </c>
      <c r="D475" s="84" t="str">
        <f>IF($B475="","",IF(IFERROR(INDEX('RAID Log'!$1:$1048576,$B475,MATCH("Impact/Effect of the RAID",'RAID Log'!$1:$1,0)),"")="","",IFERROR(INDEX('RAID Log'!$1:$1048576,$B475,MATCH("Impact/Effect of the RAID",'RAID Log'!$1:$1,0)),"")))</f>
        <v/>
      </c>
      <c r="E475" s="85" t="str">
        <f>IF($B475="","",IF(IFERROR(INDEX('RAID Log'!$1:$1048576,$B475,MATCH("Impact Area",'RAID Log'!$1:$1,0)),"")="","",IFERROR(INDEX('RAID Log'!$1:$1048576,$B475,MATCH("Impact Area",'RAID Log'!$1:$1,0)),"")))</f>
        <v/>
      </c>
      <c r="F475" s="85" t="str">
        <f>IF($B475="","",IF(IFERROR(INDEX('RAID Log'!$1:$1048576,$B475,MATCH("Impact Area",'RAID Log'!$1:$1,0)),"")="","",IFERROR(INDEX('RAID Log'!$1:$1048576,$B475,MATCH("Impact Area",'RAID Log'!$1:$1,0)),"")))</f>
        <v/>
      </c>
      <c r="G475" s="85" t="str">
        <f>IF($B475="","",IF(IFERROR(INDEX('RAID Log'!$1:$1048576,$B475,MATCH("Impact Rating",'RAID Log'!$1:$1,0)),"")="","",IFERROR(INDEX('RAID Log'!$1:$1048576,$B475,MATCH("Impact Rating",'RAID Log'!$1:$1,0)),"")))</f>
        <v/>
      </c>
      <c r="H475" s="85" t="str">
        <f>IF($B475="","",IF(IFERROR(INDEX('RAID Log'!$1:$1048576,$B475,MATCH("Initial Probability",'RAID Log'!$1:$1,0)),"")="","",IFERROR(INDEX('RAID Log'!$1:$1048576,$B475,MATCH("Initial Probability",'RAID Log'!$1:$1,0)),"")))</f>
        <v/>
      </c>
      <c r="I475" s="86" t="str">
        <f t="shared" si="21"/>
        <v/>
      </c>
      <c r="J475" s="85" t="str">
        <f t="shared" si="22"/>
        <v/>
      </c>
      <c r="K475" s="86" t="str">
        <f t="shared" si="23"/>
        <v/>
      </c>
      <c r="L475" s="85" t="str">
        <f>IF($B475="","",IF(IFERROR(INDEX('RAID Log'!$1:$1048576,$B475,MATCH("Status",'RAID Log'!$1:$1,0)),"")="","",IFERROR(INDEX('RAID Log'!$1:$1048576,$B475,MATCH("Status",'RAID Log'!$1:$1,0)),"")))</f>
        <v/>
      </c>
      <c r="M475" s="85" t="str">
        <f>IF($B475="","",IF(IFERROR(INDEX('RAID Log'!$1:$1048576,$B475,MATCH("RAID Owner",'RAID Log'!$1:$1,0)),"")="","",IFERROR(INDEX('RAID Log'!$1:$1048576,$B475,MATCH("RAID Owner",'RAID Log'!$1:$1,0)),"")))</f>
        <v/>
      </c>
      <c r="N475" s="87" t="str">
        <f>IF($B475="","",IF(IFERROR(INDEX('RAID Log'!$1:$1048576,$B475,MATCH("Date Raised",'RAID Log'!$1:$1,0)),"")="","",IFERROR(INDEX('RAID Log'!$1:$1048576,$B475,MATCH("Date Raised",'RAID Log'!$1:$1,0)),"")))</f>
        <v/>
      </c>
      <c r="O475" s="87" t="str">
        <f>IF($B475="","",IF(IFERROR(INDEX('RAID Log'!$1:$1048576,$B475,MATCH("Closed Date",'RAID Log'!$1:$1,0)),"")="","",IFERROR(INDEX('RAID Log'!$1:$1048576,$B475,MATCH("Closed Date",'RAID Log'!$1:$1,0)),"")))</f>
        <v/>
      </c>
      <c r="P475" s="85" t="str">
        <f>IF($B475="","",IF(IFERROR(INDEX('RAID Log'!$1:$1048576,$B475,MATCH("Mitigation Strategy",'RAID Log'!$1:$1,0)),"")="","",IFERROR(INDEX('RAID Log'!$1:$1048576,$B475,MATCH("Mitigation Strategy",'RAID Log'!$1:$1,0)),"")))</f>
        <v/>
      </c>
      <c r="Q475" s="88" t="str">
        <f>IF($B475="","",IF(IFERROR(INDEX('RAID Log'!$1:$1048576,$B475,MATCH("RAID Response/Plan",'RAID Log'!$1:$1,0)),"")="","",IFERROR(INDEX('RAID Log'!$1:$1048576,$B475,MATCH("RAID Response/Plan",'RAID Log'!$1:$1,0)),"")))</f>
        <v/>
      </c>
    </row>
    <row r="476" spans="1:17" ht="14.25" customHeight="1">
      <c r="A476" s="82" t="str">
        <f>IF($B476="","",IF(IFERROR(INDEX('RAID Log'!$1:$1048576,$B476,MATCH("RAID ID",'RAID Log'!$1:$1,0)),"")="","",IFERROR(INDEX('RAID Log'!$1:$1048576,$B476,MATCH("RAID ID",'RAID Log'!$1:$1,0)),"")))</f>
        <v/>
      </c>
      <c r="B476" s="83" t="str">
        <f>IFERROR(MATCH(ROW()-1,'RAID Log'!$S:$S,0),"")</f>
        <v/>
      </c>
      <c r="C476" s="84" t="str">
        <f>IF($B476="","",IF(IFERROR(INDEX('RAID Log'!$1:$1048576,$B476,MATCH("Description",'RAID Log'!$1:$1,0)),"")="","",IFERROR(INDEX('RAID Log'!$1:$1048576,$B476,MATCH("Description",'RAID Log'!$1:$1,0)),"")))</f>
        <v/>
      </c>
      <c r="D476" s="84" t="str">
        <f>IF($B476="","",IF(IFERROR(INDEX('RAID Log'!$1:$1048576,$B476,MATCH("Impact/Effect of the RAID",'RAID Log'!$1:$1,0)),"")="","",IFERROR(INDEX('RAID Log'!$1:$1048576,$B476,MATCH("Impact/Effect of the RAID",'RAID Log'!$1:$1,0)),"")))</f>
        <v/>
      </c>
      <c r="E476" s="85" t="str">
        <f>IF($B476="","",IF(IFERROR(INDEX('RAID Log'!$1:$1048576,$B476,MATCH("Impact Area",'RAID Log'!$1:$1,0)),"")="","",IFERROR(INDEX('RAID Log'!$1:$1048576,$B476,MATCH("Impact Area",'RAID Log'!$1:$1,0)),"")))</f>
        <v/>
      </c>
      <c r="F476" s="85" t="str">
        <f>IF($B476="","",IF(IFERROR(INDEX('RAID Log'!$1:$1048576,$B476,MATCH("Impact Area",'RAID Log'!$1:$1,0)),"")="","",IFERROR(INDEX('RAID Log'!$1:$1048576,$B476,MATCH("Impact Area",'RAID Log'!$1:$1,0)),"")))</f>
        <v/>
      </c>
      <c r="G476" s="85" t="str">
        <f>IF($B476="","",IF(IFERROR(INDEX('RAID Log'!$1:$1048576,$B476,MATCH("Impact Rating",'RAID Log'!$1:$1,0)),"")="","",IFERROR(INDEX('RAID Log'!$1:$1048576,$B476,MATCH("Impact Rating",'RAID Log'!$1:$1,0)),"")))</f>
        <v/>
      </c>
      <c r="H476" s="85" t="str">
        <f>IF($B476="","",IF(IFERROR(INDEX('RAID Log'!$1:$1048576,$B476,MATCH("Initial Probability",'RAID Log'!$1:$1,0)),"")="","",IFERROR(INDEX('RAID Log'!$1:$1048576,$B476,MATCH("Initial Probability",'RAID Log'!$1:$1,0)),"")))</f>
        <v/>
      </c>
      <c r="I476" s="86" t="str">
        <f t="shared" si="21"/>
        <v/>
      </c>
      <c r="J476" s="85" t="str">
        <f t="shared" si="22"/>
        <v/>
      </c>
      <c r="K476" s="86" t="str">
        <f t="shared" si="23"/>
        <v/>
      </c>
      <c r="L476" s="85" t="str">
        <f>IF($B476="","",IF(IFERROR(INDEX('RAID Log'!$1:$1048576,$B476,MATCH("Status",'RAID Log'!$1:$1,0)),"")="","",IFERROR(INDEX('RAID Log'!$1:$1048576,$B476,MATCH("Status",'RAID Log'!$1:$1,0)),"")))</f>
        <v/>
      </c>
      <c r="M476" s="85" t="str">
        <f>IF($B476="","",IF(IFERROR(INDEX('RAID Log'!$1:$1048576,$B476,MATCH("RAID Owner",'RAID Log'!$1:$1,0)),"")="","",IFERROR(INDEX('RAID Log'!$1:$1048576,$B476,MATCH("RAID Owner",'RAID Log'!$1:$1,0)),"")))</f>
        <v/>
      </c>
      <c r="N476" s="87" t="str">
        <f>IF($B476="","",IF(IFERROR(INDEX('RAID Log'!$1:$1048576,$B476,MATCH("Date Raised",'RAID Log'!$1:$1,0)),"")="","",IFERROR(INDEX('RAID Log'!$1:$1048576,$B476,MATCH("Date Raised",'RAID Log'!$1:$1,0)),"")))</f>
        <v/>
      </c>
      <c r="O476" s="87" t="str">
        <f>IF($B476="","",IF(IFERROR(INDEX('RAID Log'!$1:$1048576,$B476,MATCH("Closed Date",'RAID Log'!$1:$1,0)),"")="","",IFERROR(INDEX('RAID Log'!$1:$1048576,$B476,MATCH("Closed Date",'RAID Log'!$1:$1,0)),"")))</f>
        <v/>
      </c>
      <c r="P476" s="85" t="str">
        <f>IF($B476="","",IF(IFERROR(INDEX('RAID Log'!$1:$1048576,$B476,MATCH("Mitigation Strategy",'RAID Log'!$1:$1,0)),"")="","",IFERROR(INDEX('RAID Log'!$1:$1048576,$B476,MATCH("Mitigation Strategy",'RAID Log'!$1:$1,0)),"")))</f>
        <v/>
      </c>
      <c r="Q476" s="88" t="str">
        <f>IF($B476="","",IF(IFERROR(INDEX('RAID Log'!$1:$1048576,$B476,MATCH("RAID Response/Plan",'RAID Log'!$1:$1,0)),"")="","",IFERROR(INDEX('RAID Log'!$1:$1048576,$B476,MATCH("RAID Response/Plan",'RAID Log'!$1:$1,0)),"")))</f>
        <v/>
      </c>
    </row>
    <row r="477" spans="1:17" ht="14.25" customHeight="1">
      <c r="A477" s="82" t="str">
        <f>IF($B477="","",IF(IFERROR(INDEX('RAID Log'!$1:$1048576,$B477,MATCH("RAID ID",'RAID Log'!$1:$1,0)),"")="","",IFERROR(INDEX('RAID Log'!$1:$1048576,$B477,MATCH("RAID ID",'RAID Log'!$1:$1,0)),"")))</f>
        <v/>
      </c>
      <c r="B477" s="83" t="str">
        <f>IFERROR(MATCH(ROW()-1,'RAID Log'!$S:$S,0),"")</f>
        <v/>
      </c>
      <c r="C477" s="84" t="str">
        <f>IF($B477="","",IF(IFERROR(INDEX('RAID Log'!$1:$1048576,$B477,MATCH("Description",'RAID Log'!$1:$1,0)),"")="","",IFERROR(INDEX('RAID Log'!$1:$1048576,$B477,MATCH("Description",'RAID Log'!$1:$1,0)),"")))</f>
        <v/>
      </c>
      <c r="D477" s="84" t="str">
        <f>IF($B477="","",IF(IFERROR(INDEX('RAID Log'!$1:$1048576,$B477,MATCH("Impact/Effect of the RAID",'RAID Log'!$1:$1,0)),"")="","",IFERROR(INDEX('RAID Log'!$1:$1048576,$B477,MATCH("Impact/Effect of the RAID",'RAID Log'!$1:$1,0)),"")))</f>
        <v/>
      </c>
      <c r="E477" s="85" t="str">
        <f>IF($B477="","",IF(IFERROR(INDEX('RAID Log'!$1:$1048576,$B477,MATCH("Impact Area",'RAID Log'!$1:$1,0)),"")="","",IFERROR(INDEX('RAID Log'!$1:$1048576,$B477,MATCH("Impact Area",'RAID Log'!$1:$1,0)),"")))</f>
        <v/>
      </c>
      <c r="F477" s="85" t="str">
        <f>IF($B477="","",IF(IFERROR(INDEX('RAID Log'!$1:$1048576,$B477,MATCH("Impact Area",'RAID Log'!$1:$1,0)),"")="","",IFERROR(INDEX('RAID Log'!$1:$1048576,$B477,MATCH("Impact Area",'RAID Log'!$1:$1,0)),"")))</f>
        <v/>
      </c>
      <c r="G477" s="85" t="str">
        <f>IF($B477="","",IF(IFERROR(INDEX('RAID Log'!$1:$1048576,$B477,MATCH("Impact Rating",'RAID Log'!$1:$1,0)),"")="","",IFERROR(INDEX('RAID Log'!$1:$1048576,$B477,MATCH("Impact Rating",'RAID Log'!$1:$1,0)),"")))</f>
        <v/>
      </c>
      <c r="H477" s="85" t="str">
        <f>IF($B477="","",IF(IFERROR(INDEX('RAID Log'!$1:$1048576,$B477,MATCH("Initial Probability",'RAID Log'!$1:$1,0)),"")="","",IFERROR(INDEX('RAID Log'!$1:$1048576,$B477,MATCH("Initial Probability",'RAID Log'!$1:$1,0)),"")))</f>
        <v/>
      </c>
      <c r="I477" s="86" t="str">
        <f t="shared" si="21"/>
        <v/>
      </c>
      <c r="J477" s="85" t="str">
        <f t="shared" si="22"/>
        <v/>
      </c>
      <c r="K477" s="86" t="str">
        <f t="shared" si="23"/>
        <v/>
      </c>
      <c r="L477" s="85" t="str">
        <f>IF($B477="","",IF(IFERROR(INDEX('RAID Log'!$1:$1048576,$B477,MATCH("Status",'RAID Log'!$1:$1,0)),"")="","",IFERROR(INDEX('RAID Log'!$1:$1048576,$B477,MATCH("Status",'RAID Log'!$1:$1,0)),"")))</f>
        <v/>
      </c>
      <c r="M477" s="85" t="str">
        <f>IF($B477="","",IF(IFERROR(INDEX('RAID Log'!$1:$1048576,$B477,MATCH("RAID Owner",'RAID Log'!$1:$1,0)),"")="","",IFERROR(INDEX('RAID Log'!$1:$1048576,$B477,MATCH("RAID Owner",'RAID Log'!$1:$1,0)),"")))</f>
        <v/>
      </c>
      <c r="N477" s="87" t="str">
        <f>IF($B477="","",IF(IFERROR(INDEX('RAID Log'!$1:$1048576,$B477,MATCH("Date Raised",'RAID Log'!$1:$1,0)),"")="","",IFERROR(INDEX('RAID Log'!$1:$1048576,$B477,MATCH("Date Raised",'RAID Log'!$1:$1,0)),"")))</f>
        <v/>
      </c>
      <c r="O477" s="87" t="str">
        <f>IF($B477="","",IF(IFERROR(INDEX('RAID Log'!$1:$1048576,$B477,MATCH("Closed Date",'RAID Log'!$1:$1,0)),"")="","",IFERROR(INDEX('RAID Log'!$1:$1048576,$B477,MATCH("Closed Date",'RAID Log'!$1:$1,0)),"")))</f>
        <v/>
      </c>
      <c r="P477" s="85" t="str">
        <f>IF($B477="","",IF(IFERROR(INDEX('RAID Log'!$1:$1048576,$B477,MATCH("Mitigation Strategy",'RAID Log'!$1:$1,0)),"")="","",IFERROR(INDEX('RAID Log'!$1:$1048576,$B477,MATCH("Mitigation Strategy",'RAID Log'!$1:$1,0)),"")))</f>
        <v/>
      </c>
      <c r="Q477" s="88" t="str">
        <f>IF($B477="","",IF(IFERROR(INDEX('RAID Log'!$1:$1048576,$B477,MATCH("RAID Response/Plan",'RAID Log'!$1:$1,0)),"")="","",IFERROR(INDEX('RAID Log'!$1:$1048576,$B477,MATCH("RAID Response/Plan",'RAID Log'!$1:$1,0)),"")))</f>
        <v/>
      </c>
    </row>
    <row r="478" spans="1:17" ht="14.25" customHeight="1">
      <c r="A478" s="82" t="str">
        <f>IF($B478="","",IF(IFERROR(INDEX('RAID Log'!$1:$1048576,$B478,MATCH("RAID ID",'RAID Log'!$1:$1,0)),"")="","",IFERROR(INDEX('RAID Log'!$1:$1048576,$B478,MATCH("RAID ID",'RAID Log'!$1:$1,0)),"")))</f>
        <v/>
      </c>
      <c r="B478" s="83" t="str">
        <f>IFERROR(MATCH(ROW()-1,'RAID Log'!$S:$S,0),"")</f>
        <v/>
      </c>
      <c r="C478" s="84" t="str">
        <f>IF($B478="","",IF(IFERROR(INDEX('RAID Log'!$1:$1048576,$B478,MATCH("Description",'RAID Log'!$1:$1,0)),"")="","",IFERROR(INDEX('RAID Log'!$1:$1048576,$B478,MATCH("Description",'RAID Log'!$1:$1,0)),"")))</f>
        <v/>
      </c>
      <c r="D478" s="84" t="str">
        <f>IF($B478="","",IF(IFERROR(INDEX('RAID Log'!$1:$1048576,$B478,MATCH("Impact/Effect of the RAID",'RAID Log'!$1:$1,0)),"")="","",IFERROR(INDEX('RAID Log'!$1:$1048576,$B478,MATCH("Impact/Effect of the RAID",'RAID Log'!$1:$1,0)),"")))</f>
        <v/>
      </c>
      <c r="E478" s="85" t="str">
        <f>IF($B478="","",IF(IFERROR(INDEX('RAID Log'!$1:$1048576,$B478,MATCH("Impact Area",'RAID Log'!$1:$1,0)),"")="","",IFERROR(INDEX('RAID Log'!$1:$1048576,$B478,MATCH("Impact Area",'RAID Log'!$1:$1,0)),"")))</f>
        <v/>
      </c>
      <c r="F478" s="85" t="str">
        <f>IF($B478="","",IF(IFERROR(INDEX('RAID Log'!$1:$1048576,$B478,MATCH("Impact Area",'RAID Log'!$1:$1,0)),"")="","",IFERROR(INDEX('RAID Log'!$1:$1048576,$B478,MATCH("Impact Area",'RAID Log'!$1:$1,0)),"")))</f>
        <v/>
      </c>
      <c r="G478" s="85" t="str">
        <f>IF($B478="","",IF(IFERROR(INDEX('RAID Log'!$1:$1048576,$B478,MATCH("Impact Rating",'RAID Log'!$1:$1,0)),"")="","",IFERROR(INDEX('RAID Log'!$1:$1048576,$B478,MATCH("Impact Rating",'RAID Log'!$1:$1,0)),"")))</f>
        <v/>
      </c>
      <c r="H478" s="85" t="str">
        <f>IF($B478="","",IF(IFERROR(INDEX('RAID Log'!$1:$1048576,$B478,MATCH("Initial Probability",'RAID Log'!$1:$1,0)),"")="","",IFERROR(INDEX('RAID Log'!$1:$1048576,$B478,MATCH("Initial Probability",'RAID Log'!$1:$1,0)),"")))</f>
        <v/>
      </c>
      <c r="I478" s="86" t="str">
        <f t="shared" si="21"/>
        <v/>
      </c>
      <c r="J478" s="85" t="str">
        <f t="shared" si="22"/>
        <v/>
      </c>
      <c r="K478" s="86" t="str">
        <f t="shared" si="23"/>
        <v/>
      </c>
      <c r="L478" s="85" t="str">
        <f>IF($B478="","",IF(IFERROR(INDEX('RAID Log'!$1:$1048576,$B478,MATCH("Status",'RAID Log'!$1:$1,0)),"")="","",IFERROR(INDEX('RAID Log'!$1:$1048576,$B478,MATCH("Status",'RAID Log'!$1:$1,0)),"")))</f>
        <v/>
      </c>
      <c r="M478" s="85" t="str">
        <f>IF($B478="","",IF(IFERROR(INDEX('RAID Log'!$1:$1048576,$B478,MATCH("RAID Owner",'RAID Log'!$1:$1,0)),"")="","",IFERROR(INDEX('RAID Log'!$1:$1048576,$B478,MATCH("RAID Owner",'RAID Log'!$1:$1,0)),"")))</f>
        <v/>
      </c>
      <c r="N478" s="87" t="str">
        <f>IF($B478="","",IF(IFERROR(INDEX('RAID Log'!$1:$1048576,$B478,MATCH("Date Raised",'RAID Log'!$1:$1,0)),"")="","",IFERROR(INDEX('RAID Log'!$1:$1048576,$B478,MATCH("Date Raised",'RAID Log'!$1:$1,0)),"")))</f>
        <v/>
      </c>
      <c r="O478" s="87" t="str">
        <f>IF($B478="","",IF(IFERROR(INDEX('RAID Log'!$1:$1048576,$B478,MATCH("Closed Date",'RAID Log'!$1:$1,0)),"")="","",IFERROR(INDEX('RAID Log'!$1:$1048576,$B478,MATCH("Closed Date",'RAID Log'!$1:$1,0)),"")))</f>
        <v/>
      </c>
      <c r="P478" s="85" t="str">
        <f>IF($B478="","",IF(IFERROR(INDEX('RAID Log'!$1:$1048576,$B478,MATCH("Mitigation Strategy",'RAID Log'!$1:$1,0)),"")="","",IFERROR(INDEX('RAID Log'!$1:$1048576,$B478,MATCH("Mitigation Strategy",'RAID Log'!$1:$1,0)),"")))</f>
        <v/>
      </c>
      <c r="Q478" s="88" t="str">
        <f>IF($B478="","",IF(IFERROR(INDEX('RAID Log'!$1:$1048576,$B478,MATCH("RAID Response/Plan",'RAID Log'!$1:$1,0)),"")="","",IFERROR(INDEX('RAID Log'!$1:$1048576,$B478,MATCH("RAID Response/Plan",'RAID Log'!$1:$1,0)),"")))</f>
        <v/>
      </c>
    </row>
    <row r="479" spans="1:17" ht="14.25" customHeight="1">
      <c r="A479" s="82" t="str">
        <f>IF($B479="","",IF(IFERROR(INDEX('RAID Log'!$1:$1048576,$B479,MATCH("RAID ID",'RAID Log'!$1:$1,0)),"")="","",IFERROR(INDEX('RAID Log'!$1:$1048576,$B479,MATCH("RAID ID",'RAID Log'!$1:$1,0)),"")))</f>
        <v/>
      </c>
      <c r="B479" s="83" t="str">
        <f>IFERROR(MATCH(ROW()-1,'RAID Log'!$S:$S,0),"")</f>
        <v/>
      </c>
      <c r="C479" s="84" t="str">
        <f>IF($B479="","",IF(IFERROR(INDEX('RAID Log'!$1:$1048576,$B479,MATCH("Description",'RAID Log'!$1:$1,0)),"")="","",IFERROR(INDEX('RAID Log'!$1:$1048576,$B479,MATCH("Description",'RAID Log'!$1:$1,0)),"")))</f>
        <v/>
      </c>
      <c r="D479" s="84" t="str">
        <f>IF($B479="","",IF(IFERROR(INDEX('RAID Log'!$1:$1048576,$B479,MATCH("Impact/Effect of the RAID",'RAID Log'!$1:$1,0)),"")="","",IFERROR(INDEX('RAID Log'!$1:$1048576,$B479,MATCH("Impact/Effect of the RAID",'RAID Log'!$1:$1,0)),"")))</f>
        <v/>
      </c>
      <c r="E479" s="85" t="str">
        <f>IF($B479="","",IF(IFERROR(INDEX('RAID Log'!$1:$1048576,$B479,MATCH("Impact Area",'RAID Log'!$1:$1,0)),"")="","",IFERROR(INDEX('RAID Log'!$1:$1048576,$B479,MATCH("Impact Area",'RAID Log'!$1:$1,0)),"")))</f>
        <v/>
      </c>
      <c r="F479" s="85" t="str">
        <f>IF($B479="","",IF(IFERROR(INDEX('RAID Log'!$1:$1048576,$B479,MATCH("Impact Area",'RAID Log'!$1:$1,0)),"")="","",IFERROR(INDEX('RAID Log'!$1:$1048576,$B479,MATCH("Impact Area",'RAID Log'!$1:$1,0)),"")))</f>
        <v/>
      </c>
      <c r="G479" s="85" t="str">
        <f>IF($B479="","",IF(IFERROR(INDEX('RAID Log'!$1:$1048576,$B479,MATCH("Impact Rating",'RAID Log'!$1:$1,0)),"")="","",IFERROR(INDEX('RAID Log'!$1:$1048576,$B479,MATCH("Impact Rating",'RAID Log'!$1:$1,0)),"")))</f>
        <v/>
      </c>
      <c r="H479" s="85" t="str">
        <f>IF($B479="","",IF(IFERROR(INDEX('RAID Log'!$1:$1048576,$B479,MATCH("Initial Probability",'RAID Log'!$1:$1,0)),"")="","",IFERROR(INDEX('RAID Log'!$1:$1048576,$B479,MATCH("Initial Probability",'RAID Log'!$1:$1,0)),"")))</f>
        <v/>
      </c>
      <c r="I479" s="86" t="str">
        <f t="shared" si="21"/>
        <v/>
      </c>
      <c r="J479" s="85" t="str">
        <f t="shared" si="22"/>
        <v/>
      </c>
      <c r="K479" s="86" t="str">
        <f t="shared" si="23"/>
        <v/>
      </c>
      <c r="L479" s="85" t="str">
        <f>IF($B479="","",IF(IFERROR(INDEX('RAID Log'!$1:$1048576,$B479,MATCH("Status",'RAID Log'!$1:$1,0)),"")="","",IFERROR(INDEX('RAID Log'!$1:$1048576,$B479,MATCH("Status",'RAID Log'!$1:$1,0)),"")))</f>
        <v/>
      </c>
      <c r="M479" s="85" t="str">
        <f>IF($B479="","",IF(IFERROR(INDEX('RAID Log'!$1:$1048576,$B479,MATCH("RAID Owner",'RAID Log'!$1:$1,0)),"")="","",IFERROR(INDEX('RAID Log'!$1:$1048576,$B479,MATCH("RAID Owner",'RAID Log'!$1:$1,0)),"")))</f>
        <v/>
      </c>
      <c r="N479" s="87" t="str">
        <f>IF($B479="","",IF(IFERROR(INDEX('RAID Log'!$1:$1048576,$B479,MATCH("Date Raised",'RAID Log'!$1:$1,0)),"")="","",IFERROR(INDEX('RAID Log'!$1:$1048576,$B479,MATCH("Date Raised",'RAID Log'!$1:$1,0)),"")))</f>
        <v/>
      </c>
      <c r="O479" s="87" t="str">
        <f>IF($B479="","",IF(IFERROR(INDEX('RAID Log'!$1:$1048576,$B479,MATCH("Closed Date",'RAID Log'!$1:$1,0)),"")="","",IFERROR(INDEX('RAID Log'!$1:$1048576,$B479,MATCH("Closed Date",'RAID Log'!$1:$1,0)),"")))</f>
        <v/>
      </c>
      <c r="P479" s="85" t="str">
        <f>IF($B479="","",IF(IFERROR(INDEX('RAID Log'!$1:$1048576,$B479,MATCH("Mitigation Strategy",'RAID Log'!$1:$1,0)),"")="","",IFERROR(INDEX('RAID Log'!$1:$1048576,$B479,MATCH("Mitigation Strategy",'RAID Log'!$1:$1,0)),"")))</f>
        <v/>
      </c>
      <c r="Q479" s="88" t="str">
        <f>IF($B479="","",IF(IFERROR(INDEX('RAID Log'!$1:$1048576,$B479,MATCH("RAID Response/Plan",'RAID Log'!$1:$1,0)),"")="","",IFERROR(INDEX('RAID Log'!$1:$1048576,$B479,MATCH("RAID Response/Plan",'RAID Log'!$1:$1,0)),"")))</f>
        <v/>
      </c>
    </row>
    <row r="480" spans="1:17" ht="14.25" customHeight="1">
      <c r="A480" s="82" t="str">
        <f>IF($B480="","",IF(IFERROR(INDEX('RAID Log'!$1:$1048576,$B480,MATCH("RAID ID",'RAID Log'!$1:$1,0)),"")="","",IFERROR(INDEX('RAID Log'!$1:$1048576,$B480,MATCH("RAID ID",'RAID Log'!$1:$1,0)),"")))</f>
        <v/>
      </c>
      <c r="B480" s="83" t="str">
        <f>IFERROR(MATCH(ROW()-1,'RAID Log'!$S:$S,0),"")</f>
        <v/>
      </c>
      <c r="C480" s="84" t="str">
        <f>IF($B480="","",IF(IFERROR(INDEX('RAID Log'!$1:$1048576,$B480,MATCH("Description",'RAID Log'!$1:$1,0)),"")="","",IFERROR(INDEX('RAID Log'!$1:$1048576,$B480,MATCH("Description",'RAID Log'!$1:$1,0)),"")))</f>
        <v/>
      </c>
      <c r="D480" s="84" t="str">
        <f>IF($B480="","",IF(IFERROR(INDEX('RAID Log'!$1:$1048576,$B480,MATCH("Impact/Effect of the RAID",'RAID Log'!$1:$1,0)),"")="","",IFERROR(INDEX('RAID Log'!$1:$1048576,$B480,MATCH("Impact/Effect of the RAID",'RAID Log'!$1:$1,0)),"")))</f>
        <v/>
      </c>
      <c r="E480" s="85" t="str">
        <f>IF($B480="","",IF(IFERROR(INDEX('RAID Log'!$1:$1048576,$B480,MATCH("Impact Area",'RAID Log'!$1:$1,0)),"")="","",IFERROR(INDEX('RAID Log'!$1:$1048576,$B480,MATCH("Impact Area",'RAID Log'!$1:$1,0)),"")))</f>
        <v/>
      </c>
      <c r="F480" s="85" t="str">
        <f>IF($B480="","",IF(IFERROR(INDEX('RAID Log'!$1:$1048576,$B480,MATCH("Impact Area",'RAID Log'!$1:$1,0)),"")="","",IFERROR(INDEX('RAID Log'!$1:$1048576,$B480,MATCH("Impact Area",'RAID Log'!$1:$1,0)),"")))</f>
        <v/>
      </c>
      <c r="G480" s="85" t="str">
        <f>IF($B480="","",IF(IFERROR(INDEX('RAID Log'!$1:$1048576,$B480,MATCH("Impact Rating",'RAID Log'!$1:$1,0)),"")="","",IFERROR(INDEX('RAID Log'!$1:$1048576,$B480,MATCH("Impact Rating",'RAID Log'!$1:$1,0)),"")))</f>
        <v/>
      </c>
      <c r="H480" s="85" t="str">
        <f>IF($B480="","",IF(IFERROR(INDEX('RAID Log'!$1:$1048576,$B480,MATCH("Initial Probability",'RAID Log'!$1:$1,0)),"")="","",IFERROR(INDEX('RAID Log'!$1:$1048576,$B480,MATCH("Initial Probability",'RAID Log'!$1:$1,0)),"")))</f>
        <v/>
      </c>
      <c r="I480" s="86" t="str">
        <f t="shared" si="21"/>
        <v/>
      </c>
      <c r="J480" s="85" t="str">
        <f t="shared" si="22"/>
        <v/>
      </c>
      <c r="K480" s="86" t="str">
        <f t="shared" si="23"/>
        <v/>
      </c>
      <c r="L480" s="85" t="str">
        <f>IF($B480="","",IF(IFERROR(INDEX('RAID Log'!$1:$1048576,$B480,MATCH("Status",'RAID Log'!$1:$1,0)),"")="","",IFERROR(INDEX('RAID Log'!$1:$1048576,$B480,MATCH("Status",'RAID Log'!$1:$1,0)),"")))</f>
        <v/>
      </c>
      <c r="M480" s="85" t="str">
        <f>IF($B480="","",IF(IFERROR(INDEX('RAID Log'!$1:$1048576,$B480,MATCH("RAID Owner",'RAID Log'!$1:$1,0)),"")="","",IFERROR(INDEX('RAID Log'!$1:$1048576,$B480,MATCH("RAID Owner",'RAID Log'!$1:$1,0)),"")))</f>
        <v/>
      </c>
      <c r="N480" s="87" t="str">
        <f>IF($B480="","",IF(IFERROR(INDEX('RAID Log'!$1:$1048576,$B480,MATCH("Date Raised",'RAID Log'!$1:$1,0)),"")="","",IFERROR(INDEX('RAID Log'!$1:$1048576,$B480,MATCH("Date Raised",'RAID Log'!$1:$1,0)),"")))</f>
        <v/>
      </c>
      <c r="O480" s="87" t="str">
        <f>IF($B480="","",IF(IFERROR(INDEX('RAID Log'!$1:$1048576,$B480,MATCH("Closed Date",'RAID Log'!$1:$1,0)),"")="","",IFERROR(INDEX('RAID Log'!$1:$1048576,$B480,MATCH("Closed Date",'RAID Log'!$1:$1,0)),"")))</f>
        <v/>
      </c>
      <c r="P480" s="85" t="str">
        <f>IF($B480="","",IF(IFERROR(INDEX('RAID Log'!$1:$1048576,$B480,MATCH("Mitigation Strategy",'RAID Log'!$1:$1,0)),"")="","",IFERROR(INDEX('RAID Log'!$1:$1048576,$B480,MATCH("Mitigation Strategy",'RAID Log'!$1:$1,0)),"")))</f>
        <v/>
      </c>
      <c r="Q480" s="88" t="str">
        <f>IF($B480="","",IF(IFERROR(INDEX('RAID Log'!$1:$1048576,$B480,MATCH("RAID Response/Plan",'RAID Log'!$1:$1,0)),"")="","",IFERROR(INDEX('RAID Log'!$1:$1048576,$B480,MATCH("RAID Response/Plan",'RAID Log'!$1:$1,0)),"")))</f>
        <v/>
      </c>
    </row>
    <row r="481" spans="1:17" ht="14.25" customHeight="1">
      <c r="A481" s="82" t="str">
        <f>IF($B481="","",IF(IFERROR(INDEX('RAID Log'!$1:$1048576,$B481,MATCH("RAID ID",'RAID Log'!$1:$1,0)),"")="","",IFERROR(INDEX('RAID Log'!$1:$1048576,$B481,MATCH("RAID ID",'RAID Log'!$1:$1,0)),"")))</f>
        <v/>
      </c>
      <c r="B481" s="83" t="str">
        <f>IFERROR(MATCH(ROW()-1,'RAID Log'!$S:$S,0),"")</f>
        <v/>
      </c>
      <c r="C481" s="84" t="str">
        <f>IF($B481="","",IF(IFERROR(INDEX('RAID Log'!$1:$1048576,$B481,MATCH("Description",'RAID Log'!$1:$1,0)),"")="","",IFERROR(INDEX('RAID Log'!$1:$1048576,$B481,MATCH("Description",'RAID Log'!$1:$1,0)),"")))</f>
        <v/>
      </c>
      <c r="D481" s="84" t="str">
        <f>IF($B481="","",IF(IFERROR(INDEX('RAID Log'!$1:$1048576,$B481,MATCH("Impact/Effect of the RAID",'RAID Log'!$1:$1,0)),"")="","",IFERROR(INDEX('RAID Log'!$1:$1048576,$B481,MATCH("Impact/Effect of the RAID",'RAID Log'!$1:$1,0)),"")))</f>
        <v/>
      </c>
      <c r="E481" s="85" t="str">
        <f>IF($B481="","",IF(IFERROR(INDEX('RAID Log'!$1:$1048576,$B481,MATCH("Impact Area",'RAID Log'!$1:$1,0)),"")="","",IFERROR(INDEX('RAID Log'!$1:$1048576,$B481,MATCH("Impact Area",'RAID Log'!$1:$1,0)),"")))</f>
        <v/>
      </c>
      <c r="F481" s="85" t="str">
        <f>IF($B481="","",IF(IFERROR(INDEX('RAID Log'!$1:$1048576,$B481,MATCH("Impact Area",'RAID Log'!$1:$1,0)),"")="","",IFERROR(INDEX('RAID Log'!$1:$1048576,$B481,MATCH("Impact Area",'RAID Log'!$1:$1,0)),"")))</f>
        <v/>
      </c>
      <c r="G481" s="85" t="str">
        <f>IF($B481="","",IF(IFERROR(INDEX('RAID Log'!$1:$1048576,$B481,MATCH("Impact Rating",'RAID Log'!$1:$1,0)),"")="","",IFERROR(INDEX('RAID Log'!$1:$1048576,$B481,MATCH("Impact Rating",'RAID Log'!$1:$1,0)),"")))</f>
        <v/>
      </c>
      <c r="H481" s="85" t="str">
        <f>IF($B481="","",IF(IFERROR(INDEX('RAID Log'!$1:$1048576,$B481,MATCH("Initial Probability",'RAID Log'!$1:$1,0)),"")="","",IFERROR(INDEX('RAID Log'!$1:$1048576,$B481,MATCH("Initial Probability",'RAID Log'!$1:$1,0)),"")))</f>
        <v/>
      </c>
      <c r="I481" s="86" t="str">
        <f t="shared" si="21"/>
        <v/>
      </c>
      <c r="J481" s="85" t="str">
        <f t="shared" si="22"/>
        <v/>
      </c>
      <c r="K481" s="86" t="str">
        <f t="shared" si="23"/>
        <v/>
      </c>
      <c r="L481" s="85" t="str">
        <f>IF($B481="","",IF(IFERROR(INDEX('RAID Log'!$1:$1048576,$B481,MATCH("Status",'RAID Log'!$1:$1,0)),"")="","",IFERROR(INDEX('RAID Log'!$1:$1048576,$B481,MATCH("Status",'RAID Log'!$1:$1,0)),"")))</f>
        <v/>
      </c>
      <c r="M481" s="85" t="str">
        <f>IF($B481="","",IF(IFERROR(INDEX('RAID Log'!$1:$1048576,$B481,MATCH("RAID Owner",'RAID Log'!$1:$1,0)),"")="","",IFERROR(INDEX('RAID Log'!$1:$1048576,$B481,MATCH("RAID Owner",'RAID Log'!$1:$1,0)),"")))</f>
        <v/>
      </c>
      <c r="N481" s="87" t="str">
        <f>IF($B481="","",IF(IFERROR(INDEX('RAID Log'!$1:$1048576,$B481,MATCH("Date Raised",'RAID Log'!$1:$1,0)),"")="","",IFERROR(INDEX('RAID Log'!$1:$1048576,$B481,MATCH("Date Raised",'RAID Log'!$1:$1,0)),"")))</f>
        <v/>
      </c>
      <c r="O481" s="87" t="str">
        <f>IF($B481="","",IF(IFERROR(INDEX('RAID Log'!$1:$1048576,$B481,MATCH("Closed Date",'RAID Log'!$1:$1,0)),"")="","",IFERROR(INDEX('RAID Log'!$1:$1048576,$B481,MATCH("Closed Date",'RAID Log'!$1:$1,0)),"")))</f>
        <v/>
      </c>
      <c r="P481" s="85" t="str">
        <f>IF($B481="","",IF(IFERROR(INDEX('RAID Log'!$1:$1048576,$B481,MATCH("Mitigation Strategy",'RAID Log'!$1:$1,0)),"")="","",IFERROR(INDEX('RAID Log'!$1:$1048576,$B481,MATCH("Mitigation Strategy",'RAID Log'!$1:$1,0)),"")))</f>
        <v/>
      </c>
      <c r="Q481" s="88" t="str">
        <f>IF($B481="","",IF(IFERROR(INDEX('RAID Log'!$1:$1048576,$B481,MATCH("RAID Response/Plan",'RAID Log'!$1:$1,0)),"")="","",IFERROR(INDEX('RAID Log'!$1:$1048576,$B481,MATCH("RAID Response/Plan",'RAID Log'!$1:$1,0)),"")))</f>
        <v/>
      </c>
    </row>
    <row r="482" spans="1:17" ht="14.25" customHeight="1">
      <c r="A482" s="82" t="str">
        <f>IF($B482="","",IF(IFERROR(INDEX('RAID Log'!$1:$1048576,$B482,MATCH("RAID ID",'RAID Log'!$1:$1,0)),"")="","",IFERROR(INDEX('RAID Log'!$1:$1048576,$B482,MATCH("RAID ID",'RAID Log'!$1:$1,0)),"")))</f>
        <v/>
      </c>
      <c r="B482" s="83" t="str">
        <f>IFERROR(MATCH(ROW()-1,'RAID Log'!$S:$S,0),"")</f>
        <v/>
      </c>
      <c r="C482" s="84" t="str">
        <f>IF($B482="","",IF(IFERROR(INDEX('RAID Log'!$1:$1048576,$B482,MATCH("Description",'RAID Log'!$1:$1,0)),"")="","",IFERROR(INDEX('RAID Log'!$1:$1048576,$B482,MATCH("Description",'RAID Log'!$1:$1,0)),"")))</f>
        <v/>
      </c>
      <c r="D482" s="84" t="str">
        <f>IF($B482="","",IF(IFERROR(INDEX('RAID Log'!$1:$1048576,$B482,MATCH("Impact/Effect of the RAID",'RAID Log'!$1:$1,0)),"")="","",IFERROR(INDEX('RAID Log'!$1:$1048576,$B482,MATCH("Impact/Effect of the RAID",'RAID Log'!$1:$1,0)),"")))</f>
        <v/>
      </c>
      <c r="E482" s="85" t="str">
        <f>IF($B482="","",IF(IFERROR(INDEX('RAID Log'!$1:$1048576,$B482,MATCH("Impact Area",'RAID Log'!$1:$1,0)),"")="","",IFERROR(INDEX('RAID Log'!$1:$1048576,$B482,MATCH("Impact Area",'RAID Log'!$1:$1,0)),"")))</f>
        <v/>
      </c>
      <c r="F482" s="85" t="str">
        <f>IF($B482="","",IF(IFERROR(INDEX('RAID Log'!$1:$1048576,$B482,MATCH("Impact Area",'RAID Log'!$1:$1,0)),"")="","",IFERROR(INDEX('RAID Log'!$1:$1048576,$B482,MATCH("Impact Area",'RAID Log'!$1:$1,0)),"")))</f>
        <v/>
      </c>
      <c r="G482" s="85" t="str">
        <f>IF($B482="","",IF(IFERROR(INDEX('RAID Log'!$1:$1048576,$B482,MATCH("Impact Rating",'RAID Log'!$1:$1,0)),"")="","",IFERROR(INDEX('RAID Log'!$1:$1048576,$B482,MATCH("Impact Rating",'RAID Log'!$1:$1,0)),"")))</f>
        <v/>
      </c>
      <c r="H482" s="85" t="str">
        <f>IF($B482="","",IF(IFERROR(INDEX('RAID Log'!$1:$1048576,$B482,MATCH("Initial Probability",'RAID Log'!$1:$1,0)),"")="","",IFERROR(INDEX('RAID Log'!$1:$1048576,$B482,MATCH("Initial Probability",'RAID Log'!$1:$1,0)),"")))</f>
        <v/>
      </c>
      <c r="I482" s="86" t="str">
        <f t="shared" si="21"/>
        <v/>
      </c>
      <c r="J482" s="85" t="str">
        <f t="shared" si="22"/>
        <v/>
      </c>
      <c r="K482" s="86" t="str">
        <f t="shared" si="23"/>
        <v/>
      </c>
      <c r="L482" s="85" t="str">
        <f>IF($B482="","",IF(IFERROR(INDEX('RAID Log'!$1:$1048576,$B482,MATCH("Status",'RAID Log'!$1:$1,0)),"")="","",IFERROR(INDEX('RAID Log'!$1:$1048576,$B482,MATCH("Status",'RAID Log'!$1:$1,0)),"")))</f>
        <v/>
      </c>
      <c r="M482" s="85" t="str">
        <f>IF($B482="","",IF(IFERROR(INDEX('RAID Log'!$1:$1048576,$B482,MATCH("RAID Owner",'RAID Log'!$1:$1,0)),"")="","",IFERROR(INDEX('RAID Log'!$1:$1048576,$B482,MATCH("RAID Owner",'RAID Log'!$1:$1,0)),"")))</f>
        <v/>
      </c>
      <c r="N482" s="87" t="str">
        <f>IF($B482="","",IF(IFERROR(INDEX('RAID Log'!$1:$1048576,$B482,MATCH("Date Raised",'RAID Log'!$1:$1,0)),"")="","",IFERROR(INDEX('RAID Log'!$1:$1048576,$B482,MATCH("Date Raised",'RAID Log'!$1:$1,0)),"")))</f>
        <v/>
      </c>
      <c r="O482" s="87" t="str">
        <f>IF($B482="","",IF(IFERROR(INDEX('RAID Log'!$1:$1048576,$B482,MATCH("Closed Date",'RAID Log'!$1:$1,0)),"")="","",IFERROR(INDEX('RAID Log'!$1:$1048576,$B482,MATCH("Closed Date",'RAID Log'!$1:$1,0)),"")))</f>
        <v/>
      </c>
      <c r="P482" s="85" t="str">
        <f>IF($B482="","",IF(IFERROR(INDEX('RAID Log'!$1:$1048576,$B482,MATCH("Mitigation Strategy",'RAID Log'!$1:$1,0)),"")="","",IFERROR(INDEX('RAID Log'!$1:$1048576,$B482,MATCH("Mitigation Strategy",'RAID Log'!$1:$1,0)),"")))</f>
        <v/>
      </c>
      <c r="Q482" s="88" t="str">
        <f>IF($B482="","",IF(IFERROR(INDEX('RAID Log'!$1:$1048576,$B482,MATCH("RAID Response/Plan",'RAID Log'!$1:$1,0)),"")="","",IFERROR(INDEX('RAID Log'!$1:$1048576,$B482,MATCH("RAID Response/Plan",'RAID Log'!$1:$1,0)),"")))</f>
        <v/>
      </c>
    </row>
    <row r="483" spans="1:17" ht="14.25" customHeight="1">
      <c r="A483" s="82" t="str">
        <f>IF($B483="","",IF(IFERROR(INDEX('RAID Log'!$1:$1048576,$B483,MATCH("RAID ID",'RAID Log'!$1:$1,0)),"")="","",IFERROR(INDEX('RAID Log'!$1:$1048576,$B483,MATCH("RAID ID",'RAID Log'!$1:$1,0)),"")))</f>
        <v/>
      </c>
      <c r="B483" s="83" t="str">
        <f>IFERROR(MATCH(ROW()-1,'RAID Log'!$S:$S,0),"")</f>
        <v/>
      </c>
      <c r="C483" s="84" t="str">
        <f>IF($B483="","",IF(IFERROR(INDEX('RAID Log'!$1:$1048576,$B483,MATCH("Description",'RAID Log'!$1:$1,0)),"")="","",IFERROR(INDEX('RAID Log'!$1:$1048576,$B483,MATCH("Description",'RAID Log'!$1:$1,0)),"")))</f>
        <v/>
      </c>
      <c r="D483" s="84" t="str">
        <f>IF($B483="","",IF(IFERROR(INDEX('RAID Log'!$1:$1048576,$B483,MATCH("Impact/Effect of the RAID",'RAID Log'!$1:$1,0)),"")="","",IFERROR(INDEX('RAID Log'!$1:$1048576,$B483,MATCH("Impact/Effect of the RAID",'RAID Log'!$1:$1,0)),"")))</f>
        <v/>
      </c>
      <c r="E483" s="85" t="str">
        <f>IF($B483="","",IF(IFERROR(INDEX('RAID Log'!$1:$1048576,$B483,MATCH("Impact Area",'RAID Log'!$1:$1,0)),"")="","",IFERROR(INDEX('RAID Log'!$1:$1048576,$B483,MATCH("Impact Area",'RAID Log'!$1:$1,0)),"")))</f>
        <v/>
      </c>
      <c r="F483" s="85" t="str">
        <f>IF($B483="","",IF(IFERROR(INDEX('RAID Log'!$1:$1048576,$B483,MATCH("Impact Area",'RAID Log'!$1:$1,0)),"")="","",IFERROR(INDEX('RAID Log'!$1:$1048576,$B483,MATCH("Impact Area",'RAID Log'!$1:$1,0)),"")))</f>
        <v/>
      </c>
      <c r="G483" s="85" t="str">
        <f>IF($B483="","",IF(IFERROR(INDEX('RAID Log'!$1:$1048576,$B483,MATCH("Impact Rating",'RAID Log'!$1:$1,0)),"")="","",IFERROR(INDEX('RAID Log'!$1:$1048576,$B483,MATCH("Impact Rating",'RAID Log'!$1:$1,0)),"")))</f>
        <v/>
      </c>
      <c r="H483" s="85" t="str">
        <f>IF($B483="","",IF(IFERROR(INDEX('RAID Log'!$1:$1048576,$B483,MATCH("Initial Probability",'RAID Log'!$1:$1,0)),"")="","",IFERROR(INDEX('RAID Log'!$1:$1048576,$B483,MATCH("Initial Probability",'RAID Log'!$1:$1,0)),"")))</f>
        <v/>
      </c>
      <c r="I483" s="86" t="str">
        <f t="shared" si="21"/>
        <v/>
      </c>
      <c r="J483" s="85" t="str">
        <f t="shared" si="22"/>
        <v/>
      </c>
      <c r="K483" s="86" t="str">
        <f t="shared" si="23"/>
        <v/>
      </c>
      <c r="L483" s="85" t="str">
        <f>IF($B483="","",IF(IFERROR(INDEX('RAID Log'!$1:$1048576,$B483,MATCH("Status",'RAID Log'!$1:$1,0)),"")="","",IFERROR(INDEX('RAID Log'!$1:$1048576,$B483,MATCH("Status",'RAID Log'!$1:$1,0)),"")))</f>
        <v/>
      </c>
      <c r="M483" s="85" t="str">
        <f>IF($B483="","",IF(IFERROR(INDEX('RAID Log'!$1:$1048576,$B483,MATCH("RAID Owner",'RAID Log'!$1:$1,0)),"")="","",IFERROR(INDEX('RAID Log'!$1:$1048576,$B483,MATCH("RAID Owner",'RAID Log'!$1:$1,0)),"")))</f>
        <v/>
      </c>
      <c r="N483" s="87" t="str">
        <f>IF($B483="","",IF(IFERROR(INDEX('RAID Log'!$1:$1048576,$B483,MATCH("Date Raised",'RAID Log'!$1:$1,0)),"")="","",IFERROR(INDEX('RAID Log'!$1:$1048576,$B483,MATCH("Date Raised",'RAID Log'!$1:$1,0)),"")))</f>
        <v/>
      </c>
      <c r="O483" s="87" t="str">
        <f>IF($B483="","",IF(IFERROR(INDEX('RAID Log'!$1:$1048576,$B483,MATCH("Closed Date",'RAID Log'!$1:$1,0)),"")="","",IFERROR(INDEX('RAID Log'!$1:$1048576,$B483,MATCH("Closed Date",'RAID Log'!$1:$1,0)),"")))</f>
        <v/>
      </c>
      <c r="P483" s="85" t="str">
        <f>IF($B483="","",IF(IFERROR(INDEX('RAID Log'!$1:$1048576,$B483,MATCH("Mitigation Strategy",'RAID Log'!$1:$1,0)),"")="","",IFERROR(INDEX('RAID Log'!$1:$1048576,$B483,MATCH("Mitigation Strategy",'RAID Log'!$1:$1,0)),"")))</f>
        <v/>
      </c>
      <c r="Q483" s="88" t="str">
        <f>IF($B483="","",IF(IFERROR(INDEX('RAID Log'!$1:$1048576,$B483,MATCH("RAID Response/Plan",'RAID Log'!$1:$1,0)),"")="","",IFERROR(INDEX('RAID Log'!$1:$1048576,$B483,MATCH("RAID Response/Plan",'RAID Log'!$1:$1,0)),"")))</f>
        <v/>
      </c>
    </row>
    <row r="484" spans="1:17" ht="14.25" customHeight="1">
      <c r="A484" s="82" t="str">
        <f>IF($B484="","",IF(IFERROR(INDEX('RAID Log'!$1:$1048576,$B484,MATCH("RAID ID",'RAID Log'!$1:$1,0)),"")="","",IFERROR(INDEX('RAID Log'!$1:$1048576,$B484,MATCH("RAID ID",'RAID Log'!$1:$1,0)),"")))</f>
        <v/>
      </c>
      <c r="B484" s="83" t="str">
        <f>IFERROR(MATCH(ROW()-1,'RAID Log'!$S:$S,0),"")</f>
        <v/>
      </c>
      <c r="C484" s="84" t="str">
        <f>IF($B484="","",IF(IFERROR(INDEX('RAID Log'!$1:$1048576,$B484,MATCH("Description",'RAID Log'!$1:$1,0)),"")="","",IFERROR(INDEX('RAID Log'!$1:$1048576,$B484,MATCH("Description",'RAID Log'!$1:$1,0)),"")))</f>
        <v/>
      </c>
      <c r="D484" s="84" t="str">
        <f>IF($B484="","",IF(IFERROR(INDEX('RAID Log'!$1:$1048576,$B484,MATCH("Impact/Effect of the RAID",'RAID Log'!$1:$1,0)),"")="","",IFERROR(INDEX('RAID Log'!$1:$1048576,$B484,MATCH("Impact/Effect of the RAID",'RAID Log'!$1:$1,0)),"")))</f>
        <v/>
      </c>
      <c r="E484" s="85" t="str">
        <f>IF($B484="","",IF(IFERROR(INDEX('RAID Log'!$1:$1048576,$B484,MATCH("Impact Area",'RAID Log'!$1:$1,0)),"")="","",IFERROR(INDEX('RAID Log'!$1:$1048576,$B484,MATCH("Impact Area",'RAID Log'!$1:$1,0)),"")))</f>
        <v/>
      </c>
      <c r="F484" s="85" t="str">
        <f>IF($B484="","",IF(IFERROR(INDEX('RAID Log'!$1:$1048576,$B484,MATCH("Impact Area",'RAID Log'!$1:$1,0)),"")="","",IFERROR(INDEX('RAID Log'!$1:$1048576,$B484,MATCH("Impact Area",'RAID Log'!$1:$1,0)),"")))</f>
        <v/>
      </c>
      <c r="G484" s="85" t="str">
        <f>IF($B484="","",IF(IFERROR(INDEX('RAID Log'!$1:$1048576,$B484,MATCH("Impact Rating",'RAID Log'!$1:$1,0)),"")="","",IFERROR(INDEX('RAID Log'!$1:$1048576,$B484,MATCH("Impact Rating",'RAID Log'!$1:$1,0)),"")))</f>
        <v/>
      </c>
      <c r="H484" s="85" t="str">
        <f>IF($B484="","",IF(IFERROR(INDEX('RAID Log'!$1:$1048576,$B484,MATCH("Initial Probability",'RAID Log'!$1:$1,0)),"")="","",IFERROR(INDEX('RAID Log'!$1:$1048576,$B484,MATCH("Initial Probability",'RAID Log'!$1:$1,0)),"")))</f>
        <v/>
      </c>
      <c r="I484" s="86" t="str">
        <f t="shared" si="21"/>
        <v/>
      </c>
      <c r="J484" s="85" t="str">
        <f t="shared" si="22"/>
        <v/>
      </c>
      <c r="K484" s="86" t="str">
        <f t="shared" si="23"/>
        <v/>
      </c>
      <c r="L484" s="85" t="str">
        <f>IF($B484="","",IF(IFERROR(INDEX('RAID Log'!$1:$1048576,$B484,MATCH("Status",'RAID Log'!$1:$1,0)),"")="","",IFERROR(INDEX('RAID Log'!$1:$1048576,$B484,MATCH("Status",'RAID Log'!$1:$1,0)),"")))</f>
        <v/>
      </c>
      <c r="M484" s="85" t="str">
        <f>IF($B484="","",IF(IFERROR(INDEX('RAID Log'!$1:$1048576,$B484,MATCH("RAID Owner",'RAID Log'!$1:$1,0)),"")="","",IFERROR(INDEX('RAID Log'!$1:$1048576,$B484,MATCH("RAID Owner",'RAID Log'!$1:$1,0)),"")))</f>
        <v/>
      </c>
      <c r="N484" s="87" t="str">
        <f>IF($B484="","",IF(IFERROR(INDEX('RAID Log'!$1:$1048576,$B484,MATCH("Date Raised",'RAID Log'!$1:$1,0)),"")="","",IFERROR(INDEX('RAID Log'!$1:$1048576,$B484,MATCH("Date Raised",'RAID Log'!$1:$1,0)),"")))</f>
        <v/>
      </c>
      <c r="O484" s="87" t="str">
        <f>IF($B484="","",IF(IFERROR(INDEX('RAID Log'!$1:$1048576,$B484,MATCH("Closed Date",'RAID Log'!$1:$1,0)),"")="","",IFERROR(INDEX('RAID Log'!$1:$1048576,$B484,MATCH("Closed Date",'RAID Log'!$1:$1,0)),"")))</f>
        <v/>
      </c>
      <c r="P484" s="85" t="str">
        <f>IF($B484="","",IF(IFERROR(INDEX('RAID Log'!$1:$1048576,$B484,MATCH("Mitigation Strategy",'RAID Log'!$1:$1,0)),"")="","",IFERROR(INDEX('RAID Log'!$1:$1048576,$B484,MATCH("Mitigation Strategy",'RAID Log'!$1:$1,0)),"")))</f>
        <v/>
      </c>
      <c r="Q484" s="88" t="str">
        <f>IF($B484="","",IF(IFERROR(INDEX('RAID Log'!$1:$1048576,$B484,MATCH("RAID Response/Plan",'RAID Log'!$1:$1,0)),"")="","",IFERROR(INDEX('RAID Log'!$1:$1048576,$B484,MATCH("RAID Response/Plan",'RAID Log'!$1:$1,0)),"")))</f>
        <v/>
      </c>
    </row>
    <row r="485" spans="1:17" ht="14.25" customHeight="1">
      <c r="A485" s="82" t="str">
        <f>IF($B485="","",IF(IFERROR(INDEX('RAID Log'!$1:$1048576,$B485,MATCH("RAID ID",'RAID Log'!$1:$1,0)),"")="","",IFERROR(INDEX('RAID Log'!$1:$1048576,$B485,MATCH("RAID ID",'RAID Log'!$1:$1,0)),"")))</f>
        <v/>
      </c>
      <c r="B485" s="83" t="str">
        <f>IFERROR(MATCH(ROW()-1,'RAID Log'!$S:$S,0),"")</f>
        <v/>
      </c>
      <c r="C485" s="84" t="str">
        <f>IF($B485="","",IF(IFERROR(INDEX('RAID Log'!$1:$1048576,$B485,MATCH("Description",'RAID Log'!$1:$1,0)),"")="","",IFERROR(INDEX('RAID Log'!$1:$1048576,$B485,MATCH("Description",'RAID Log'!$1:$1,0)),"")))</f>
        <v/>
      </c>
      <c r="D485" s="84" t="str">
        <f>IF($B485="","",IF(IFERROR(INDEX('RAID Log'!$1:$1048576,$B485,MATCH("Impact/Effect of the RAID",'RAID Log'!$1:$1,0)),"")="","",IFERROR(INDEX('RAID Log'!$1:$1048576,$B485,MATCH("Impact/Effect of the RAID",'RAID Log'!$1:$1,0)),"")))</f>
        <v/>
      </c>
      <c r="E485" s="85" t="str">
        <f>IF($B485="","",IF(IFERROR(INDEX('RAID Log'!$1:$1048576,$B485,MATCH("Impact Area",'RAID Log'!$1:$1,0)),"")="","",IFERROR(INDEX('RAID Log'!$1:$1048576,$B485,MATCH("Impact Area",'RAID Log'!$1:$1,0)),"")))</f>
        <v/>
      </c>
      <c r="F485" s="85" t="str">
        <f>IF($B485="","",IF(IFERROR(INDEX('RAID Log'!$1:$1048576,$B485,MATCH("Impact Area",'RAID Log'!$1:$1,0)),"")="","",IFERROR(INDEX('RAID Log'!$1:$1048576,$B485,MATCH("Impact Area",'RAID Log'!$1:$1,0)),"")))</f>
        <v/>
      </c>
      <c r="G485" s="85" t="str">
        <f>IF($B485="","",IF(IFERROR(INDEX('RAID Log'!$1:$1048576,$B485,MATCH("Impact Rating",'RAID Log'!$1:$1,0)),"")="","",IFERROR(INDEX('RAID Log'!$1:$1048576,$B485,MATCH("Impact Rating",'RAID Log'!$1:$1,0)),"")))</f>
        <v/>
      </c>
      <c r="H485" s="85" t="str">
        <f>IF($B485="","",IF(IFERROR(INDEX('RAID Log'!$1:$1048576,$B485,MATCH("Initial Probability",'RAID Log'!$1:$1,0)),"")="","",IFERROR(INDEX('RAID Log'!$1:$1048576,$B485,MATCH("Initial Probability",'RAID Log'!$1:$1,0)),"")))</f>
        <v/>
      </c>
      <c r="I485" s="86" t="str">
        <f t="shared" si="21"/>
        <v/>
      </c>
      <c r="J485" s="85" t="str">
        <f t="shared" si="22"/>
        <v/>
      </c>
      <c r="K485" s="86" t="str">
        <f t="shared" si="23"/>
        <v/>
      </c>
      <c r="L485" s="85" t="str">
        <f>IF($B485="","",IF(IFERROR(INDEX('RAID Log'!$1:$1048576,$B485,MATCH("Status",'RAID Log'!$1:$1,0)),"")="","",IFERROR(INDEX('RAID Log'!$1:$1048576,$B485,MATCH("Status",'RAID Log'!$1:$1,0)),"")))</f>
        <v/>
      </c>
      <c r="M485" s="85" t="str">
        <f>IF($B485="","",IF(IFERROR(INDEX('RAID Log'!$1:$1048576,$B485,MATCH("RAID Owner",'RAID Log'!$1:$1,0)),"")="","",IFERROR(INDEX('RAID Log'!$1:$1048576,$B485,MATCH("RAID Owner",'RAID Log'!$1:$1,0)),"")))</f>
        <v/>
      </c>
      <c r="N485" s="87" t="str">
        <f>IF($B485="","",IF(IFERROR(INDEX('RAID Log'!$1:$1048576,$B485,MATCH("Date Raised",'RAID Log'!$1:$1,0)),"")="","",IFERROR(INDEX('RAID Log'!$1:$1048576,$B485,MATCH("Date Raised",'RAID Log'!$1:$1,0)),"")))</f>
        <v/>
      </c>
      <c r="O485" s="87" t="str">
        <f>IF($B485="","",IF(IFERROR(INDEX('RAID Log'!$1:$1048576,$B485,MATCH("Closed Date",'RAID Log'!$1:$1,0)),"")="","",IFERROR(INDEX('RAID Log'!$1:$1048576,$B485,MATCH("Closed Date",'RAID Log'!$1:$1,0)),"")))</f>
        <v/>
      </c>
      <c r="P485" s="85" t="str">
        <f>IF($B485="","",IF(IFERROR(INDEX('RAID Log'!$1:$1048576,$B485,MATCH("Mitigation Strategy",'RAID Log'!$1:$1,0)),"")="","",IFERROR(INDEX('RAID Log'!$1:$1048576,$B485,MATCH("Mitigation Strategy",'RAID Log'!$1:$1,0)),"")))</f>
        <v/>
      </c>
      <c r="Q485" s="88" t="str">
        <f>IF($B485="","",IF(IFERROR(INDEX('RAID Log'!$1:$1048576,$B485,MATCH("RAID Response/Plan",'RAID Log'!$1:$1,0)),"")="","",IFERROR(INDEX('RAID Log'!$1:$1048576,$B485,MATCH("RAID Response/Plan",'RAID Log'!$1:$1,0)),"")))</f>
        <v/>
      </c>
    </row>
    <row r="486" spans="1:17" ht="14.25" customHeight="1">
      <c r="A486" s="82" t="str">
        <f>IF($B486="","",IF(IFERROR(INDEX('RAID Log'!$1:$1048576,$B486,MATCH("RAID ID",'RAID Log'!$1:$1,0)),"")="","",IFERROR(INDEX('RAID Log'!$1:$1048576,$B486,MATCH("RAID ID",'RAID Log'!$1:$1,0)),"")))</f>
        <v/>
      </c>
      <c r="B486" s="83" t="str">
        <f>IFERROR(MATCH(ROW()-1,'RAID Log'!$S:$S,0),"")</f>
        <v/>
      </c>
      <c r="C486" s="84" t="str">
        <f>IF($B486="","",IF(IFERROR(INDEX('RAID Log'!$1:$1048576,$B486,MATCH("Description",'RAID Log'!$1:$1,0)),"")="","",IFERROR(INDEX('RAID Log'!$1:$1048576,$B486,MATCH("Description",'RAID Log'!$1:$1,0)),"")))</f>
        <v/>
      </c>
      <c r="D486" s="84" t="str">
        <f>IF($B486="","",IF(IFERROR(INDEX('RAID Log'!$1:$1048576,$B486,MATCH("Impact/Effect of the RAID",'RAID Log'!$1:$1,0)),"")="","",IFERROR(INDEX('RAID Log'!$1:$1048576,$B486,MATCH("Impact/Effect of the RAID",'RAID Log'!$1:$1,0)),"")))</f>
        <v/>
      </c>
      <c r="E486" s="85" t="str">
        <f>IF($B486="","",IF(IFERROR(INDEX('RAID Log'!$1:$1048576,$B486,MATCH("Impact Area",'RAID Log'!$1:$1,0)),"")="","",IFERROR(INDEX('RAID Log'!$1:$1048576,$B486,MATCH("Impact Area",'RAID Log'!$1:$1,0)),"")))</f>
        <v/>
      </c>
      <c r="F486" s="85" t="str">
        <f>IF($B486="","",IF(IFERROR(INDEX('RAID Log'!$1:$1048576,$B486,MATCH("Impact Area",'RAID Log'!$1:$1,0)),"")="","",IFERROR(INDEX('RAID Log'!$1:$1048576,$B486,MATCH("Impact Area",'RAID Log'!$1:$1,0)),"")))</f>
        <v/>
      </c>
      <c r="G486" s="85" t="str">
        <f>IF($B486="","",IF(IFERROR(INDEX('RAID Log'!$1:$1048576,$B486,MATCH("Impact Rating",'RAID Log'!$1:$1,0)),"")="","",IFERROR(INDEX('RAID Log'!$1:$1048576,$B486,MATCH("Impact Rating",'RAID Log'!$1:$1,0)),"")))</f>
        <v/>
      </c>
      <c r="H486" s="85" t="str">
        <f>IF($B486="","",IF(IFERROR(INDEX('RAID Log'!$1:$1048576,$B486,MATCH("Initial Probability",'RAID Log'!$1:$1,0)),"")="","",IFERROR(INDEX('RAID Log'!$1:$1048576,$B486,MATCH("Initial Probability",'RAID Log'!$1:$1,0)),"")))</f>
        <v/>
      </c>
      <c r="I486" s="86" t="str">
        <f t="shared" si="21"/>
        <v/>
      </c>
      <c r="J486" s="85" t="str">
        <f t="shared" si="22"/>
        <v/>
      </c>
      <c r="K486" s="86" t="str">
        <f t="shared" si="23"/>
        <v/>
      </c>
      <c r="L486" s="85" t="str">
        <f>IF($B486="","",IF(IFERROR(INDEX('RAID Log'!$1:$1048576,$B486,MATCH("Status",'RAID Log'!$1:$1,0)),"")="","",IFERROR(INDEX('RAID Log'!$1:$1048576,$B486,MATCH("Status",'RAID Log'!$1:$1,0)),"")))</f>
        <v/>
      </c>
      <c r="M486" s="85" t="str">
        <f>IF($B486="","",IF(IFERROR(INDEX('RAID Log'!$1:$1048576,$B486,MATCH("RAID Owner",'RAID Log'!$1:$1,0)),"")="","",IFERROR(INDEX('RAID Log'!$1:$1048576,$B486,MATCH("RAID Owner",'RAID Log'!$1:$1,0)),"")))</f>
        <v/>
      </c>
      <c r="N486" s="87" t="str">
        <f>IF($B486="","",IF(IFERROR(INDEX('RAID Log'!$1:$1048576,$B486,MATCH("Date Raised",'RAID Log'!$1:$1,0)),"")="","",IFERROR(INDEX('RAID Log'!$1:$1048576,$B486,MATCH("Date Raised",'RAID Log'!$1:$1,0)),"")))</f>
        <v/>
      </c>
      <c r="O486" s="87" t="str">
        <f>IF($B486="","",IF(IFERROR(INDEX('RAID Log'!$1:$1048576,$B486,MATCH("Closed Date",'RAID Log'!$1:$1,0)),"")="","",IFERROR(INDEX('RAID Log'!$1:$1048576,$B486,MATCH("Closed Date",'RAID Log'!$1:$1,0)),"")))</f>
        <v/>
      </c>
      <c r="P486" s="85" t="str">
        <f>IF($B486="","",IF(IFERROR(INDEX('RAID Log'!$1:$1048576,$B486,MATCH("Mitigation Strategy",'RAID Log'!$1:$1,0)),"")="","",IFERROR(INDEX('RAID Log'!$1:$1048576,$B486,MATCH("Mitigation Strategy",'RAID Log'!$1:$1,0)),"")))</f>
        <v/>
      </c>
      <c r="Q486" s="88" t="str">
        <f>IF($B486="","",IF(IFERROR(INDEX('RAID Log'!$1:$1048576,$B486,MATCH("RAID Response/Plan",'RAID Log'!$1:$1,0)),"")="","",IFERROR(INDEX('RAID Log'!$1:$1048576,$B486,MATCH("RAID Response/Plan",'RAID Log'!$1:$1,0)),"")))</f>
        <v/>
      </c>
    </row>
    <row r="487" spans="1:17" ht="14.25" customHeight="1">
      <c r="A487" s="82" t="str">
        <f>IF($B487="","",IF(IFERROR(INDEX('RAID Log'!$1:$1048576,$B487,MATCH("RAID ID",'RAID Log'!$1:$1,0)),"")="","",IFERROR(INDEX('RAID Log'!$1:$1048576,$B487,MATCH("RAID ID",'RAID Log'!$1:$1,0)),"")))</f>
        <v/>
      </c>
      <c r="B487" s="83" t="str">
        <f>IFERROR(MATCH(ROW()-1,'RAID Log'!$S:$S,0),"")</f>
        <v/>
      </c>
      <c r="C487" s="84" t="str">
        <f>IF($B487="","",IF(IFERROR(INDEX('RAID Log'!$1:$1048576,$B487,MATCH("Description",'RAID Log'!$1:$1,0)),"")="","",IFERROR(INDEX('RAID Log'!$1:$1048576,$B487,MATCH("Description",'RAID Log'!$1:$1,0)),"")))</f>
        <v/>
      </c>
      <c r="D487" s="84" t="str">
        <f>IF($B487="","",IF(IFERROR(INDEX('RAID Log'!$1:$1048576,$B487,MATCH("Impact/Effect of the RAID",'RAID Log'!$1:$1,0)),"")="","",IFERROR(INDEX('RAID Log'!$1:$1048576,$B487,MATCH("Impact/Effect of the RAID",'RAID Log'!$1:$1,0)),"")))</f>
        <v/>
      </c>
      <c r="E487" s="85" t="str">
        <f>IF($B487="","",IF(IFERROR(INDEX('RAID Log'!$1:$1048576,$B487,MATCH("Impact Area",'RAID Log'!$1:$1,0)),"")="","",IFERROR(INDEX('RAID Log'!$1:$1048576,$B487,MATCH("Impact Area",'RAID Log'!$1:$1,0)),"")))</f>
        <v/>
      </c>
      <c r="F487" s="85" t="str">
        <f>IF($B487="","",IF(IFERROR(INDEX('RAID Log'!$1:$1048576,$B487,MATCH("Impact Area",'RAID Log'!$1:$1,0)),"")="","",IFERROR(INDEX('RAID Log'!$1:$1048576,$B487,MATCH("Impact Area",'RAID Log'!$1:$1,0)),"")))</f>
        <v/>
      </c>
      <c r="G487" s="85" t="str">
        <f>IF($B487="","",IF(IFERROR(INDEX('RAID Log'!$1:$1048576,$B487,MATCH("Impact Rating",'RAID Log'!$1:$1,0)),"")="","",IFERROR(INDEX('RAID Log'!$1:$1048576,$B487,MATCH("Impact Rating",'RAID Log'!$1:$1,0)),"")))</f>
        <v/>
      </c>
      <c r="H487" s="85" t="str">
        <f>IF($B487="","",IF(IFERROR(INDEX('RAID Log'!$1:$1048576,$B487,MATCH("Initial Probability",'RAID Log'!$1:$1,0)),"")="","",IFERROR(INDEX('RAID Log'!$1:$1048576,$B487,MATCH("Initial Probability",'RAID Log'!$1:$1,0)),"")))</f>
        <v/>
      </c>
      <c r="I487" s="86" t="str">
        <f t="shared" si="21"/>
        <v/>
      </c>
      <c r="J487" s="85" t="str">
        <f t="shared" si="22"/>
        <v/>
      </c>
      <c r="K487" s="86" t="str">
        <f t="shared" si="23"/>
        <v/>
      </c>
      <c r="L487" s="85" t="str">
        <f>IF($B487="","",IF(IFERROR(INDEX('RAID Log'!$1:$1048576,$B487,MATCH("Status",'RAID Log'!$1:$1,0)),"")="","",IFERROR(INDEX('RAID Log'!$1:$1048576,$B487,MATCH("Status",'RAID Log'!$1:$1,0)),"")))</f>
        <v/>
      </c>
      <c r="M487" s="85" t="str">
        <f>IF($B487="","",IF(IFERROR(INDEX('RAID Log'!$1:$1048576,$B487,MATCH("RAID Owner",'RAID Log'!$1:$1,0)),"")="","",IFERROR(INDEX('RAID Log'!$1:$1048576,$B487,MATCH("RAID Owner",'RAID Log'!$1:$1,0)),"")))</f>
        <v/>
      </c>
      <c r="N487" s="87" t="str">
        <f>IF($B487="","",IF(IFERROR(INDEX('RAID Log'!$1:$1048576,$B487,MATCH("Date Raised",'RAID Log'!$1:$1,0)),"")="","",IFERROR(INDEX('RAID Log'!$1:$1048576,$B487,MATCH("Date Raised",'RAID Log'!$1:$1,0)),"")))</f>
        <v/>
      </c>
      <c r="O487" s="87" t="str">
        <f>IF($B487="","",IF(IFERROR(INDEX('RAID Log'!$1:$1048576,$B487,MATCH("Closed Date",'RAID Log'!$1:$1,0)),"")="","",IFERROR(INDEX('RAID Log'!$1:$1048576,$B487,MATCH("Closed Date",'RAID Log'!$1:$1,0)),"")))</f>
        <v/>
      </c>
      <c r="P487" s="85" t="str">
        <f>IF($B487="","",IF(IFERROR(INDEX('RAID Log'!$1:$1048576,$B487,MATCH("Mitigation Strategy",'RAID Log'!$1:$1,0)),"")="","",IFERROR(INDEX('RAID Log'!$1:$1048576,$B487,MATCH("Mitigation Strategy",'RAID Log'!$1:$1,0)),"")))</f>
        <v/>
      </c>
      <c r="Q487" s="88" t="str">
        <f>IF($B487="","",IF(IFERROR(INDEX('RAID Log'!$1:$1048576,$B487,MATCH("RAID Response/Plan",'RAID Log'!$1:$1,0)),"")="","",IFERROR(INDEX('RAID Log'!$1:$1048576,$B487,MATCH("RAID Response/Plan",'RAID Log'!$1:$1,0)),"")))</f>
        <v/>
      </c>
    </row>
    <row r="488" spans="1:17" ht="14.25" customHeight="1">
      <c r="A488" s="82" t="str">
        <f>IF($B488="","",IF(IFERROR(INDEX('RAID Log'!$1:$1048576,$B488,MATCH("RAID ID",'RAID Log'!$1:$1,0)),"")="","",IFERROR(INDEX('RAID Log'!$1:$1048576,$B488,MATCH("RAID ID",'RAID Log'!$1:$1,0)),"")))</f>
        <v/>
      </c>
      <c r="B488" s="83" t="str">
        <f>IFERROR(MATCH(ROW()-1,'RAID Log'!$S:$S,0),"")</f>
        <v/>
      </c>
      <c r="C488" s="84" t="str">
        <f>IF($B488="","",IF(IFERROR(INDEX('RAID Log'!$1:$1048576,$B488,MATCH("Description",'RAID Log'!$1:$1,0)),"")="","",IFERROR(INDEX('RAID Log'!$1:$1048576,$B488,MATCH("Description",'RAID Log'!$1:$1,0)),"")))</f>
        <v/>
      </c>
      <c r="D488" s="84" t="str">
        <f>IF($B488="","",IF(IFERROR(INDEX('RAID Log'!$1:$1048576,$B488,MATCH("Impact/Effect of the RAID",'RAID Log'!$1:$1,0)),"")="","",IFERROR(INDEX('RAID Log'!$1:$1048576,$B488,MATCH("Impact/Effect of the RAID",'RAID Log'!$1:$1,0)),"")))</f>
        <v/>
      </c>
      <c r="E488" s="85" t="str">
        <f>IF($B488="","",IF(IFERROR(INDEX('RAID Log'!$1:$1048576,$B488,MATCH("Impact Area",'RAID Log'!$1:$1,0)),"")="","",IFERROR(INDEX('RAID Log'!$1:$1048576,$B488,MATCH("Impact Area",'RAID Log'!$1:$1,0)),"")))</f>
        <v/>
      </c>
      <c r="F488" s="85" t="str">
        <f>IF($B488="","",IF(IFERROR(INDEX('RAID Log'!$1:$1048576,$B488,MATCH("Impact Area",'RAID Log'!$1:$1,0)),"")="","",IFERROR(INDEX('RAID Log'!$1:$1048576,$B488,MATCH("Impact Area",'RAID Log'!$1:$1,0)),"")))</f>
        <v/>
      </c>
      <c r="G488" s="85" t="str">
        <f>IF($B488="","",IF(IFERROR(INDEX('RAID Log'!$1:$1048576,$B488,MATCH("Impact Rating",'RAID Log'!$1:$1,0)),"")="","",IFERROR(INDEX('RAID Log'!$1:$1048576,$B488,MATCH("Impact Rating",'RAID Log'!$1:$1,0)),"")))</f>
        <v/>
      </c>
      <c r="H488" s="85" t="str">
        <f>IF($B488="","",IF(IFERROR(INDEX('RAID Log'!$1:$1048576,$B488,MATCH("Initial Probability",'RAID Log'!$1:$1,0)),"")="","",IFERROR(INDEX('RAID Log'!$1:$1048576,$B488,MATCH("Initial Probability",'RAID Log'!$1:$1,0)),"")))</f>
        <v/>
      </c>
      <c r="I488" s="86" t="str">
        <f t="shared" si="21"/>
        <v/>
      </c>
      <c r="J488" s="85" t="str">
        <f t="shared" si="22"/>
        <v/>
      </c>
      <c r="K488" s="86" t="str">
        <f t="shared" si="23"/>
        <v/>
      </c>
      <c r="L488" s="85" t="str">
        <f>IF($B488="","",IF(IFERROR(INDEX('RAID Log'!$1:$1048576,$B488,MATCH("Status",'RAID Log'!$1:$1,0)),"")="","",IFERROR(INDEX('RAID Log'!$1:$1048576,$B488,MATCH("Status",'RAID Log'!$1:$1,0)),"")))</f>
        <v/>
      </c>
      <c r="M488" s="85" t="str">
        <f>IF($B488="","",IF(IFERROR(INDEX('RAID Log'!$1:$1048576,$B488,MATCH("RAID Owner",'RAID Log'!$1:$1,0)),"")="","",IFERROR(INDEX('RAID Log'!$1:$1048576,$B488,MATCH("RAID Owner",'RAID Log'!$1:$1,0)),"")))</f>
        <v/>
      </c>
      <c r="N488" s="87" t="str">
        <f>IF($B488="","",IF(IFERROR(INDEX('RAID Log'!$1:$1048576,$B488,MATCH("Date Raised",'RAID Log'!$1:$1,0)),"")="","",IFERROR(INDEX('RAID Log'!$1:$1048576,$B488,MATCH("Date Raised",'RAID Log'!$1:$1,0)),"")))</f>
        <v/>
      </c>
      <c r="O488" s="87" t="str">
        <f>IF($B488="","",IF(IFERROR(INDEX('RAID Log'!$1:$1048576,$B488,MATCH("Closed Date",'RAID Log'!$1:$1,0)),"")="","",IFERROR(INDEX('RAID Log'!$1:$1048576,$B488,MATCH("Closed Date",'RAID Log'!$1:$1,0)),"")))</f>
        <v/>
      </c>
      <c r="P488" s="85" t="str">
        <f>IF($B488="","",IF(IFERROR(INDEX('RAID Log'!$1:$1048576,$B488,MATCH("Mitigation Strategy",'RAID Log'!$1:$1,0)),"")="","",IFERROR(INDEX('RAID Log'!$1:$1048576,$B488,MATCH("Mitigation Strategy",'RAID Log'!$1:$1,0)),"")))</f>
        <v/>
      </c>
      <c r="Q488" s="88" t="str">
        <f>IF($B488="","",IF(IFERROR(INDEX('RAID Log'!$1:$1048576,$B488,MATCH("RAID Response/Plan",'RAID Log'!$1:$1,0)),"")="","",IFERROR(INDEX('RAID Log'!$1:$1048576,$B488,MATCH("RAID Response/Plan",'RAID Log'!$1:$1,0)),"")))</f>
        <v/>
      </c>
    </row>
    <row r="489" spans="1:17" ht="14.25" customHeight="1">
      <c r="A489" s="82" t="str">
        <f>IF($B489="","",IF(IFERROR(INDEX('RAID Log'!$1:$1048576,$B489,MATCH("RAID ID",'RAID Log'!$1:$1,0)),"")="","",IFERROR(INDEX('RAID Log'!$1:$1048576,$B489,MATCH("RAID ID",'RAID Log'!$1:$1,0)),"")))</f>
        <v/>
      </c>
      <c r="B489" s="83" t="str">
        <f>IFERROR(MATCH(ROW()-1,'RAID Log'!$S:$S,0),"")</f>
        <v/>
      </c>
      <c r="C489" s="84" t="str">
        <f>IF($B489="","",IF(IFERROR(INDEX('RAID Log'!$1:$1048576,$B489,MATCH("Description",'RAID Log'!$1:$1,0)),"")="","",IFERROR(INDEX('RAID Log'!$1:$1048576,$B489,MATCH("Description",'RAID Log'!$1:$1,0)),"")))</f>
        <v/>
      </c>
      <c r="D489" s="84" t="str">
        <f>IF($B489="","",IF(IFERROR(INDEX('RAID Log'!$1:$1048576,$B489,MATCH("Impact/Effect of the RAID",'RAID Log'!$1:$1,0)),"")="","",IFERROR(INDEX('RAID Log'!$1:$1048576,$B489,MATCH("Impact/Effect of the RAID",'RAID Log'!$1:$1,0)),"")))</f>
        <v/>
      </c>
      <c r="E489" s="85" t="str">
        <f>IF($B489="","",IF(IFERROR(INDEX('RAID Log'!$1:$1048576,$B489,MATCH("Impact Area",'RAID Log'!$1:$1,0)),"")="","",IFERROR(INDEX('RAID Log'!$1:$1048576,$B489,MATCH("Impact Area",'RAID Log'!$1:$1,0)),"")))</f>
        <v/>
      </c>
      <c r="F489" s="85" t="str">
        <f>IF($B489="","",IF(IFERROR(INDEX('RAID Log'!$1:$1048576,$B489,MATCH("Impact Area",'RAID Log'!$1:$1,0)),"")="","",IFERROR(INDEX('RAID Log'!$1:$1048576,$B489,MATCH("Impact Area",'RAID Log'!$1:$1,0)),"")))</f>
        <v/>
      </c>
      <c r="G489" s="85" t="str">
        <f>IF($B489="","",IF(IFERROR(INDEX('RAID Log'!$1:$1048576,$B489,MATCH("Impact Rating",'RAID Log'!$1:$1,0)),"")="","",IFERROR(INDEX('RAID Log'!$1:$1048576,$B489,MATCH("Impact Rating",'RAID Log'!$1:$1,0)),"")))</f>
        <v/>
      </c>
      <c r="H489" s="85" t="str">
        <f>IF($B489="","",IF(IFERROR(INDEX('RAID Log'!$1:$1048576,$B489,MATCH("Initial Probability",'RAID Log'!$1:$1,0)),"")="","",IFERROR(INDEX('RAID Log'!$1:$1048576,$B489,MATCH("Initial Probability",'RAID Log'!$1:$1,0)),"")))</f>
        <v/>
      </c>
      <c r="I489" s="86" t="str">
        <f t="shared" si="21"/>
        <v/>
      </c>
      <c r="J489" s="85" t="str">
        <f t="shared" si="22"/>
        <v/>
      </c>
      <c r="K489" s="86" t="str">
        <f t="shared" si="23"/>
        <v/>
      </c>
      <c r="L489" s="85" t="str">
        <f>IF($B489="","",IF(IFERROR(INDEX('RAID Log'!$1:$1048576,$B489,MATCH("Status",'RAID Log'!$1:$1,0)),"")="","",IFERROR(INDEX('RAID Log'!$1:$1048576,$B489,MATCH("Status",'RAID Log'!$1:$1,0)),"")))</f>
        <v/>
      </c>
      <c r="M489" s="85" t="str">
        <f>IF($B489="","",IF(IFERROR(INDEX('RAID Log'!$1:$1048576,$B489,MATCH("RAID Owner",'RAID Log'!$1:$1,0)),"")="","",IFERROR(INDEX('RAID Log'!$1:$1048576,$B489,MATCH("RAID Owner",'RAID Log'!$1:$1,0)),"")))</f>
        <v/>
      </c>
      <c r="N489" s="87" t="str">
        <f>IF($B489="","",IF(IFERROR(INDEX('RAID Log'!$1:$1048576,$B489,MATCH("Date Raised",'RAID Log'!$1:$1,0)),"")="","",IFERROR(INDEX('RAID Log'!$1:$1048576,$B489,MATCH("Date Raised",'RAID Log'!$1:$1,0)),"")))</f>
        <v/>
      </c>
      <c r="O489" s="87" t="str">
        <f>IF($B489="","",IF(IFERROR(INDEX('RAID Log'!$1:$1048576,$B489,MATCH("Closed Date",'RAID Log'!$1:$1,0)),"")="","",IFERROR(INDEX('RAID Log'!$1:$1048576,$B489,MATCH("Closed Date",'RAID Log'!$1:$1,0)),"")))</f>
        <v/>
      </c>
      <c r="P489" s="85" t="str">
        <f>IF($B489="","",IF(IFERROR(INDEX('RAID Log'!$1:$1048576,$B489,MATCH("Mitigation Strategy",'RAID Log'!$1:$1,0)),"")="","",IFERROR(INDEX('RAID Log'!$1:$1048576,$B489,MATCH("Mitigation Strategy",'RAID Log'!$1:$1,0)),"")))</f>
        <v/>
      </c>
      <c r="Q489" s="88" t="str">
        <f>IF($B489="","",IF(IFERROR(INDEX('RAID Log'!$1:$1048576,$B489,MATCH("RAID Response/Plan",'RAID Log'!$1:$1,0)),"")="","",IFERROR(INDEX('RAID Log'!$1:$1048576,$B489,MATCH("RAID Response/Plan",'RAID Log'!$1:$1,0)),"")))</f>
        <v/>
      </c>
    </row>
    <row r="490" spans="1:17" ht="14.25" customHeight="1">
      <c r="A490" s="82" t="str">
        <f>IF($B490="","",IF(IFERROR(INDEX('RAID Log'!$1:$1048576,$B490,MATCH("RAID ID",'RAID Log'!$1:$1,0)),"")="","",IFERROR(INDEX('RAID Log'!$1:$1048576,$B490,MATCH("RAID ID",'RAID Log'!$1:$1,0)),"")))</f>
        <v/>
      </c>
      <c r="B490" s="83" t="str">
        <f>IFERROR(MATCH(ROW()-1,'RAID Log'!$S:$S,0),"")</f>
        <v/>
      </c>
      <c r="C490" s="84" t="str">
        <f>IF($B490="","",IF(IFERROR(INDEX('RAID Log'!$1:$1048576,$B490,MATCH("Description",'RAID Log'!$1:$1,0)),"")="","",IFERROR(INDEX('RAID Log'!$1:$1048576,$B490,MATCH("Description",'RAID Log'!$1:$1,0)),"")))</f>
        <v/>
      </c>
      <c r="D490" s="84" t="str">
        <f>IF($B490="","",IF(IFERROR(INDEX('RAID Log'!$1:$1048576,$B490,MATCH("Impact/Effect of the RAID",'RAID Log'!$1:$1,0)),"")="","",IFERROR(INDEX('RAID Log'!$1:$1048576,$B490,MATCH("Impact/Effect of the RAID",'RAID Log'!$1:$1,0)),"")))</f>
        <v/>
      </c>
      <c r="E490" s="85" t="str">
        <f>IF($B490="","",IF(IFERROR(INDEX('RAID Log'!$1:$1048576,$B490,MATCH("Impact Area",'RAID Log'!$1:$1,0)),"")="","",IFERROR(INDEX('RAID Log'!$1:$1048576,$B490,MATCH("Impact Area",'RAID Log'!$1:$1,0)),"")))</f>
        <v/>
      </c>
      <c r="F490" s="85" t="str">
        <f>IF($B490="","",IF(IFERROR(INDEX('RAID Log'!$1:$1048576,$B490,MATCH("Impact Area",'RAID Log'!$1:$1,0)),"")="","",IFERROR(INDEX('RAID Log'!$1:$1048576,$B490,MATCH("Impact Area",'RAID Log'!$1:$1,0)),"")))</f>
        <v/>
      </c>
      <c r="G490" s="85" t="str">
        <f>IF($B490="","",IF(IFERROR(INDEX('RAID Log'!$1:$1048576,$B490,MATCH("Impact Rating",'RAID Log'!$1:$1,0)),"")="","",IFERROR(INDEX('RAID Log'!$1:$1048576,$B490,MATCH("Impact Rating",'RAID Log'!$1:$1,0)),"")))</f>
        <v/>
      </c>
      <c r="H490" s="85" t="str">
        <f>IF($B490="","",IF(IFERROR(INDEX('RAID Log'!$1:$1048576,$B490,MATCH("Initial Probability",'RAID Log'!$1:$1,0)),"")="","",IFERROR(INDEX('RAID Log'!$1:$1048576,$B490,MATCH("Initial Probability",'RAID Log'!$1:$1,0)),"")))</f>
        <v/>
      </c>
      <c r="I490" s="86" t="str">
        <f t="shared" si="21"/>
        <v/>
      </c>
      <c r="J490" s="85" t="str">
        <f t="shared" si="22"/>
        <v/>
      </c>
      <c r="K490" s="86" t="str">
        <f t="shared" si="23"/>
        <v/>
      </c>
      <c r="L490" s="85" t="str">
        <f>IF($B490="","",IF(IFERROR(INDEX('RAID Log'!$1:$1048576,$B490,MATCH("Status",'RAID Log'!$1:$1,0)),"")="","",IFERROR(INDEX('RAID Log'!$1:$1048576,$B490,MATCH("Status",'RAID Log'!$1:$1,0)),"")))</f>
        <v/>
      </c>
      <c r="M490" s="85" t="str">
        <f>IF($B490="","",IF(IFERROR(INDEX('RAID Log'!$1:$1048576,$B490,MATCH("RAID Owner",'RAID Log'!$1:$1,0)),"")="","",IFERROR(INDEX('RAID Log'!$1:$1048576,$B490,MATCH("RAID Owner",'RAID Log'!$1:$1,0)),"")))</f>
        <v/>
      </c>
      <c r="N490" s="87" t="str">
        <f>IF($B490="","",IF(IFERROR(INDEX('RAID Log'!$1:$1048576,$B490,MATCH("Date Raised",'RAID Log'!$1:$1,0)),"")="","",IFERROR(INDEX('RAID Log'!$1:$1048576,$B490,MATCH("Date Raised",'RAID Log'!$1:$1,0)),"")))</f>
        <v/>
      </c>
      <c r="O490" s="87" t="str">
        <f>IF($B490="","",IF(IFERROR(INDEX('RAID Log'!$1:$1048576,$B490,MATCH("Closed Date",'RAID Log'!$1:$1,0)),"")="","",IFERROR(INDEX('RAID Log'!$1:$1048576,$B490,MATCH("Closed Date",'RAID Log'!$1:$1,0)),"")))</f>
        <v/>
      </c>
      <c r="P490" s="85" t="str">
        <f>IF($B490="","",IF(IFERROR(INDEX('RAID Log'!$1:$1048576,$B490,MATCH("Mitigation Strategy",'RAID Log'!$1:$1,0)),"")="","",IFERROR(INDEX('RAID Log'!$1:$1048576,$B490,MATCH("Mitigation Strategy",'RAID Log'!$1:$1,0)),"")))</f>
        <v/>
      </c>
      <c r="Q490" s="88" t="str">
        <f>IF($B490="","",IF(IFERROR(INDEX('RAID Log'!$1:$1048576,$B490,MATCH("RAID Response/Plan",'RAID Log'!$1:$1,0)),"")="","",IFERROR(INDEX('RAID Log'!$1:$1048576,$B490,MATCH("RAID Response/Plan",'RAID Log'!$1:$1,0)),"")))</f>
        <v/>
      </c>
    </row>
    <row r="491" spans="1:17" ht="14.25" customHeight="1">
      <c r="A491" s="82" t="str">
        <f>IF($B491="","",IF(IFERROR(INDEX('RAID Log'!$1:$1048576,$B491,MATCH("RAID ID",'RAID Log'!$1:$1,0)),"")="","",IFERROR(INDEX('RAID Log'!$1:$1048576,$B491,MATCH("RAID ID",'RAID Log'!$1:$1,0)),"")))</f>
        <v/>
      </c>
      <c r="B491" s="83" t="str">
        <f>IFERROR(MATCH(ROW()-1,'RAID Log'!$S:$S,0),"")</f>
        <v/>
      </c>
      <c r="C491" s="84" t="str">
        <f>IF($B491="","",IF(IFERROR(INDEX('RAID Log'!$1:$1048576,$B491,MATCH("Description",'RAID Log'!$1:$1,0)),"")="","",IFERROR(INDEX('RAID Log'!$1:$1048576,$B491,MATCH("Description",'RAID Log'!$1:$1,0)),"")))</f>
        <v/>
      </c>
      <c r="D491" s="84" t="str">
        <f>IF($B491="","",IF(IFERROR(INDEX('RAID Log'!$1:$1048576,$B491,MATCH("Impact/Effect of the RAID",'RAID Log'!$1:$1,0)),"")="","",IFERROR(INDEX('RAID Log'!$1:$1048576,$B491,MATCH("Impact/Effect of the RAID",'RAID Log'!$1:$1,0)),"")))</f>
        <v/>
      </c>
      <c r="E491" s="85" t="str">
        <f>IF($B491="","",IF(IFERROR(INDEX('RAID Log'!$1:$1048576,$B491,MATCH("Impact Area",'RAID Log'!$1:$1,0)),"")="","",IFERROR(INDEX('RAID Log'!$1:$1048576,$B491,MATCH("Impact Area",'RAID Log'!$1:$1,0)),"")))</f>
        <v/>
      </c>
      <c r="F491" s="85" t="str">
        <f>IF($B491="","",IF(IFERROR(INDEX('RAID Log'!$1:$1048576,$B491,MATCH("Impact Area",'RAID Log'!$1:$1,0)),"")="","",IFERROR(INDEX('RAID Log'!$1:$1048576,$B491,MATCH("Impact Area",'RAID Log'!$1:$1,0)),"")))</f>
        <v/>
      </c>
      <c r="G491" s="85" t="str">
        <f>IF($B491="","",IF(IFERROR(INDEX('RAID Log'!$1:$1048576,$B491,MATCH("Impact Rating",'RAID Log'!$1:$1,0)),"")="","",IFERROR(INDEX('RAID Log'!$1:$1048576,$B491,MATCH("Impact Rating",'RAID Log'!$1:$1,0)),"")))</f>
        <v/>
      </c>
      <c r="H491" s="85" t="str">
        <f>IF($B491="","",IF(IFERROR(INDEX('RAID Log'!$1:$1048576,$B491,MATCH("Initial Probability",'RAID Log'!$1:$1,0)),"")="","",IFERROR(INDEX('RAID Log'!$1:$1048576,$B491,MATCH("Initial Probability",'RAID Log'!$1:$1,0)),"")))</f>
        <v/>
      </c>
      <c r="I491" s="86" t="str">
        <f t="shared" si="21"/>
        <v/>
      </c>
      <c r="J491" s="85" t="str">
        <f t="shared" si="22"/>
        <v/>
      </c>
      <c r="K491" s="86" t="str">
        <f t="shared" si="23"/>
        <v/>
      </c>
      <c r="L491" s="85" t="str">
        <f>IF($B491="","",IF(IFERROR(INDEX('RAID Log'!$1:$1048576,$B491,MATCH("Status",'RAID Log'!$1:$1,0)),"")="","",IFERROR(INDEX('RAID Log'!$1:$1048576,$B491,MATCH("Status",'RAID Log'!$1:$1,0)),"")))</f>
        <v/>
      </c>
      <c r="M491" s="85" t="str">
        <f>IF($B491="","",IF(IFERROR(INDEX('RAID Log'!$1:$1048576,$B491,MATCH("RAID Owner",'RAID Log'!$1:$1,0)),"")="","",IFERROR(INDEX('RAID Log'!$1:$1048576,$B491,MATCH("RAID Owner",'RAID Log'!$1:$1,0)),"")))</f>
        <v/>
      </c>
      <c r="N491" s="87" t="str">
        <f>IF($B491="","",IF(IFERROR(INDEX('RAID Log'!$1:$1048576,$B491,MATCH("Date Raised",'RAID Log'!$1:$1,0)),"")="","",IFERROR(INDEX('RAID Log'!$1:$1048576,$B491,MATCH("Date Raised",'RAID Log'!$1:$1,0)),"")))</f>
        <v/>
      </c>
      <c r="O491" s="87" t="str">
        <f>IF($B491="","",IF(IFERROR(INDEX('RAID Log'!$1:$1048576,$B491,MATCH("Closed Date",'RAID Log'!$1:$1,0)),"")="","",IFERROR(INDEX('RAID Log'!$1:$1048576,$B491,MATCH("Closed Date",'RAID Log'!$1:$1,0)),"")))</f>
        <v/>
      </c>
      <c r="P491" s="85" t="str">
        <f>IF($B491="","",IF(IFERROR(INDEX('RAID Log'!$1:$1048576,$B491,MATCH("Mitigation Strategy",'RAID Log'!$1:$1,0)),"")="","",IFERROR(INDEX('RAID Log'!$1:$1048576,$B491,MATCH("Mitigation Strategy",'RAID Log'!$1:$1,0)),"")))</f>
        <v/>
      </c>
      <c r="Q491" s="88" t="str">
        <f>IF($B491="","",IF(IFERROR(INDEX('RAID Log'!$1:$1048576,$B491,MATCH("RAID Response/Plan",'RAID Log'!$1:$1,0)),"")="","",IFERROR(INDEX('RAID Log'!$1:$1048576,$B491,MATCH("RAID Response/Plan",'RAID Log'!$1:$1,0)),"")))</f>
        <v/>
      </c>
    </row>
    <row r="492" spans="1:17" ht="14.25" customHeight="1">
      <c r="A492" s="82" t="str">
        <f>IF($B492="","",IF(IFERROR(INDEX('RAID Log'!$1:$1048576,$B492,MATCH("RAID ID",'RAID Log'!$1:$1,0)),"")="","",IFERROR(INDEX('RAID Log'!$1:$1048576,$B492,MATCH("RAID ID",'RAID Log'!$1:$1,0)),"")))</f>
        <v/>
      </c>
      <c r="B492" s="83" t="str">
        <f>IFERROR(MATCH(ROW()-1,'RAID Log'!$S:$S,0),"")</f>
        <v/>
      </c>
      <c r="C492" s="84" t="str">
        <f>IF($B492="","",IF(IFERROR(INDEX('RAID Log'!$1:$1048576,$B492,MATCH("Description",'RAID Log'!$1:$1,0)),"")="","",IFERROR(INDEX('RAID Log'!$1:$1048576,$B492,MATCH("Description",'RAID Log'!$1:$1,0)),"")))</f>
        <v/>
      </c>
      <c r="D492" s="84" t="str">
        <f>IF($B492="","",IF(IFERROR(INDEX('RAID Log'!$1:$1048576,$B492,MATCH("Impact/Effect of the RAID",'RAID Log'!$1:$1,0)),"")="","",IFERROR(INDEX('RAID Log'!$1:$1048576,$B492,MATCH("Impact/Effect of the RAID",'RAID Log'!$1:$1,0)),"")))</f>
        <v/>
      </c>
      <c r="E492" s="85" t="str">
        <f>IF($B492="","",IF(IFERROR(INDEX('RAID Log'!$1:$1048576,$B492,MATCH("Impact Area",'RAID Log'!$1:$1,0)),"")="","",IFERROR(INDEX('RAID Log'!$1:$1048576,$B492,MATCH("Impact Area",'RAID Log'!$1:$1,0)),"")))</f>
        <v/>
      </c>
      <c r="F492" s="85" t="str">
        <f>IF($B492="","",IF(IFERROR(INDEX('RAID Log'!$1:$1048576,$B492,MATCH("Impact Area",'RAID Log'!$1:$1,0)),"")="","",IFERROR(INDEX('RAID Log'!$1:$1048576,$B492,MATCH("Impact Area",'RAID Log'!$1:$1,0)),"")))</f>
        <v/>
      </c>
      <c r="G492" s="85" t="str">
        <f>IF($B492="","",IF(IFERROR(INDEX('RAID Log'!$1:$1048576,$B492,MATCH("Impact Rating",'RAID Log'!$1:$1,0)),"")="","",IFERROR(INDEX('RAID Log'!$1:$1048576,$B492,MATCH("Impact Rating",'RAID Log'!$1:$1,0)),"")))</f>
        <v/>
      </c>
      <c r="H492" s="85" t="str">
        <f>IF($B492="","",IF(IFERROR(INDEX('RAID Log'!$1:$1048576,$B492,MATCH("Initial Probability",'RAID Log'!$1:$1,0)),"")="","",IFERROR(INDEX('RAID Log'!$1:$1048576,$B492,MATCH("Initial Probability",'RAID Log'!$1:$1,0)),"")))</f>
        <v/>
      </c>
      <c r="I492" s="86" t="str">
        <f t="shared" si="21"/>
        <v/>
      </c>
      <c r="J492" s="85" t="str">
        <f t="shared" si="22"/>
        <v/>
      </c>
      <c r="K492" s="86" t="str">
        <f t="shared" si="23"/>
        <v/>
      </c>
      <c r="L492" s="85" t="str">
        <f>IF($B492="","",IF(IFERROR(INDEX('RAID Log'!$1:$1048576,$B492,MATCH("Status",'RAID Log'!$1:$1,0)),"")="","",IFERROR(INDEX('RAID Log'!$1:$1048576,$B492,MATCH("Status",'RAID Log'!$1:$1,0)),"")))</f>
        <v/>
      </c>
      <c r="M492" s="85" t="str">
        <f>IF($B492="","",IF(IFERROR(INDEX('RAID Log'!$1:$1048576,$B492,MATCH("RAID Owner",'RAID Log'!$1:$1,0)),"")="","",IFERROR(INDEX('RAID Log'!$1:$1048576,$B492,MATCH("RAID Owner",'RAID Log'!$1:$1,0)),"")))</f>
        <v/>
      </c>
      <c r="N492" s="87" t="str">
        <f>IF($B492="","",IF(IFERROR(INDEX('RAID Log'!$1:$1048576,$B492,MATCH("Date Raised",'RAID Log'!$1:$1,0)),"")="","",IFERROR(INDEX('RAID Log'!$1:$1048576,$B492,MATCH("Date Raised",'RAID Log'!$1:$1,0)),"")))</f>
        <v/>
      </c>
      <c r="O492" s="87" t="str">
        <f>IF($B492="","",IF(IFERROR(INDEX('RAID Log'!$1:$1048576,$B492,MATCH("Closed Date",'RAID Log'!$1:$1,0)),"")="","",IFERROR(INDEX('RAID Log'!$1:$1048576,$B492,MATCH("Closed Date",'RAID Log'!$1:$1,0)),"")))</f>
        <v/>
      </c>
      <c r="P492" s="85" t="str">
        <f>IF($B492="","",IF(IFERROR(INDEX('RAID Log'!$1:$1048576,$B492,MATCH("Mitigation Strategy",'RAID Log'!$1:$1,0)),"")="","",IFERROR(INDEX('RAID Log'!$1:$1048576,$B492,MATCH("Mitigation Strategy",'RAID Log'!$1:$1,0)),"")))</f>
        <v/>
      </c>
      <c r="Q492" s="88" t="str">
        <f>IF($B492="","",IF(IFERROR(INDEX('RAID Log'!$1:$1048576,$B492,MATCH("RAID Response/Plan",'RAID Log'!$1:$1,0)),"")="","",IFERROR(INDEX('RAID Log'!$1:$1048576,$B492,MATCH("RAID Response/Plan",'RAID Log'!$1:$1,0)),"")))</f>
        <v/>
      </c>
    </row>
    <row r="493" spans="1:17" ht="14.25" customHeight="1">
      <c r="A493" s="82" t="str">
        <f>IF($B493="","",IF(IFERROR(INDEX('RAID Log'!$1:$1048576,$B493,MATCH("RAID ID",'RAID Log'!$1:$1,0)),"")="","",IFERROR(INDEX('RAID Log'!$1:$1048576,$B493,MATCH("RAID ID",'RAID Log'!$1:$1,0)),"")))</f>
        <v/>
      </c>
      <c r="B493" s="83" t="str">
        <f>IFERROR(MATCH(ROW()-1,'RAID Log'!$S:$S,0),"")</f>
        <v/>
      </c>
      <c r="C493" s="84" t="str">
        <f>IF($B493="","",IF(IFERROR(INDEX('RAID Log'!$1:$1048576,$B493,MATCH("Description",'RAID Log'!$1:$1,0)),"")="","",IFERROR(INDEX('RAID Log'!$1:$1048576,$B493,MATCH("Description",'RAID Log'!$1:$1,0)),"")))</f>
        <v/>
      </c>
      <c r="D493" s="84" t="str">
        <f>IF($B493="","",IF(IFERROR(INDEX('RAID Log'!$1:$1048576,$B493,MATCH("Impact/Effect of the RAID",'RAID Log'!$1:$1,0)),"")="","",IFERROR(INDEX('RAID Log'!$1:$1048576,$B493,MATCH("Impact/Effect of the RAID",'RAID Log'!$1:$1,0)),"")))</f>
        <v/>
      </c>
      <c r="E493" s="85" t="str">
        <f>IF($B493="","",IF(IFERROR(INDEX('RAID Log'!$1:$1048576,$B493,MATCH("Impact Area",'RAID Log'!$1:$1,0)),"")="","",IFERROR(INDEX('RAID Log'!$1:$1048576,$B493,MATCH("Impact Area",'RAID Log'!$1:$1,0)),"")))</f>
        <v/>
      </c>
      <c r="F493" s="85" t="str">
        <f>IF($B493="","",IF(IFERROR(INDEX('RAID Log'!$1:$1048576,$B493,MATCH("Impact Area",'RAID Log'!$1:$1,0)),"")="","",IFERROR(INDEX('RAID Log'!$1:$1048576,$B493,MATCH("Impact Area",'RAID Log'!$1:$1,0)),"")))</f>
        <v/>
      </c>
      <c r="G493" s="85" t="str">
        <f>IF($B493="","",IF(IFERROR(INDEX('RAID Log'!$1:$1048576,$B493,MATCH("Impact Rating",'RAID Log'!$1:$1,0)),"")="","",IFERROR(INDEX('RAID Log'!$1:$1048576,$B493,MATCH("Impact Rating",'RAID Log'!$1:$1,0)),"")))</f>
        <v/>
      </c>
      <c r="H493" s="85" t="str">
        <f>IF($B493="","",IF(IFERROR(INDEX('RAID Log'!$1:$1048576,$B493,MATCH("Initial Probability",'RAID Log'!$1:$1,0)),"")="","",IFERROR(INDEX('RAID Log'!$1:$1048576,$B493,MATCH("Initial Probability",'RAID Log'!$1:$1,0)),"")))</f>
        <v/>
      </c>
      <c r="I493" s="86" t="str">
        <f t="shared" si="21"/>
        <v/>
      </c>
      <c r="J493" s="85" t="str">
        <f t="shared" si="22"/>
        <v/>
      </c>
      <c r="K493" s="86" t="str">
        <f t="shared" si="23"/>
        <v/>
      </c>
      <c r="L493" s="85" t="str">
        <f>IF($B493="","",IF(IFERROR(INDEX('RAID Log'!$1:$1048576,$B493,MATCH("Status",'RAID Log'!$1:$1,0)),"")="","",IFERROR(INDEX('RAID Log'!$1:$1048576,$B493,MATCH("Status",'RAID Log'!$1:$1,0)),"")))</f>
        <v/>
      </c>
      <c r="M493" s="85" t="str">
        <f>IF($B493="","",IF(IFERROR(INDEX('RAID Log'!$1:$1048576,$B493,MATCH("RAID Owner",'RAID Log'!$1:$1,0)),"")="","",IFERROR(INDEX('RAID Log'!$1:$1048576,$B493,MATCH("RAID Owner",'RAID Log'!$1:$1,0)),"")))</f>
        <v/>
      </c>
      <c r="N493" s="87" t="str">
        <f>IF($B493="","",IF(IFERROR(INDEX('RAID Log'!$1:$1048576,$B493,MATCH("Date Raised",'RAID Log'!$1:$1,0)),"")="","",IFERROR(INDEX('RAID Log'!$1:$1048576,$B493,MATCH("Date Raised",'RAID Log'!$1:$1,0)),"")))</f>
        <v/>
      </c>
      <c r="O493" s="87" t="str">
        <f>IF($B493="","",IF(IFERROR(INDEX('RAID Log'!$1:$1048576,$B493,MATCH("Closed Date",'RAID Log'!$1:$1,0)),"")="","",IFERROR(INDEX('RAID Log'!$1:$1048576,$B493,MATCH("Closed Date",'RAID Log'!$1:$1,0)),"")))</f>
        <v/>
      </c>
      <c r="P493" s="85" t="str">
        <f>IF($B493="","",IF(IFERROR(INDEX('RAID Log'!$1:$1048576,$B493,MATCH("Mitigation Strategy",'RAID Log'!$1:$1,0)),"")="","",IFERROR(INDEX('RAID Log'!$1:$1048576,$B493,MATCH("Mitigation Strategy",'RAID Log'!$1:$1,0)),"")))</f>
        <v/>
      </c>
      <c r="Q493" s="88" t="str">
        <f>IF($B493="","",IF(IFERROR(INDEX('RAID Log'!$1:$1048576,$B493,MATCH("RAID Response/Plan",'RAID Log'!$1:$1,0)),"")="","",IFERROR(INDEX('RAID Log'!$1:$1048576,$B493,MATCH("RAID Response/Plan",'RAID Log'!$1:$1,0)),"")))</f>
        <v/>
      </c>
    </row>
    <row r="494" spans="1:17" ht="14.25" customHeight="1">
      <c r="A494" s="82" t="str">
        <f>IF($B494="","",IF(IFERROR(INDEX('RAID Log'!$1:$1048576,$B494,MATCH("RAID ID",'RAID Log'!$1:$1,0)),"")="","",IFERROR(INDEX('RAID Log'!$1:$1048576,$B494,MATCH("RAID ID",'RAID Log'!$1:$1,0)),"")))</f>
        <v/>
      </c>
      <c r="B494" s="83" t="str">
        <f>IFERROR(MATCH(ROW()-1,'RAID Log'!$S:$S,0),"")</f>
        <v/>
      </c>
      <c r="C494" s="84" t="str">
        <f>IF($B494="","",IF(IFERROR(INDEX('RAID Log'!$1:$1048576,$B494,MATCH("Description",'RAID Log'!$1:$1,0)),"")="","",IFERROR(INDEX('RAID Log'!$1:$1048576,$B494,MATCH("Description",'RAID Log'!$1:$1,0)),"")))</f>
        <v/>
      </c>
      <c r="D494" s="84" t="str">
        <f>IF($B494="","",IF(IFERROR(INDEX('RAID Log'!$1:$1048576,$B494,MATCH("Impact/Effect of the RAID",'RAID Log'!$1:$1,0)),"")="","",IFERROR(INDEX('RAID Log'!$1:$1048576,$B494,MATCH("Impact/Effect of the RAID",'RAID Log'!$1:$1,0)),"")))</f>
        <v/>
      </c>
      <c r="E494" s="85" t="str">
        <f>IF($B494="","",IF(IFERROR(INDEX('RAID Log'!$1:$1048576,$B494,MATCH("Impact Area",'RAID Log'!$1:$1,0)),"")="","",IFERROR(INDEX('RAID Log'!$1:$1048576,$B494,MATCH("Impact Area",'RAID Log'!$1:$1,0)),"")))</f>
        <v/>
      </c>
      <c r="F494" s="85" t="str">
        <f>IF($B494="","",IF(IFERROR(INDEX('RAID Log'!$1:$1048576,$B494,MATCH("Impact Area",'RAID Log'!$1:$1,0)),"")="","",IFERROR(INDEX('RAID Log'!$1:$1048576,$B494,MATCH("Impact Area",'RAID Log'!$1:$1,0)),"")))</f>
        <v/>
      </c>
      <c r="G494" s="85" t="str">
        <f>IF($B494="","",IF(IFERROR(INDEX('RAID Log'!$1:$1048576,$B494,MATCH("Impact Rating",'RAID Log'!$1:$1,0)),"")="","",IFERROR(INDEX('RAID Log'!$1:$1048576,$B494,MATCH("Impact Rating",'RAID Log'!$1:$1,0)),"")))</f>
        <v/>
      </c>
      <c r="H494" s="85" t="str">
        <f>IF($B494="","",IF(IFERROR(INDEX('RAID Log'!$1:$1048576,$B494,MATCH("Initial Probability",'RAID Log'!$1:$1,0)),"")="","",IFERROR(INDEX('RAID Log'!$1:$1048576,$B494,MATCH("Initial Probability",'RAID Log'!$1:$1,0)),"")))</f>
        <v/>
      </c>
      <c r="I494" s="86" t="str">
        <f t="shared" si="21"/>
        <v/>
      </c>
      <c r="J494" s="85" t="str">
        <f t="shared" si="22"/>
        <v/>
      </c>
      <c r="K494" s="86" t="str">
        <f t="shared" si="23"/>
        <v/>
      </c>
      <c r="L494" s="85" t="str">
        <f>IF($B494="","",IF(IFERROR(INDEX('RAID Log'!$1:$1048576,$B494,MATCH("Status",'RAID Log'!$1:$1,0)),"")="","",IFERROR(INDEX('RAID Log'!$1:$1048576,$B494,MATCH("Status",'RAID Log'!$1:$1,0)),"")))</f>
        <v/>
      </c>
      <c r="M494" s="85" t="str">
        <f>IF($B494="","",IF(IFERROR(INDEX('RAID Log'!$1:$1048576,$B494,MATCH("RAID Owner",'RAID Log'!$1:$1,0)),"")="","",IFERROR(INDEX('RAID Log'!$1:$1048576,$B494,MATCH("RAID Owner",'RAID Log'!$1:$1,0)),"")))</f>
        <v/>
      </c>
      <c r="N494" s="87" t="str">
        <f>IF($B494="","",IF(IFERROR(INDEX('RAID Log'!$1:$1048576,$B494,MATCH("Date Raised",'RAID Log'!$1:$1,0)),"")="","",IFERROR(INDEX('RAID Log'!$1:$1048576,$B494,MATCH("Date Raised",'RAID Log'!$1:$1,0)),"")))</f>
        <v/>
      </c>
      <c r="O494" s="87" t="str">
        <f>IF($B494="","",IF(IFERROR(INDEX('RAID Log'!$1:$1048576,$B494,MATCH("Closed Date",'RAID Log'!$1:$1,0)),"")="","",IFERROR(INDEX('RAID Log'!$1:$1048576,$B494,MATCH("Closed Date",'RAID Log'!$1:$1,0)),"")))</f>
        <v/>
      </c>
      <c r="P494" s="85" t="str">
        <f>IF($B494="","",IF(IFERROR(INDEX('RAID Log'!$1:$1048576,$B494,MATCH("Mitigation Strategy",'RAID Log'!$1:$1,0)),"")="","",IFERROR(INDEX('RAID Log'!$1:$1048576,$B494,MATCH("Mitigation Strategy",'RAID Log'!$1:$1,0)),"")))</f>
        <v/>
      </c>
      <c r="Q494" s="88" t="str">
        <f>IF($B494="","",IF(IFERROR(INDEX('RAID Log'!$1:$1048576,$B494,MATCH("RAID Response/Plan",'RAID Log'!$1:$1,0)),"")="","",IFERROR(INDEX('RAID Log'!$1:$1048576,$B494,MATCH("RAID Response/Plan",'RAID Log'!$1:$1,0)),"")))</f>
        <v/>
      </c>
    </row>
    <row r="495" spans="1:17" ht="14.25" customHeight="1">
      <c r="A495" s="82" t="str">
        <f>IF($B495="","",IF(IFERROR(INDEX('RAID Log'!$1:$1048576,$B495,MATCH("RAID ID",'RAID Log'!$1:$1,0)),"")="","",IFERROR(INDEX('RAID Log'!$1:$1048576,$B495,MATCH("RAID ID",'RAID Log'!$1:$1,0)),"")))</f>
        <v/>
      </c>
      <c r="B495" s="83" t="str">
        <f>IFERROR(MATCH(ROW()-1,'RAID Log'!$S:$S,0),"")</f>
        <v/>
      </c>
      <c r="C495" s="84" t="str">
        <f>IF($B495="","",IF(IFERROR(INDEX('RAID Log'!$1:$1048576,$B495,MATCH("Description",'RAID Log'!$1:$1,0)),"")="","",IFERROR(INDEX('RAID Log'!$1:$1048576,$B495,MATCH("Description",'RAID Log'!$1:$1,0)),"")))</f>
        <v/>
      </c>
      <c r="D495" s="84" t="str">
        <f>IF($B495="","",IF(IFERROR(INDEX('RAID Log'!$1:$1048576,$B495,MATCH("Impact/Effect of the RAID",'RAID Log'!$1:$1,0)),"")="","",IFERROR(INDEX('RAID Log'!$1:$1048576,$B495,MATCH("Impact/Effect of the RAID",'RAID Log'!$1:$1,0)),"")))</f>
        <v/>
      </c>
      <c r="E495" s="85" t="str">
        <f>IF($B495="","",IF(IFERROR(INDEX('RAID Log'!$1:$1048576,$B495,MATCH("Impact Area",'RAID Log'!$1:$1,0)),"")="","",IFERROR(INDEX('RAID Log'!$1:$1048576,$B495,MATCH("Impact Area",'RAID Log'!$1:$1,0)),"")))</f>
        <v/>
      </c>
      <c r="F495" s="85" t="str">
        <f>IF($B495="","",IF(IFERROR(INDEX('RAID Log'!$1:$1048576,$B495,MATCH("Impact Area",'RAID Log'!$1:$1,0)),"")="","",IFERROR(INDEX('RAID Log'!$1:$1048576,$B495,MATCH("Impact Area",'RAID Log'!$1:$1,0)),"")))</f>
        <v/>
      </c>
      <c r="G495" s="85" t="str">
        <f>IF($B495="","",IF(IFERROR(INDEX('RAID Log'!$1:$1048576,$B495,MATCH("Impact Rating",'RAID Log'!$1:$1,0)),"")="","",IFERROR(INDEX('RAID Log'!$1:$1048576,$B495,MATCH("Impact Rating",'RAID Log'!$1:$1,0)),"")))</f>
        <v/>
      </c>
      <c r="H495" s="85" t="str">
        <f>IF($B495="","",IF(IFERROR(INDEX('RAID Log'!$1:$1048576,$B495,MATCH("Initial Probability",'RAID Log'!$1:$1,0)),"")="","",IFERROR(INDEX('RAID Log'!$1:$1048576,$B495,MATCH("Initial Probability",'RAID Log'!$1:$1,0)),"")))</f>
        <v/>
      </c>
      <c r="I495" s="86" t="str">
        <f t="shared" si="21"/>
        <v/>
      </c>
      <c r="J495" s="85" t="str">
        <f t="shared" si="22"/>
        <v/>
      </c>
      <c r="K495" s="86" t="str">
        <f t="shared" si="23"/>
        <v/>
      </c>
      <c r="L495" s="85" t="str">
        <f>IF($B495="","",IF(IFERROR(INDEX('RAID Log'!$1:$1048576,$B495,MATCH("Status",'RAID Log'!$1:$1,0)),"")="","",IFERROR(INDEX('RAID Log'!$1:$1048576,$B495,MATCH("Status",'RAID Log'!$1:$1,0)),"")))</f>
        <v/>
      </c>
      <c r="M495" s="85" t="str">
        <f>IF($B495="","",IF(IFERROR(INDEX('RAID Log'!$1:$1048576,$B495,MATCH("RAID Owner",'RAID Log'!$1:$1,0)),"")="","",IFERROR(INDEX('RAID Log'!$1:$1048576,$B495,MATCH("RAID Owner",'RAID Log'!$1:$1,0)),"")))</f>
        <v/>
      </c>
      <c r="N495" s="87" t="str">
        <f>IF($B495="","",IF(IFERROR(INDEX('RAID Log'!$1:$1048576,$B495,MATCH("Date Raised",'RAID Log'!$1:$1,0)),"")="","",IFERROR(INDEX('RAID Log'!$1:$1048576,$B495,MATCH("Date Raised",'RAID Log'!$1:$1,0)),"")))</f>
        <v/>
      </c>
      <c r="O495" s="87" t="str">
        <f>IF($B495="","",IF(IFERROR(INDEX('RAID Log'!$1:$1048576,$B495,MATCH("Closed Date",'RAID Log'!$1:$1,0)),"")="","",IFERROR(INDEX('RAID Log'!$1:$1048576,$B495,MATCH("Closed Date",'RAID Log'!$1:$1,0)),"")))</f>
        <v/>
      </c>
      <c r="P495" s="85" t="str">
        <f>IF($B495="","",IF(IFERROR(INDEX('RAID Log'!$1:$1048576,$B495,MATCH("Mitigation Strategy",'RAID Log'!$1:$1,0)),"")="","",IFERROR(INDEX('RAID Log'!$1:$1048576,$B495,MATCH("Mitigation Strategy",'RAID Log'!$1:$1,0)),"")))</f>
        <v/>
      </c>
      <c r="Q495" s="88" t="str">
        <f>IF($B495="","",IF(IFERROR(INDEX('RAID Log'!$1:$1048576,$B495,MATCH("RAID Response/Plan",'RAID Log'!$1:$1,0)),"")="","",IFERROR(INDEX('RAID Log'!$1:$1048576,$B495,MATCH("RAID Response/Plan",'RAID Log'!$1:$1,0)),"")))</f>
        <v/>
      </c>
    </row>
    <row r="496" spans="1:17" ht="14.25" customHeight="1">
      <c r="A496" s="82" t="str">
        <f>IF($B496="","",IF(IFERROR(INDEX('RAID Log'!$1:$1048576,$B496,MATCH("RAID ID",'RAID Log'!$1:$1,0)),"")="","",IFERROR(INDEX('RAID Log'!$1:$1048576,$B496,MATCH("RAID ID",'RAID Log'!$1:$1,0)),"")))</f>
        <v/>
      </c>
      <c r="B496" s="83" t="str">
        <f>IFERROR(MATCH(ROW()-1,'RAID Log'!$S:$S,0),"")</f>
        <v/>
      </c>
      <c r="C496" s="84" t="str">
        <f>IF($B496="","",IF(IFERROR(INDEX('RAID Log'!$1:$1048576,$B496,MATCH("Description",'RAID Log'!$1:$1,0)),"")="","",IFERROR(INDEX('RAID Log'!$1:$1048576,$B496,MATCH("Description",'RAID Log'!$1:$1,0)),"")))</f>
        <v/>
      </c>
      <c r="D496" s="84" t="str">
        <f>IF($B496="","",IF(IFERROR(INDEX('RAID Log'!$1:$1048576,$B496,MATCH("Impact/Effect of the RAID",'RAID Log'!$1:$1,0)),"")="","",IFERROR(INDEX('RAID Log'!$1:$1048576,$B496,MATCH("Impact/Effect of the RAID",'RAID Log'!$1:$1,0)),"")))</f>
        <v/>
      </c>
      <c r="E496" s="85" t="str">
        <f>IF($B496="","",IF(IFERROR(INDEX('RAID Log'!$1:$1048576,$B496,MATCH("Impact Area",'RAID Log'!$1:$1,0)),"")="","",IFERROR(INDEX('RAID Log'!$1:$1048576,$B496,MATCH("Impact Area",'RAID Log'!$1:$1,0)),"")))</f>
        <v/>
      </c>
      <c r="F496" s="85" t="str">
        <f>IF($B496="","",IF(IFERROR(INDEX('RAID Log'!$1:$1048576,$B496,MATCH("Impact Area",'RAID Log'!$1:$1,0)),"")="","",IFERROR(INDEX('RAID Log'!$1:$1048576,$B496,MATCH("Impact Area",'RAID Log'!$1:$1,0)),"")))</f>
        <v/>
      </c>
      <c r="G496" s="85" t="str">
        <f>IF($B496="","",IF(IFERROR(INDEX('RAID Log'!$1:$1048576,$B496,MATCH("Impact Rating",'RAID Log'!$1:$1,0)),"")="","",IFERROR(INDEX('RAID Log'!$1:$1048576,$B496,MATCH("Impact Rating",'RAID Log'!$1:$1,0)),"")))</f>
        <v/>
      </c>
      <c r="H496" s="85" t="str">
        <f>IF($B496="","",IF(IFERROR(INDEX('RAID Log'!$1:$1048576,$B496,MATCH("Initial Probability",'RAID Log'!$1:$1,0)),"")="","",IFERROR(INDEX('RAID Log'!$1:$1048576,$B496,MATCH("Initial Probability",'RAID Log'!$1:$1,0)),"")))</f>
        <v/>
      </c>
      <c r="I496" s="86" t="str">
        <f t="shared" si="21"/>
        <v/>
      </c>
      <c r="J496" s="85" t="str">
        <f t="shared" si="22"/>
        <v/>
      </c>
      <c r="K496" s="86" t="str">
        <f t="shared" si="23"/>
        <v/>
      </c>
      <c r="L496" s="85" t="str">
        <f>IF($B496="","",IF(IFERROR(INDEX('RAID Log'!$1:$1048576,$B496,MATCH("Status",'RAID Log'!$1:$1,0)),"")="","",IFERROR(INDEX('RAID Log'!$1:$1048576,$B496,MATCH("Status",'RAID Log'!$1:$1,0)),"")))</f>
        <v/>
      </c>
      <c r="M496" s="85" t="str">
        <f>IF($B496="","",IF(IFERROR(INDEX('RAID Log'!$1:$1048576,$B496,MATCH("RAID Owner",'RAID Log'!$1:$1,0)),"")="","",IFERROR(INDEX('RAID Log'!$1:$1048576,$B496,MATCH("RAID Owner",'RAID Log'!$1:$1,0)),"")))</f>
        <v/>
      </c>
      <c r="N496" s="87" t="str">
        <f>IF($B496="","",IF(IFERROR(INDEX('RAID Log'!$1:$1048576,$B496,MATCH("Date Raised",'RAID Log'!$1:$1,0)),"")="","",IFERROR(INDEX('RAID Log'!$1:$1048576,$B496,MATCH("Date Raised",'RAID Log'!$1:$1,0)),"")))</f>
        <v/>
      </c>
      <c r="O496" s="87" t="str">
        <f>IF($B496="","",IF(IFERROR(INDEX('RAID Log'!$1:$1048576,$B496,MATCH("Closed Date",'RAID Log'!$1:$1,0)),"")="","",IFERROR(INDEX('RAID Log'!$1:$1048576,$B496,MATCH("Closed Date",'RAID Log'!$1:$1,0)),"")))</f>
        <v/>
      </c>
      <c r="P496" s="85" t="str">
        <f>IF($B496="","",IF(IFERROR(INDEX('RAID Log'!$1:$1048576,$B496,MATCH("Mitigation Strategy",'RAID Log'!$1:$1,0)),"")="","",IFERROR(INDEX('RAID Log'!$1:$1048576,$B496,MATCH("Mitigation Strategy",'RAID Log'!$1:$1,0)),"")))</f>
        <v/>
      </c>
      <c r="Q496" s="88" t="str">
        <f>IF($B496="","",IF(IFERROR(INDEX('RAID Log'!$1:$1048576,$B496,MATCH("RAID Response/Plan",'RAID Log'!$1:$1,0)),"")="","",IFERROR(INDEX('RAID Log'!$1:$1048576,$B496,MATCH("RAID Response/Plan",'RAID Log'!$1:$1,0)),"")))</f>
        <v/>
      </c>
    </row>
    <row r="497" spans="1:17" ht="14.25" customHeight="1">
      <c r="A497" s="82" t="str">
        <f>IF($B497="","",IF(IFERROR(INDEX('RAID Log'!$1:$1048576,$B497,MATCH("RAID ID",'RAID Log'!$1:$1,0)),"")="","",IFERROR(INDEX('RAID Log'!$1:$1048576,$B497,MATCH("RAID ID",'RAID Log'!$1:$1,0)),"")))</f>
        <v/>
      </c>
      <c r="B497" s="83" t="str">
        <f>IFERROR(MATCH(ROW()-1,'RAID Log'!$S:$S,0),"")</f>
        <v/>
      </c>
      <c r="C497" s="84" t="str">
        <f>IF($B497="","",IF(IFERROR(INDEX('RAID Log'!$1:$1048576,$B497,MATCH("Description",'RAID Log'!$1:$1,0)),"")="","",IFERROR(INDEX('RAID Log'!$1:$1048576,$B497,MATCH("Description",'RAID Log'!$1:$1,0)),"")))</f>
        <v/>
      </c>
      <c r="D497" s="84" t="str">
        <f>IF($B497="","",IF(IFERROR(INDEX('RAID Log'!$1:$1048576,$B497,MATCH("Impact/Effect of the RAID",'RAID Log'!$1:$1,0)),"")="","",IFERROR(INDEX('RAID Log'!$1:$1048576,$B497,MATCH("Impact/Effect of the RAID",'RAID Log'!$1:$1,0)),"")))</f>
        <v/>
      </c>
      <c r="E497" s="85" t="str">
        <f>IF($B497="","",IF(IFERROR(INDEX('RAID Log'!$1:$1048576,$B497,MATCH("Impact Area",'RAID Log'!$1:$1,0)),"")="","",IFERROR(INDEX('RAID Log'!$1:$1048576,$B497,MATCH("Impact Area",'RAID Log'!$1:$1,0)),"")))</f>
        <v/>
      </c>
      <c r="F497" s="85" t="str">
        <f>IF($B497="","",IF(IFERROR(INDEX('RAID Log'!$1:$1048576,$B497,MATCH("Impact Area",'RAID Log'!$1:$1,0)),"")="","",IFERROR(INDEX('RAID Log'!$1:$1048576,$B497,MATCH("Impact Area",'RAID Log'!$1:$1,0)),"")))</f>
        <v/>
      </c>
      <c r="G497" s="85" t="str">
        <f>IF($B497="","",IF(IFERROR(INDEX('RAID Log'!$1:$1048576,$B497,MATCH("Impact Rating",'RAID Log'!$1:$1,0)),"")="","",IFERROR(INDEX('RAID Log'!$1:$1048576,$B497,MATCH("Impact Rating",'RAID Log'!$1:$1,0)),"")))</f>
        <v/>
      </c>
      <c r="H497" s="85" t="str">
        <f>IF($B497="","",IF(IFERROR(INDEX('RAID Log'!$1:$1048576,$B497,MATCH("Initial Probability",'RAID Log'!$1:$1,0)),"")="","",IFERROR(INDEX('RAID Log'!$1:$1048576,$B497,MATCH("Initial Probability",'RAID Log'!$1:$1,0)),"")))</f>
        <v/>
      </c>
      <c r="I497" s="86" t="str">
        <f t="shared" si="21"/>
        <v/>
      </c>
      <c r="J497" s="85" t="str">
        <f t="shared" si="22"/>
        <v/>
      </c>
      <c r="K497" s="86" t="str">
        <f t="shared" si="23"/>
        <v/>
      </c>
      <c r="L497" s="85" t="str">
        <f>IF($B497="","",IF(IFERROR(INDEX('RAID Log'!$1:$1048576,$B497,MATCH("Status",'RAID Log'!$1:$1,0)),"")="","",IFERROR(INDEX('RAID Log'!$1:$1048576,$B497,MATCH("Status",'RAID Log'!$1:$1,0)),"")))</f>
        <v/>
      </c>
      <c r="M497" s="85" t="str">
        <f>IF($B497="","",IF(IFERROR(INDEX('RAID Log'!$1:$1048576,$B497,MATCH("RAID Owner",'RAID Log'!$1:$1,0)),"")="","",IFERROR(INDEX('RAID Log'!$1:$1048576,$B497,MATCH("RAID Owner",'RAID Log'!$1:$1,0)),"")))</f>
        <v/>
      </c>
      <c r="N497" s="87" t="str">
        <f>IF($B497="","",IF(IFERROR(INDEX('RAID Log'!$1:$1048576,$B497,MATCH("Date Raised",'RAID Log'!$1:$1,0)),"")="","",IFERROR(INDEX('RAID Log'!$1:$1048576,$B497,MATCH("Date Raised",'RAID Log'!$1:$1,0)),"")))</f>
        <v/>
      </c>
      <c r="O497" s="87" t="str">
        <f>IF($B497="","",IF(IFERROR(INDEX('RAID Log'!$1:$1048576,$B497,MATCH("Closed Date",'RAID Log'!$1:$1,0)),"")="","",IFERROR(INDEX('RAID Log'!$1:$1048576,$B497,MATCH("Closed Date",'RAID Log'!$1:$1,0)),"")))</f>
        <v/>
      </c>
      <c r="P497" s="85" t="str">
        <f>IF($B497="","",IF(IFERROR(INDEX('RAID Log'!$1:$1048576,$B497,MATCH("Mitigation Strategy",'RAID Log'!$1:$1,0)),"")="","",IFERROR(INDEX('RAID Log'!$1:$1048576,$B497,MATCH("Mitigation Strategy",'RAID Log'!$1:$1,0)),"")))</f>
        <v/>
      </c>
      <c r="Q497" s="88" t="str">
        <f>IF($B497="","",IF(IFERROR(INDEX('RAID Log'!$1:$1048576,$B497,MATCH("RAID Response/Plan",'RAID Log'!$1:$1,0)),"")="","",IFERROR(INDEX('RAID Log'!$1:$1048576,$B497,MATCH("RAID Response/Plan",'RAID Log'!$1:$1,0)),"")))</f>
        <v/>
      </c>
    </row>
    <row r="498" spans="1:17" ht="14.25" customHeight="1">
      <c r="A498" s="82" t="str">
        <f>IF($B498="","",IF(IFERROR(INDEX('RAID Log'!$1:$1048576,$B498,MATCH("RAID ID",'RAID Log'!$1:$1,0)),"")="","",IFERROR(INDEX('RAID Log'!$1:$1048576,$B498,MATCH("RAID ID",'RAID Log'!$1:$1,0)),"")))</f>
        <v/>
      </c>
      <c r="B498" s="83" t="str">
        <f>IFERROR(MATCH(ROW()-1,'RAID Log'!$S:$S,0),"")</f>
        <v/>
      </c>
      <c r="C498" s="84" t="str">
        <f>IF($B498="","",IF(IFERROR(INDEX('RAID Log'!$1:$1048576,$B498,MATCH("Description",'RAID Log'!$1:$1,0)),"")="","",IFERROR(INDEX('RAID Log'!$1:$1048576,$B498,MATCH("Description",'RAID Log'!$1:$1,0)),"")))</f>
        <v/>
      </c>
      <c r="D498" s="84" t="str">
        <f>IF($B498="","",IF(IFERROR(INDEX('RAID Log'!$1:$1048576,$B498,MATCH("Impact/Effect of the RAID",'RAID Log'!$1:$1,0)),"")="","",IFERROR(INDEX('RAID Log'!$1:$1048576,$B498,MATCH("Impact/Effect of the RAID",'RAID Log'!$1:$1,0)),"")))</f>
        <v/>
      </c>
      <c r="E498" s="85" t="str">
        <f>IF($B498="","",IF(IFERROR(INDEX('RAID Log'!$1:$1048576,$B498,MATCH("Impact Area",'RAID Log'!$1:$1,0)),"")="","",IFERROR(INDEX('RAID Log'!$1:$1048576,$B498,MATCH("Impact Area",'RAID Log'!$1:$1,0)),"")))</f>
        <v/>
      </c>
      <c r="F498" s="85" t="str">
        <f>IF($B498="","",IF(IFERROR(INDEX('RAID Log'!$1:$1048576,$B498,MATCH("Impact Area",'RAID Log'!$1:$1,0)),"")="","",IFERROR(INDEX('RAID Log'!$1:$1048576,$B498,MATCH("Impact Area",'RAID Log'!$1:$1,0)),"")))</f>
        <v/>
      </c>
      <c r="G498" s="85" t="str">
        <f>IF($B498="","",IF(IFERROR(INDEX('RAID Log'!$1:$1048576,$B498,MATCH("Impact Rating",'RAID Log'!$1:$1,0)),"")="","",IFERROR(INDEX('RAID Log'!$1:$1048576,$B498,MATCH("Impact Rating",'RAID Log'!$1:$1,0)),"")))</f>
        <v/>
      </c>
      <c r="H498" s="85" t="str">
        <f>IF($B498="","",IF(IFERROR(INDEX('RAID Log'!$1:$1048576,$B498,MATCH("Initial Probability",'RAID Log'!$1:$1,0)),"")="","",IFERROR(INDEX('RAID Log'!$1:$1048576,$B498,MATCH("Initial Probability",'RAID Log'!$1:$1,0)),"")))</f>
        <v/>
      </c>
      <c r="I498" s="86" t="str">
        <f t="shared" si="21"/>
        <v/>
      </c>
      <c r="J498" s="85" t="str">
        <f t="shared" si="22"/>
        <v/>
      </c>
      <c r="K498" s="86" t="str">
        <f t="shared" si="23"/>
        <v/>
      </c>
      <c r="L498" s="85" t="str">
        <f>IF($B498="","",IF(IFERROR(INDEX('RAID Log'!$1:$1048576,$B498,MATCH("Status",'RAID Log'!$1:$1,0)),"")="","",IFERROR(INDEX('RAID Log'!$1:$1048576,$B498,MATCH("Status",'RAID Log'!$1:$1,0)),"")))</f>
        <v/>
      </c>
      <c r="M498" s="85" t="str">
        <f>IF($B498="","",IF(IFERROR(INDEX('RAID Log'!$1:$1048576,$B498,MATCH("RAID Owner",'RAID Log'!$1:$1,0)),"")="","",IFERROR(INDEX('RAID Log'!$1:$1048576,$B498,MATCH("RAID Owner",'RAID Log'!$1:$1,0)),"")))</f>
        <v/>
      </c>
      <c r="N498" s="87" t="str">
        <f>IF($B498="","",IF(IFERROR(INDEX('RAID Log'!$1:$1048576,$B498,MATCH("Date Raised",'RAID Log'!$1:$1,0)),"")="","",IFERROR(INDEX('RAID Log'!$1:$1048576,$B498,MATCH("Date Raised",'RAID Log'!$1:$1,0)),"")))</f>
        <v/>
      </c>
      <c r="O498" s="87" t="str">
        <f>IF($B498="","",IF(IFERROR(INDEX('RAID Log'!$1:$1048576,$B498,MATCH("Closed Date",'RAID Log'!$1:$1,0)),"")="","",IFERROR(INDEX('RAID Log'!$1:$1048576,$B498,MATCH("Closed Date",'RAID Log'!$1:$1,0)),"")))</f>
        <v/>
      </c>
      <c r="P498" s="85" t="str">
        <f>IF($B498="","",IF(IFERROR(INDEX('RAID Log'!$1:$1048576,$B498,MATCH("Mitigation Strategy",'RAID Log'!$1:$1,0)),"")="","",IFERROR(INDEX('RAID Log'!$1:$1048576,$B498,MATCH("Mitigation Strategy",'RAID Log'!$1:$1,0)),"")))</f>
        <v/>
      </c>
      <c r="Q498" s="88" t="str">
        <f>IF($B498="","",IF(IFERROR(INDEX('RAID Log'!$1:$1048576,$B498,MATCH("RAID Response/Plan",'RAID Log'!$1:$1,0)),"")="","",IFERROR(INDEX('RAID Log'!$1:$1048576,$B498,MATCH("RAID Response/Plan",'RAID Log'!$1:$1,0)),"")))</f>
        <v/>
      </c>
    </row>
    <row r="499" spans="1:17" ht="14.25" customHeight="1">
      <c r="A499" s="82" t="str">
        <f>IF($B499="","",IF(IFERROR(INDEX('RAID Log'!$1:$1048576,$B499,MATCH("RAID ID",'RAID Log'!$1:$1,0)),"")="","",IFERROR(INDEX('RAID Log'!$1:$1048576,$B499,MATCH("RAID ID",'RAID Log'!$1:$1,0)),"")))</f>
        <v/>
      </c>
      <c r="B499" s="83" t="str">
        <f>IFERROR(MATCH(ROW()-1,'RAID Log'!$S:$S,0),"")</f>
        <v/>
      </c>
      <c r="C499" s="84" t="str">
        <f>IF($B499="","",IF(IFERROR(INDEX('RAID Log'!$1:$1048576,$B499,MATCH("Description",'RAID Log'!$1:$1,0)),"")="","",IFERROR(INDEX('RAID Log'!$1:$1048576,$B499,MATCH("Description",'RAID Log'!$1:$1,0)),"")))</f>
        <v/>
      </c>
      <c r="D499" s="84" t="str">
        <f>IF($B499="","",IF(IFERROR(INDEX('RAID Log'!$1:$1048576,$B499,MATCH("Impact/Effect of the RAID",'RAID Log'!$1:$1,0)),"")="","",IFERROR(INDEX('RAID Log'!$1:$1048576,$B499,MATCH("Impact/Effect of the RAID",'RAID Log'!$1:$1,0)),"")))</f>
        <v/>
      </c>
      <c r="E499" s="85" t="str">
        <f>IF($B499="","",IF(IFERROR(INDEX('RAID Log'!$1:$1048576,$B499,MATCH("Impact Area",'RAID Log'!$1:$1,0)),"")="","",IFERROR(INDEX('RAID Log'!$1:$1048576,$B499,MATCH("Impact Area",'RAID Log'!$1:$1,0)),"")))</f>
        <v/>
      </c>
      <c r="F499" s="85" t="str">
        <f>IF($B499="","",IF(IFERROR(INDEX('RAID Log'!$1:$1048576,$B499,MATCH("Impact Area",'RAID Log'!$1:$1,0)),"")="","",IFERROR(INDEX('RAID Log'!$1:$1048576,$B499,MATCH("Impact Area",'RAID Log'!$1:$1,0)),"")))</f>
        <v/>
      </c>
      <c r="G499" s="85" t="str">
        <f>IF($B499="","",IF(IFERROR(INDEX('RAID Log'!$1:$1048576,$B499,MATCH("Impact Rating",'RAID Log'!$1:$1,0)),"")="","",IFERROR(INDEX('RAID Log'!$1:$1048576,$B499,MATCH("Impact Rating",'RAID Log'!$1:$1,0)),"")))</f>
        <v/>
      </c>
      <c r="H499" s="85" t="str">
        <f>IF($B499="","",IF(IFERROR(INDEX('RAID Log'!$1:$1048576,$B499,MATCH("Initial Probability",'RAID Log'!$1:$1,0)),"")="","",IFERROR(INDEX('RAID Log'!$1:$1048576,$B499,MATCH("Initial Probability",'RAID Log'!$1:$1,0)),"")))</f>
        <v/>
      </c>
      <c r="I499" s="86" t="str">
        <f t="shared" si="21"/>
        <v/>
      </c>
      <c r="J499" s="85" t="str">
        <f t="shared" si="22"/>
        <v/>
      </c>
      <c r="K499" s="86" t="str">
        <f t="shared" si="23"/>
        <v/>
      </c>
      <c r="L499" s="85" t="str">
        <f>IF($B499="","",IF(IFERROR(INDEX('RAID Log'!$1:$1048576,$B499,MATCH("Status",'RAID Log'!$1:$1,0)),"")="","",IFERROR(INDEX('RAID Log'!$1:$1048576,$B499,MATCH("Status",'RAID Log'!$1:$1,0)),"")))</f>
        <v/>
      </c>
      <c r="M499" s="85" t="str">
        <f>IF($B499="","",IF(IFERROR(INDEX('RAID Log'!$1:$1048576,$B499,MATCH("RAID Owner",'RAID Log'!$1:$1,0)),"")="","",IFERROR(INDEX('RAID Log'!$1:$1048576,$B499,MATCH("RAID Owner",'RAID Log'!$1:$1,0)),"")))</f>
        <v/>
      </c>
      <c r="N499" s="87" t="str">
        <f>IF($B499="","",IF(IFERROR(INDEX('RAID Log'!$1:$1048576,$B499,MATCH("Date Raised",'RAID Log'!$1:$1,0)),"")="","",IFERROR(INDEX('RAID Log'!$1:$1048576,$B499,MATCH("Date Raised",'RAID Log'!$1:$1,0)),"")))</f>
        <v/>
      </c>
      <c r="O499" s="87" t="str">
        <f>IF($B499="","",IF(IFERROR(INDEX('RAID Log'!$1:$1048576,$B499,MATCH("Closed Date",'RAID Log'!$1:$1,0)),"")="","",IFERROR(INDEX('RAID Log'!$1:$1048576,$B499,MATCH("Closed Date",'RAID Log'!$1:$1,0)),"")))</f>
        <v/>
      </c>
      <c r="P499" s="85" t="str">
        <f>IF($B499="","",IF(IFERROR(INDEX('RAID Log'!$1:$1048576,$B499,MATCH("Mitigation Strategy",'RAID Log'!$1:$1,0)),"")="","",IFERROR(INDEX('RAID Log'!$1:$1048576,$B499,MATCH("Mitigation Strategy",'RAID Log'!$1:$1,0)),"")))</f>
        <v/>
      </c>
      <c r="Q499" s="88" t="str">
        <f>IF($B499="","",IF(IFERROR(INDEX('RAID Log'!$1:$1048576,$B499,MATCH("RAID Response/Plan",'RAID Log'!$1:$1,0)),"")="","",IFERROR(INDEX('RAID Log'!$1:$1048576,$B499,MATCH("RAID Response/Plan",'RAID Log'!$1:$1,0)),"")))</f>
        <v/>
      </c>
    </row>
    <row r="500" spans="1:17" ht="14.25" customHeight="1">
      <c r="A500" s="82" t="str">
        <f>IF($B500="","",IF(IFERROR(INDEX('RAID Log'!$1:$1048576,$B500,MATCH("RAID ID",'RAID Log'!$1:$1,0)),"")="","",IFERROR(INDEX('RAID Log'!$1:$1048576,$B500,MATCH("RAID ID",'RAID Log'!$1:$1,0)),"")))</f>
        <v/>
      </c>
      <c r="B500" s="83" t="str">
        <f>IFERROR(MATCH(ROW()-1,'RAID Log'!$S:$S,0),"")</f>
        <v/>
      </c>
      <c r="C500" s="84" t="str">
        <f>IF($B500="","",IF(IFERROR(INDEX('RAID Log'!$1:$1048576,$B500,MATCH("Description",'RAID Log'!$1:$1,0)),"")="","",IFERROR(INDEX('RAID Log'!$1:$1048576,$B500,MATCH("Description",'RAID Log'!$1:$1,0)),"")))</f>
        <v/>
      </c>
      <c r="D500" s="84" t="str">
        <f>IF($B500="","",IF(IFERROR(INDEX('RAID Log'!$1:$1048576,$B500,MATCH("Impact/Effect of the RAID",'RAID Log'!$1:$1,0)),"")="","",IFERROR(INDEX('RAID Log'!$1:$1048576,$B500,MATCH("Impact/Effect of the RAID",'RAID Log'!$1:$1,0)),"")))</f>
        <v/>
      </c>
      <c r="E500" s="85" t="str">
        <f>IF($B500="","",IF(IFERROR(INDEX('RAID Log'!$1:$1048576,$B500,MATCH("Impact Area",'RAID Log'!$1:$1,0)),"")="","",IFERROR(INDEX('RAID Log'!$1:$1048576,$B500,MATCH("Impact Area",'RAID Log'!$1:$1,0)),"")))</f>
        <v/>
      </c>
      <c r="F500" s="85" t="str">
        <f>IF($B500="","",IF(IFERROR(INDEX('RAID Log'!$1:$1048576,$B500,MATCH("Impact Area",'RAID Log'!$1:$1,0)),"")="","",IFERROR(INDEX('RAID Log'!$1:$1048576,$B500,MATCH("Impact Area",'RAID Log'!$1:$1,0)),"")))</f>
        <v/>
      </c>
      <c r="G500" s="85" t="str">
        <f>IF($B500="","",IF(IFERROR(INDEX('RAID Log'!$1:$1048576,$B500,MATCH("Impact Rating",'RAID Log'!$1:$1,0)),"")="","",IFERROR(INDEX('RAID Log'!$1:$1048576,$B500,MATCH("Impact Rating",'RAID Log'!$1:$1,0)),"")))</f>
        <v/>
      </c>
      <c r="H500" s="85" t="str">
        <f>IF($B500="","",IF(IFERROR(INDEX('RAID Log'!$1:$1048576,$B500,MATCH("Initial Probability",'RAID Log'!$1:$1,0)),"")="","",IFERROR(INDEX('RAID Log'!$1:$1048576,$B500,MATCH("Initial Probability",'RAID Log'!$1:$1,0)),"")))</f>
        <v/>
      </c>
      <c r="I500" s="86" t="str">
        <f t="shared" si="21"/>
        <v/>
      </c>
      <c r="J500" s="85" t="str">
        <f t="shared" si="22"/>
        <v/>
      </c>
      <c r="K500" s="86" t="str">
        <f t="shared" si="23"/>
        <v/>
      </c>
      <c r="L500" s="85" t="str">
        <f>IF($B500="","",IF(IFERROR(INDEX('RAID Log'!$1:$1048576,$B500,MATCH("Status",'RAID Log'!$1:$1,0)),"")="","",IFERROR(INDEX('RAID Log'!$1:$1048576,$B500,MATCH("Status",'RAID Log'!$1:$1,0)),"")))</f>
        <v/>
      </c>
      <c r="M500" s="85" t="str">
        <f>IF($B500="","",IF(IFERROR(INDEX('RAID Log'!$1:$1048576,$B500,MATCH("RAID Owner",'RAID Log'!$1:$1,0)),"")="","",IFERROR(INDEX('RAID Log'!$1:$1048576,$B500,MATCH("RAID Owner",'RAID Log'!$1:$1,0)),"")))</f>
        <v/>
      </c>
      <c r="N500" s="87" t="str">
        <f>IF($B500="","",IF(IFERROR(INDEX('RAID Log'!$1:$1048576,$B500,MATCH("Date Raised",'RAID Log'!$1:$1,0)),"")="","",IFERROR(INDEX('RAID Log'!$1:$1048576,$B500,MATCH("Date Raised",'RAID Log'!$1:$1,0)),"")))</f>
        <v/>
      </c>
      <c r="O500" s="87" t="str">
        <f>IF($B500="","",IF(IFERROR(INDEX('RAID Log'!$1:$1048576,$B500,MATCH("Closed Date",'RAID Log'!$1:$1,0)),"")="","",IFERROR(INDEX('RAID Log'!$1:$1048576,$B500,MATCH("Closed Date",'RAID Log'!$1:$1,0)),"")))</f>
        <v/>
      </c>
      <c r="P500" s="85" t="str">
        <f>IF($B500="","",IF(IFERROR(INDEX('RAID Log'!$1:$1048576,$B500,MATCH("Mitigation Strategy",'RAID Log'!$1:$1,0)),"")="","",IFERROR(INDEX('RAID Log'!$1:$1048576,$B500,MATCH("Mitigation Strategy",'RAID Log'!$1:$1,0)),"")))</f>
        <v/>
      </c>
      <c r="Q500" s="88" t="str">
        <f>IF($B500="","",IF(IFERROR(INDEX('RAID Log'!$1:$1048576,$B500,MATCH("RAID Response/Plan",'RAID Log'!$1:$1,0)),"")="","",IFERROR(INDEX('RAID Log'!$1:$1048576,$B500,MATCH("RAID Response/Plan",'RAID Log'!$1:$1,0)),"")))</f>
        <v/>
      </c>
    </row>
    <row r="501" spans="1:17" ht="14.25" customHeight="1">
      <c r="A501" s="82" t="str">
        <f>IF($B501="","",IF(IFERROR(INDEX('RAID Log'!$1:$1048576,$B501,MATCH("RAID ID",'RAID Log'!$1:$1,0)),"")="","",IFERROR(INDEX('RAID Log'!$1:$1048576,$B501,MATCH("RAID ID",'RAID Log'!$1:$1,0)),"")))</f>
        <v/>
      </c>
      <c r="B501" s="83" t="str">
        <f>IFERROR(MATCH(ROW()-1,'RAID Log'!$S:$S,0),"")</f>
        <v/>
      </c>
      <c r="C501" s="84" t="str">
        <f>IF($B501="","",IF(IFERROR(INDEX('RAID Log'!$1:$1048576,$B501,MATCH("Description",'RAID Log'!$1:$1,0)),"")="","",IFERROR(INDEX('RAID Log'!$1:$1048576,$B501,MATCH("Description",'RAID Log'!$1:$1,0)),"")))</f>
        <v/>
      </c>
      <c r="D501" s="84" t="str">
        <f>IF($B501="","",IF(IFERROR(INDEX('RAID Log'!$1:$1048576,$B501,MATCH("Impact/Effect of the RAID",'RAID Log'!$1:$1,0)),"")="","",IFERROR(INDEX('RAID Log'!$1:$1048576,$B501,MATCH("Impact/Effect of the RAID",'RAID Log'!$1:$1,0)),"")))</f>
        <v/>
      </c>
      <c r="E501" s="85" t="str">
        <f>IF($B501="","",IF(IFERROR(INDEX('RAID Log'!$1:$1048576,$B501,MATCH("Impact Area",'RAID Log'!$1:$1,0)),"")="","",IFERROR(INDEX('RAID Log'!$1:$1048576,$B501,MATCH("Impact Area",'RAID Log'!$1:$1,0)),"")))</f>
        <v/>
      </c>
      <c r="F501" s="85" t="str">
        <f>IF($B501="","",IF(IFERROR(INDEX('RAID Log'!$1:$1048576,$B501,MATCH("Impact Area",'RAID Log'!$1:$1,0)),"")="","",IFERROR(INDEX('RAID Log'!$1:$1048576,$B501,MATCH("Impact Area",'RAID Log'!$1:$1,0)),"")))</f>
        <v/>
      </c>
      <c r="G501" s="85" t="str">
        <f>IF($B501="","",IF(IFERROR(INDEX('RAID Log'!$1:$1048576,$B501,MATCH("Impact Rating",'RAID Log'!$1:$1,0)),"")="","",IFERROR(INDEX('RAID Log'!$1:$1048576,$B501,MATCH("Impact Rating",'RAID Log'!$1:$1,0)),"")))</f>
        <v/>
      </c>
      <c r="H501" s="85" t="str">
        <f>IF($B501="","",IF(IFERROR(INDEX('RAID Log'!$1:$1048576,$B501,MATCH("Initial Probability",'RAID Log'!$1:$1,0)),"")="","",IFERROR(INDEX('RAID Log'!$1:$1048576,$B501,MATCH("Initial Probability",'RAID Log'!$1:$1,0)),"")))</f>
        <v/>
      </c>
      <c r="I501" s="86" t="str">
        <f t="shared" si="21"/>
        <v/>
      </c>
      <c r="J501" s="85" t="str">
        <f t="shared" si="22"/>
        <v/>
      </c>
      <c r="K501" s="86" t="str">
        <f t="shared" si="23"/>
        <v/>
      </c>
      <c r="L501" s="85" t="str">
        <f>IF($B501="","",IF(IFERROR(INDEX('RAID Log'!$1:$1048576,$B501,MATCH("Status",'RAID Log'!$1:$1,0)),"")="","",IFERROR(INDEX('RAID Log'!$1:$1048576,$B501,MATCH("Status",'RAID Log'!$1:$1,0)),"")))</f>
        <v/>
      </c>
      <c r="M501" s="85" t="str">
        <f>IF($B501="","",IF(IFERROR(INDEX('RAID Log'!$1:$1048576,$B501,MATCH("RAID Owner",'RAID Log'!$1:$1,0)),"")="","",IFERROR(INDEX('RAID Log'!$1:$1048576,$B501,MATCH("RAID Owner",'RAID Log'!$1:$1,0)),"")))</f>
        <v/>
      </c>
      <c r="N501" s="87" t="str">
        <f>IF($B501="","",IF(IFERROR(INDEX('RAID Log'!$1:$1048576,$B501,MATCH("Date Raised",'RAID Log'!$1:$1,0)),"")="","",IFERROR(INDEX('RAID Log'!$1:$1048576,$B501,MATCH("Date Raised",'RAID Log'!$1:$1,0)),"")))</f>
        <v/>
      </c>
      <c r="O501" s="87" t="str">
        <f>IF($B501="","",IF(IFERROR(INDEX('RAID Log'!$1:$1048576,$B501,MATCH("Closed Date",'RAID Log'!$1:$1,0)),"")="","",IFERROR(INDEX('RAID Log'!$1:$1048576,$B501,MATCH("Closed Date",'RAID Log'!$1:$1,0)),"")))</f>
        <v/>
      </c>
      <c r="P501" s="85" t="str">
        <f>IF($B501="","",IF(IFERROR(INDEX('RAID Log'!$1:$1048576,$B501,MATCH("Mitigation Strategy",'RAID Log'!$1:$1,0)),"")="","",IFERROR(INDEX('RAID Log'!$1:$1048576,$B501,MATCH("Mitigation Strategy",'RAID Log'!$1:$1,0)),"")))</f>
        <v/>
      </c>
      <c r="Q501" s="88" t="str">
        <f>IF($B501="","",IF(IFERROR(INDEX('RAID Log'!$1:$1048576,$B501,MATCH("RAID Response/Plan",'RAID Log'!$1:$1,0)),"")="","",IFERROR(INDEX('RAID Log'!$1:$1048576,$B501,MATCH("RAID Response/Plan",'RAID Log'!$1:$1,0)),"")))</f>
        <v/>
      </c>
    </row>
    <row r="502" spans="1:17" ht="14.25" customHeight="1">
      <c r="A502" s="82" t="str">
        <f>IF($B502="","",IF(IFERROR(INDEX('RAID Log'!$1:$1048576,$B502,MATCH("RAID ID",'RAID Log'!$1:$1,0)),"")="","",IFERROR(INDEX('RAID Log'!$1:$1048576,$B502,MATCH("RAID ID",'RAID Log'!$1:$1,0)),"")))</f>
        <v/>
      </c>
      <c r="B502" s="83" t="str">
        <f>IFERROR(MATCH(ROW()-1,'RAID Log'!$S:$S,0),"")</f>
        <v/>
      </c>
      <c r="C502" s="84" t="str">
        <f>IF($B502="","",IF(IFERROR(INDEX('RAID Log'!$1:$1048576,$B502,MATCH("Description",'RAID Log'!$1:$1,0)),"")="","",IFERROR(INDEX('RAID Log'!$1:$1048576,$B502,MATCH("Description",'RAID Log'!$1:$1,0)),"")))</f>
        <v/>
      </c>
      <c r="D502" s="84" t="str">
        <f>IF($B502="","",IF(IFERROR(INDEX('RAID Log'!$1:$1048576,$B502,MATCH("Impact/Effect of the RAID",'RAID Log'!$1:$1,0)),"")="","",IFERROR(INDEX('RAID Log'!$1:$1048576,$B502,MATCH("Impact/Effect of the RAID",'RAID Log'!$1:$1,0)),"")))</f>
        <v/>
      </c>
      <c r="E502" s="85" t="str">
        <f>IF($B502="","",IF(IFERROR(INDEX('RAID Log'!$1:$1048576,$B502,MATCH("Impact Area",'RAID Log'!$1:$1,0)),"")="","",IFERROR(INDEX('RAID Log'!$1:$1048576,$B502,MATCH("Impact Area",'RAID Log'!$1:$1,0)),"")))</f>
        <v/>
      </c>
      <c r="F502" s="85" t="str">
        <f>IF($B502="","",IF(IFERROR(INDEX('RAID Log'!$1:$1048576,$B502,MATCH("Impact Area",'RAID Log'!$1:$1,0)),"")="","",IFERROR(INDEX('RAID Log'!$1:$1048576,$B502,MATCH("Impact Area",'RAID Log'!$1:$1,0)),"")))</f>
        <v/>
      </c>
      <c r="G502" s="85" t="str">
        <f>IF($B502="","",IF(IFERROR(INDEX('RAID Log'!$1:$1048576,$B502,MATCH("Impact Rating",'RAID Log'!$1:$1,0)),"")="","",IFERROR(INDEX('RAID Log'!$1:$1048576,$B502,MATCH("Impact Rating",'RAID Log'!$1:$1,0)),"")))</f>
        <v/>
      </c>
      <c r="H502" s="85" t="str">
        <f>IF($B502="","",IF(IFERROR(INDEX('RAID Log'!$1:$1048576,$B502,MATCH("Initial Probability",'RAID Log'!$1:$1,0)),"")="","",IFERROR(INDEX('RAID Log'!$1:$1048576,$B502,MATCH("Initial Probability",'RAID Log'!$1:$1,0)),"")))</f>
        <v/>
      </c>
      <c r="I502" s="86" t="str">
        <f t="shared" si="21"/>
        <v/>
      </c>
      <c r="J502" s="85" t="str">
        <f t="shared" si="22"/>
        <v/>
      </c>
      <c r="K502" s="86" t="str">
        <f t="shared" si="23"/>
        <v/>
      </c>
      <c r="L502" s="85" t="str">
        <f>IF($B502="","",IF(IFERROR(INDEX('RAID Log'!$1:$1048576,$B502,MATCH("Status",'RAID Log'!$1:$1,0)),"")="","",IFERROR(INDEX('RAID Log'!$1:$1048576,$B502,MATCH("Status",'RAID Log'!$1:$1,0)),"")))</f>
        <v/>
      </c>
      <c r="M502" s="85" t="str">
        <f>IF($B502="","",IF(IFERROR(INDEX('RAID Log'!$1:$1048576,$B502,MATCH("RAID Owner",'RAID Log'!$1:$1,0)),"")="","",IFERROR(INDEX('RAID Log'!$1:$1048576,$B502,MATCH("RAID Owner",'RAID Log'!$1:$1,0)),"")))</f>
        <v/>
      </c>
      <c r="N502" s="87" t="str">
        <f>IF($B502="","",IF(IFERROR(INDEX('RAID Log'!$1:$1048576,$B502,MATCH("Date Raised",'RAID Log'!$1:$1,0)),"")="","",IFERROR(INDEX('RAID Log'!$1:$1048576,$B502,MATCH("Date Raised",'RAID Log'!$1:$1,0)),"")))</f>
        <v/>
      </c>
      <c r="O502" s="87" t="str">
        <f>IF($B502="","",IF(IFERROR(INDEX('RAID Log'!$1:$1048576,$B502,MATCH("Closed Date",'RAID Log'!$1:$1,0)),"")="","",IFERROR(INDEX('RAID Log'!$1:$1048576,$B502,MATCH("Closed Date",'RAID Log'!$1:$1,0)),"")))</f>
        <v/>
      </c>
      <c r="P502" s="85" t="str">
        <f>IF($B502="","",IF(IFERROR(INDEX('RAID Log'!$1:$1048576,$B502,MATCH("Mitigation Strategy",'RAID Log'!$1:$1,0)),"")="","",IFERROR(INDEX('RAID Log'!$1:$1048576,$B502,MATCH("Mitigation Strategy",'RAID Log'!$1:$1,0)),"")))</f>
        <v/>
      </c>
      <c r="Q502" s="88" t="str">
        <f>IF($B502="","",IF(IFERROR(INDEX('RAID Log'!$1:$1048576,$B502,MATCH("RAID Response/Plan",'RAID Log'!$1:$1,0)),"")="","",IFERROR(INDEX('RAID Log'!$1:$1048576,$B502,MATCH("RAID Response/Plan",'RAID Log'!$1:$1,0)),"")))</f>
        <v/>
      </c>
    </row>
    <row r="503" spans="1:17" ht="14.25" customHeight="1">
      <c r="A503" s="82" t="str">
        <f>IF($B503="","",IF(IFERROR(INDEX('RAID Log'!$1:$1048576,$B503,MATCH("RAID ID",'RAID Log'!$1:$1,0)),"")="","",IFERROR(INDEX('RAID Log'!$1:$1048576,$B503,MATCH("RAID ID",'RAID Log'!$1:$1,0)),"")))</f>
        <v/>
      </c>
      <c r="B503" s="83" t="str">
        <f>IFERROR(MATCH(ROW()-1,'RAID Log'!$S:$S,0),"")</f>
        <v/>
      </c>
      <c r="C503" s="84" t="str">
        <f>IF($B503="","",IF(IFERROR(INDEX('RAID Log'!$1:$1048576,$B503,MATCH("Description",'RAID Log'!$1:$1,0)),"")="","",IFERROR(INDEX('RAID Log'!$1:$1048576,$B503,MATCH("Description",'RAID Log'!$1:$1,0)),"")))</f>
        <v/>
      </c>
      <c r="D503" s="84" t="str">
        <f>IF($B503="","",IF(IFERROR(INDEX('RAID Log'!$1:$1048576,$B503,MATCH("Impact/Effect of the RAID",'RAID Log'!$1:$1,0)),"")="","",IFERROR(INDEX('RAID Log'!$1:$1048576,$B503,MATCH("Impact/Effect of the RAID",'RAID Log'!$1:$1,0)),"")))</f>
        <v/>
      </c>
      <c r="E503" s="85" t="str">
        <f>IF($B503="","",IF(IFERROR(INDEX('RAID Log'!$1:$1048576,$B503,MATCH("Impact Area",'RAID Log'!$1:$1,0)),"")="","",IFERROR(INDEX('RAID Log'!$1:$1048576,$B503,MATCH("Impact Area",'RAID Log'!$1:$1,0)),"")))</f>
        <v/>
      </c>
      <c r="F503" s="85" t="str">
        <f>IF($B503="","",IF(IFERROR(INDEX('RAID Log'!$1:$1048576,$B503,MATCH("Impact Area",'RAID Log'!$1:$1,0)),"")="","",IFERROR(INDEX('RAID Log'!$1:$1048576,$B503,MATCH("Impact Area",'RAID Log'!$1:$1,0)),"")))</f>
        <v/>
      </c>
      <c r="G503" s="85" t="str">
        <f>IF($B503="","",IF(IFERROR(INDEX('RAID Log'!$1:$1048576,$B503,MATCH("Impact Rating",'RAID Log'!$1:$1,0)),"")="","",IFERROR(INDEX('RAID Log'!$1:$1048576,$B503,MATCH("Impact Rating",'RAID Log'!$1:$1,0)),"")))</f>
        <v/>
      </c>
      <c r="H503" s="85" t="str">
        <f>IF($B503="","",IF(IFERROR(INDEX('RAID Log'!$1:$1048576,$B503,MATCH("Initial Probability",'RAID Log'!$1:$1,0)),"")="","",IFERROR(INDEX('RAID Log'!$1:$1048576,$B503,MATCH("Initial Probability",'RAID Log'!$1:$1,0)),"")))</f>
        <v/>
      </c>
      <c r="I503" s="86" t="str">
        <f t="shared" si="21"/>
        <v/>
      </c>
      <c r="J503" s="85" t="str">
        <f t="shared" si="22"/>
        <v/>
      </c>
      <c r="K503" s="86" t="str">
        <f t="shared" si="23"/>
        <v/>
      </c>
      <c r="L503" s="85" t="str">
        <f>IF($B503="","",IF(IFERROR(INDEX('RAID Log'!$1:$1048576,$B503,MATCH("Status",'RAID Log'!$1:$1,0)),"")="","",IFERROR(INDEX('RAID Log'!$1:$1048576,$B503,MATCH("Status",'RAID Log'!$1:$1,0)),"")))</f>
        <v/>
      </c>
      <c r="M503" s="85" t="str">
        <f>IF($B503="","",IF(IFERROR(INDEX('RAID Log'!$1:$1048576,$B503,MATCH("RAID Owner",'RAID Log'!$1:$1,0)),"")="","",IFERROR(INDEX('RAID Log'!$1:$1048576,$B503,MATCH("RAID Owner",'RAID Log'!$1:$1,0)),"")))</f>
        <v/>
      </c>
      <c r="N503" s="87" t="str">
        <f>IF($B503="","",IF(IFERROR(INDEX('RAID Log'!$1:$1048576,$B503,MATCH("Date Raised",'RAID Log'!$1:$1,0)),"")="","",IFERROR(INDEX('RAID Log'!$1:$1048576,$B503,MATCH("Date Raised",'RAID Log'!$1:$1,0)),"")))</f>
        <v/>
      </c>
      <c r="O503" s="87" t="str">
        <f>IF($B503="","",IF(IFERROR(INDEX('RAID Log'!$1:$1048576,$B503,MATCH("Closed Date",'RAID Log'!$1:$1,0)),"")="","",IFERROR(INDEX('RAID Log'!$1:$1048576,$B503,MATCH("Closed Date",'RAID Log'!$1:$1,0)),"")))</f>
        <v/>
      </c>
      <c r="P503" s="85" t="str">
        <f>IF($B503="","",IF(IFERROR(INDEX('RAID Log'!$1:$1048576,$B503,MATCH("Mitigation Strategy",'RAID Log'!$1:$1,0)),"")="","",IFERROR(INDEX('RAID Log'!$1:$1048576,$B503,MATCH("Mitigation Strategy",'RAID Log'!$1:$1,0)),"")))</f>
        <v/>
      </c>
      <c r="Q503" s="88" t="str">
        <f>IF($B503="","",IF(IFERROR(INDEX('RAID Log'!$1:$1048576,$B503,MATCH("RAID Response/Plan",'RAID Log'!$1:$1,0)),"")="","",IFERROR(INDEX('RAID Log'!$1:$1048576,$B503,MATCH("RAID Response/Plan",'RAID Log'!$1:$1,0)),"")))</f>
        <v/>
      </c>
    </row>
    <row r="504" spans="1:17" ht="14.25" customHeight="1">
      <c r="A504" s="82" t="str">
        <f>IF($B504="","",IF(IFERROR(INDEX('RAID Log'!$1:$1048576,$B504,MATCH("RAID ID",'RAID Log'!$1:$1,0)),"")="","",IFERROR(INDEX('RAID Log'!$1:$1048576,$B504,MATCH("RAID ID",'RAID Log'!$1:$1,0)),"")))</f>
        <v/>
      </c>
      <c r="B504" s="83" t="str">
        <f>IFERROR(MATCH(ROW()-1,'RAID Log'!$S:$S,0),"")</f>
        <v/>
      </c>
      <c r="C504" s="84" t="str">
        <f>IF($B504="","",IF(IFERROR(INDEX('RAID Log'!$1:$1048576,$B504,MATCH("Description",'RAID Log'!$1:$1,0)),"")="","",IFERROR(INDEX('RAID Log'!$1:$1048576,$B504,MATCH("Description",'RAID Log'!$1:$1,0)),"")))</f>
        <v/>
      </c>
      <c r="D504" s="84" t="str">
        <f>IF($B504="","",IF(IFERROR(INDEX('RAID Log'!$1:$1048576,$B504,MATCH("Impact/Effect of the RAID",'RAID Log'!$1:$1,0)),"")="","",IFERROR(INDEX('RAID Log'!$1:$1048576,$B504,MATCH("Impact/Effect of the RAID",'RAID Log'!$1:$1,0)),"")))</f>
        <v/>
      </c>
      <c r="E504" s="85" t="str">
        <f>IF($B504="","",IF(IFERROR(INDEX('RAID Log'!$1:$1048576,$B504,MATCH("Impact Area",'RAID Log'!$1:$1,0)),"")="","",IFERROR(INDEX('RAID Log'!$1:$1048576,$B504,MATCH("Impact Area",'RAID Log'!$1:$1,0)),"")))</f>
        <v/>
      </c>
      <c r="F504" s="85" t="str">
        <f>IF($B504="","",IF(IFERROR(INDEX('RAID Log'!$1:$1048576,$B504,MATCH("Impact Area",'RAID Log'!$1:$1,0)),"")="","",IFERROR(INDEX('RAID Log'!$1:$1048576,$B504,MATCH("Impact Area",'RAID Log'!$1:$1,0)),"")))</f>
        <v/>
      </c>
      <c r="G504" s="85" t="str">
        <f>IF($B504="","",IF(IFERROR(INDEX('RAID Log'!$1:$1048576,$B504,MATCH("Impact Rating",'RAID Log'!$1:$1,0)),"")="","",IFERROR(INDEX('RAID Log'!$1:$1048576,$B504,MATCH("Impact Rating",'RAID Log'!$1:$1,0)),"")))</f>
        <v/>
      </c>
      <c r="H504" s="85" t="str">
        <f>IF($B504="","",IF(IFERROR(INDEX('RAID Log'!$1:$1048576,$B504,MATCH("Initial Probability",'RAID Log'!$1:$1,0)),"")="","",IFERROR(INDEX('RAID Log'!$1:$1048576,$B504,MATCH("Initial Probability",'RAID Log'!$1:$1,0)),"")))</f>
        <v/>
      </c>
      <c r="I504" s="86" t="str">
        <f t="shared" si="21"/>
        <v/>
      </c>
      <c r="J504" s="85" t="str">
        <f t="shared" si="22"/>
        <v/>
      </c>
      <c r="K504" s="86" t="str">
        <f t="shared" si="23"/>
        <v/>
      </c>
      <c r="L504" s="85" t="str">
        <f>IF($B504="","",IF(IFERROR(INDEX('RAID Log'!$1:$1048576,$B504,MATCH("Status",'RAID Log'!$1:$1,0)),"")="","",IFERROR(INDEX('RAID Log'!$1:$1048576,$B504,MATCH("Status",'RAID Log'!$1:$1,0)),"")))</f>
        <v/>
      </c>
      <c r="M504" s="85" t="str">
        <f>IF($B504="","",IF(IFERROR(INDEX('RAID Log'!$1:$1048576,$B504,MATCH("RAID Owner",'RAID Log'!$1:$1,0)),"")="","",IFERROR(INDEX('RAID Log'!$1:$1048576,$B504,MATCH("RAID Owner",'RAID Log'!$1:$1,0)),"")))</f>
        <v/>
      </c>
      <c r="N504" s="87" t="str">
        <f>IF($B504="","",IF(IFERROR(INDEX('RAID Log'!$1:$1048576,$B504,MATCH("Date Raised",'RAID Log'!$1:$1,0)),"")="","",IFERROR(INDEX('RAID Log'!$1:$1048576,$B504,MATCH("Date Raised",'RAID Log'!$1:$1,0)),"")))</f>
        <v/>
      </c>
      <c r="O504" s="87" t="str">
        <f>IF($B504="","",IF(IFERROR(INDEX('RAID Log'!$1:$1048576,$B504,MATCH("Closed Date",'RAID Log'!$1:$1,0)),"")="","",IFERROR(INDEX('RAID Log'!$1:$1048576,$B504,MATCH("Closed Date",'RAID Log'!$1:$1,0)),"")))</f>
        <v/>
      </c>
      <c r="P504" s="85" t="str">
        <f>IF($B504="","",IF(IFERROR(INDEX('RAID Log'!$1:$1048576,$B504,MATCH("Mitigation Strategy",'RAID Log'!$1:$1,0)),"")="","",IFERROR(INDEX('RAID Log'!$1:$1048576,$B504,MATCH("Mitigation Strategy",'RAID Log'!$1:$1,0)),"")))</f>
        <v/>
      </c>
      <c r="Q504" s="88" t="str">
        <f>IF($B504="","",IF(IFERROR(INDEX('RAID Log'!$1:$1048576,$B504,MATCH("RAID Response/Plan",'RAID Log'!$1:$1,0)),"")="","",IFERROR(INDEX('RAID Log'!$1:$1048576,$B504,MATCH("RAID Response/Plan",'RAID Log'!$1:$1,0)),"")))</f>
        <v/>
      </c>
    </row>
    <row r="505" spans="1:17" ht="14.25" customHeight="1">
      <c r="A505" s="82" t="str">
        <f>IF($B505="","",IF(IFERROR(INDEX('RAID Log'!$1:$1048576,$B505,MATCH("RAID ID",'RAID Log'!$1:$1,0)),"")="","",IFERROR(INDEX('RAID Log'!$1:$1048576,$B505,MATCH("RAID ID",'RAID Log'!$1:$1,0)),"")))</f>
        <v/>
      </c>
      <c r="B505" s="83" t="str">
        <f>IFERROR(MATCH(ROW()-1,'RAID Log'!$S:$S,0),"")</f>
        <v/>
      </c>
      <c r="C505" s="84" t="str">
        <f>IF($B505="","",IF(IFERROR(INDEX('RAID Log'!$1:$1048576,$B505,MATCH("Description",'RAID Log'!$1:$1,0)),"")="","",IFERROR(INDEX('RAID Log'!$1:$1048576,$B505,MATCH("Description",'RAID Log'!$1:$1,0)),"")))</f>
        <v/>
      </c>
      <c r="D505" s="84" t="str">
        <f>IF($B505="","",IF(IFERROR(INDEX('RAID Log'!$1:$1048576,$B505,MATCH("Impact/Effect of the RAID",'RAID Log'!$1:$1,0)),"")="","",IFERROR(INDEX('RAID Log'!$1:$1048576,$B505,MATCH("Impact/Effect of the RAID",'RAID Log'!$1:$1,0)),"")))</f>
        <v/>
      </c>
      <c r="E505" s="85" t="str">
        <f>IF($B505="","",IF(IFERROR(INDEX('RAID Log'!$1:$1048576,$B505,MATCH("Impact Area",'RAID Log'!$1:$1,0)),"")="","",IFERROR(INDEX('RAID Log'!$1:$1048576,$B505,MATCH("Impact Area",'RAID Log'!$1:$1,0)),"")))</f>
        <v/>
      </c>
      <c r="F505" s="85" t="str">
        <f>IF($B505="","",IF(IFERROR(INDEX('RAID Log'!$1:$1048576,$B505,MATCH("Impact Area",'RAID Log'!$1:$1,0)),"")="","",IFERROR(INDEX('RAID Log'!$1:$1048576,$B505,MATCH("Impact Area",'RAID Log'!$1:$1,0)),"")))</f>
        <v/>
      </c>
      <c r="G505" s="85" t="str">
        <f>IF($B505="","",IF(IFERROR(INDEX('RAID Log'!$1:$1048576,$B505,MATCH("Impact Rating",'RAID Log'!$1:$1,0)),"")="","",IFERROR(INDEX('RAID Log'!$1:$1048576,$B505,MATCH("Impact Rating",'RAID Log'!$1:$1,0)),"")))</f>
        <v/>
      </c>
      <c r="H505" s="85" t="str">
        <f>IF($B505="","",IF(IFERROR(INDEX('RAID Log'!$1:$1048576,$B505,MATCH("Initial Probability",'RAID Log'!$1:$1,0)),"")="","",IFERROR(INDEX('RAID Log'!$1:$1048576,$B505,MATCH("Initial Probability",'RAID Log'!$1:$1,0)),"")))</f>
        <v/>
      </c>
      <c r="I505" s="86" t="str">
        <f t="shared" si="21"/>
        <v/>
      </c>
      <c r="J505" s="85" t="str">
        <f t="shared" si="22"/>
        <v/>
      </c>
      <c r="K505" s="86" t="str">
        <f t="shared" si="23"/>
        <v/>
      </c>
      <c r="L505" s="85" t="str">
        <f>IF($B505="","",IF(IFERROR(INDEX('RAID Log'!$1:$1048576,$B505,MATCH("Status",'RAID Log'!$1:$1,0)),"")="","",IFERROR(INDEX('RAID Log'!$1:$1048576,$B505,MATCH("Status",'RAID Log'!$1:$1,0)),"")))</f>
        <v/>
      </c>
      <c r="M505" s="85" t="str">
        <f>IF($B505="","",IF(IFERROR(INDEX('RAID Log'!$1:$1048576,$B505,MATCH("RAID Owner",'RAID Log'!$1:$1,0)),"")="","",IFERROR(INDEX('RAID Log'!$1:$1048576,$B505,MATCH("RAID Owner",'RAID Log'!$1:$1,0)),"")))</f>
        <v/>
      </c>
      <c r="N505" s="87" t="str">
        <f>IF($B505="","",IF(IFERROR(INDEX('RAID Log'!$1:$1048576,$B505,MATCH("Date Raised",'RAID Log'!$1:$1,0)),"")="","",IFERROR(INDEX('RAID Log'!$1:$1048576,$B505,MATCH("Date Raised",'RAID Log'!$1:$1,0)),"")))</f>
        <v/>
      </c>
      <c r="O505" s="87" t="str">
        <f>IF($B505="","",IF(IFERROR(INDEX('RAID Log'!$1:$1048576,$B505,MATCH("Closed Date",'RAID Log'!$1:$1,0)),"")="","",IFERROR(INDEX('RAID Log'!$1:$1048576,$B505,MATCH("Closed Date",'RAID Log'!$1:$1,0)),"")))</f>
        <v/>
      </c>
      <c r="P505" s="85" t="str">
        <f>IF($B505="","",IF(IFERROR(INDEX('RAID Log'!$1:$1048576,$B505,MATCH("Mitigation Strategy",'RAID Log'!$1:$1,0)),"")="","",IFERROR(INDEX('RAID Log'!$1:$1048576,$B505,MATCH("Mitigation Strategy",'RAID Log'!$1:$1,0)),"")))</f>
        <v/>
      </c>
      <c r="Q505" s="88" t="str">
        <f>IF($B505="","",IF(IFERROR(INDEX('RAID Log'!$1:$1048576,$B505,MATCH("RAID Response/Plan",'RAID Log'!$1:$1,0)),"")="","",IFERROR(INDEX('RAID Log'!$1:$1048576,$B505,MATCH("RAID Response/Plan",'RAID Log'!$1:$1,0)),"")))</f>
        <v/>
      </c>
    </row>
    <row r="506" spans="1:17" ht="14.25" customHeight="1">
      <c r="A506" s="82" t="str">
        <f>IF($B506="","",IF(IFERROR(INDEX('RAID Log'!$1:$1048576,$B506,MATCH("RAID ID",'RAID Log'!$1:$1,0)),"")="","",IFERROR(INDEX('RAID Log'!$1:$1048576,$B506,MATCH("RAID ID",'RAID Log'!$1:$1,0)),"")))</f>
        <v/>
      </c>
      <c r="B506" s="83" t="str">
        <f>IFERROR(MATCH(ROW()-1,'RAID Log'!$S:$S,0),"")</f>
        <v/>
      </c>
      <c r="C506" s="84" t="str">
        <f>IF($B506="","",IF(IFERROR(INDEX('RAID Log'!$1:$1048576,$B506,MATCH("Description",'RAID Log'!$1:$1,0)),"")="","",IFERROR(INDEX('RAID Log'!$1:$1048576,$B506,MATCH("Description",'RAID Log'!$1:$1,0)),"")))</f>
        <v/>
      </c>
      <c r="D506" s="84" t="str">
        <f>IF($B506="","",IF(IFERROR(INDEX('RAID Log'!$1:$1048576,$B506,MATCH("Impact/Effect of the RAID",'RAID Log'!$1:$1,0)),"")="","",IFERROR(INDEX('RAID Log'!$1:$1048576,$B506,MATCH("Impact/Effect of the RAID",'RAID Log'!$1:$1,0)),"")))</f>
        <v/>
      </c>
      <c r="E506" s="85" t="str">
        <f>IF($B506="","",IF(IFERROR(INDEX('RAID Log'!$1:$1048576,$B506,MATCH("Impact Area",'RAID Log'!$1:$1,0)),"")="","",IFERROR(INDEX('RAID Log'!$1:$1048576,$B506,MATCH("Impact Area",'RAID Log'!$1:$1,0)),"")))</f>
        <v/>
      </c>
      <c r="F506" s="85" t="str">
        <f>IF($B506="","",IF(IFERROR(INDEX('RAID Log'!$1:$1048576,$B506,MATCH("Impact Area",'RAID Log'!$1:$1,0)),"")="","",IFERROR(INDEX('RAID Log'!$1:$1048576,$B506,MATCH("Impact Area",'RAID Log'!$1:$1,0)),"")))</f>
        <v/>
      </c>
      <c r="G506" s="85" t="str">
        <f>IF($B506="","",IF(IFERROR(INDEX('RAID Log'!$1:$1048576,$B506,MATCH("Impact Rating",'RAID Log'!$1:$1,0)),"")="","",IFERROR(INDEX('RAID Log'!$1:$1048576,$B506,MATCH("Impact Rating",'RAID Log'!$1:$1,0)),"")))</f>
        <v/>
      </c>
      <c r="H506" s="85" t="str">
        <f>IF($B506="","",IF(IFERROR(INDEX('RAID Log'!$1:$1048576,$B506,MATCH("Initial Probability",'RAID Log'!$1:$1,0)),"")="","",IFERROR(INDEX('RAID Log'!$1:$1048576,$B506,MATCH("Initial Probability",'RAID Log'!$1:$1,0)),"")))</f>
        <v/>
      </c>
      <c r="I506" s="86" t="str">
        <f t="shared" si="21"/>
        <v/>
      </c>
      <c r="J506" s="85" t="str">
        <f t="shared" si="22"/>
        <v/>
      </c>
      <c r="K506" s="86" t="str">
        <f t="shared" si="23"/>
        <v/>
      </c>
      <c r="L506" s="85" t="str">
        <f>IF($B506="","",IF(IFERROR(INDEX('RAID Log'!$1:$1048576,$B506,MATCH("Status",'RAID Log'!$1:$1,0)),"")="","",IFERROR(INDEX('RAID Log'!$1:$1048576,$B506,MATCH("Status",'RAID Log'!$1:$1,0)),"")))</f>
        <v/>
      </c>
      <c r="M506" s="85" t="str">
        <f>IF($B506="","",IF(IFERROR(INDEX('RAID Log'!$1:$1048576,$B506,MATCH("RAID Owner",'RAID Log'!$1:$1,0)),"")="","",IFERROR(INDEX('RAID Log'!$1:$1048576,$B506,MATCH("RAID Owner",'RAID Log'!$1:$1,0)),"")))</f>
        <v/>
      </c>
      <c r="N506" s="87" t="str">
        <f>IF($B506="","",IF(IFERROR(INDEX('RAID Log'!$1:$1048576,$B506,MATCH("Date Raised",'RAID Log'!$1:$1,0)),"")="","",IFERROR(INDEX('RAID Log'!$1:$1048576,$B506,MATCH("Date Raised",'RAID Log'!$1:$1,0)),"")))</f>
        <v/>
      </c>
      <c r="O506" s="87" t="str">
        <f>IF($B506="","",IF(IFERROR(INDEX('RAID Log'!$1:$1048576,$B506,MATCH("Closed Date",'RAID Log'!$1:$1,0)),"")="","",IFERROR(INDEX('RAID Log'!$1:$1048576,$B506,MATCH("Closed Date",'RAID Log'!$1:$1,0)),"")))</f>
        <v/>
      </c>
      <c r="P506" s="85" t="str">
        <f>IF($B506="","",IF(IFERROR(INDEX('RAID Log'!$1:$1048576,$B506,MATCH("Mitigation Strategy",'RAID Log'!$1:$1,0)),"")="","",IFERROR(INDEX('RAID Log'!$1:$1048576,$B506,MATCH("Mitigation Strategy",'RAID Log'!$1:$1,0)),"")))</f>
        <v/>
      </c>
      <c r="Q506" s="88" t="str">
        <f>IF($B506="","",IF(IFERROR(INDEX('RAID Log'!$1:$1048576,$B506,MATCH("RAID Response/Plan",'RAID Log'!$1:$1,0)),"")="","",IFERROR(INDEX('RAID Log'!$1:$1048576,$B506,MATCH("RAID Response/Plan",'RAID Log'!$1:$1,0)),"")))</f>
        <v/>
      </c>
    </row>
    <row r="507" spans="1:17" ht="14.25" customHeight="1">
      <c r="A507" s="82" t="str">
        <f>IF($B507="","",IF(IFERROR(INDEX('RAID Log'!$1:$1048576,$B507,MATCH("RAID ID",'RAID Log'!$1:$1,0)),"")="","",IFERROR(INDEX('RAID Log'!$1:$1048576,$B507,MATCH("RAID ID",'RAID Log'!$1:$1,0)),"")))</f>
        <v/>
      </c>
      <c r="B507" s="83" t="str">
        <f>IFERROR(MATCH(ROW()-1,'RAID Log'!$S:$S,0),"")</f>
        <v/>
      </c>
      <c r="C507" s="84" t="str">
        <f>IF($B507="","",IF(IFERROR(INDEX('RAID Log'!$1:$1048576,$B507,MATCH("Description",'RAID Log'!$1:$1,0)),"")="","",IFERROR(INDEX('RAID Log'!$1:$1048576,$B507,MATCH("Description",'RAID Log'!$1:$1,0)),"")))</f>
        <v/>
      </c>
      <c r="D507" s="84" t="str">
        <f>IF($B507="","",IF(IFERROR(INDEX('RAID Log'!$1:$1048576,$B507,MATCH("Impact/Effect of the RAID",'RAID Log'!$1:$1,0)),"")="","",IFERROR(INDEX('RAID Log'!$1:$1048576,$B507,MATCH("Impact/Effect of the RAID",'RAID Log'!$1:$1,0)),"")))</f>
        <v/>
      </c>
      <c r="E507" s="85" t="str">
        <f>IF($B507="","",IF(IFERROR(INDEX('RAID Log'!$1:$1048576,$B507,MATCH("Impact Area",'RAID Log'!$1:$1,0)),"")="","",IFERROR(INDEX('RAID Log'!$1:$1048576,$B507,MATCH("Impact Area",'RAID Log'!$1:$1,0)),"")))</f>
        <v/>
      </c>
      <c r="F507" s="85" t="str">
        <f>IF($B507="","",IF(IFERROR(INDEX('RAID Log'!$1:$1048576,$B507,MATCH("Impact Area",'RAID Log'!$1:$1,0)),"")="","",IFERROR(INDEX('RAID Log'!$1:$1048576,$B507,MATCH("Impact Area",'RAID Log'!$1:$1,0)),"")))</f>
        <v/>
      </c>
      <c r="G507" s="85" t="str">
        <f>IF($B507="","",IF(IFERROR(INDEX('RAID Log'!$1:$1048576,$B507,MATCH("Impact Rating",'RAID Log'!$1:$1,0)),"")="","",IFERROR(INDEX('RAID Log'!$1:$1048576,$B507,MATCH("Impact Rating",'RAID Log'!$1:$1,0)),"")))</f>
        <v/>
      </c>
      <c r="H507" s="85" t="str">
        <f>IF($B507="","",IF(IFERROR(INDEX('RAID Log'!$1:$1048576,$B507,MATCH("Initial Probability",'RAID Log'!$1:$1,0)),"")="","",IFERROR(INDEX('RAID Log'!$1:$1048576,$B507,MATCH("Initial Probability",'RAID Log'!$1:$1,0)),"")))</f>
        <v/>
      </c>
      <c r="I507" s="86" t="str">
        <f t="shared" si="21"/>
        <v/>
      </c>
      <c r="J507" s="85" t="str">
        <f t="shared" si="22"/>
        <v/>
      </c>
      <c r="K507" s="86" t="str">
        <f t="shared" si="23"/>
        <v/>
      </c>
      <c r="L507" s="85" t="str">
        <f>IF($B507="","",IF(IFERROR(INDEX('RAID Log'!$1:$1048576,$B507,MATCH("Status",'RAID Log'!$1:$1,0)),"")="","",IFERROR(INDEX('RAID Log'!$1:$1048576,$B507,MATCH("Status",'RAID Log'!$1:$1,0)),"")))</f>
        <v/>
      </c>
      <c r="M507" s="85" t="str">
        <f>IF($B507="","",IF(IFERROR(INDEX('RAID Log'!$1:$1048576,$B507,MATCH("RAID Owner",'RAID Log'!$1:$1,0)),"")="","",IFERROR(INDEX('RAID Log'!$1:$1048576,$B507,MATCH("RAID Owner",'RAID Log'!$1:$1,0)),"")))</f>
        <v/>
      </c>
      <c r="N507" s="87" t="str">
        <f>IF($B507="","",IF(IFERROR(INDEX('RAID Log'!$1:$1048576,$B507,MATCH("Date Raised",'RAID Log'!$1:$1,0)),"")="","",IFERROR(INDEX('RAID Log'!$1:$1048576,$B507,MATCH("Date Raised",'RAID Log'!$1:$1,0)),"")))</f>
        <v/>
      </c>
      <c r="O507" s="87" t="str">
        <f>IF($B507="","",IF(IFERROR(INDEX('RAID Log'!$1:$1048576,$B507,MATCH("Closed Date",'RAID Log'!$1:$1,0)),"")="","",IFERROR(INDEX('RAID Log'!$1:$1048576,$B507,MATCH("Closed Date",'RAID Log'!$1:$1,0)),"")))</f>
        <v/>
      </c>
      <c r="P507" s="85" t="str">
        <f>IF($B507="","",IF(IFERROR(INDEX('RAID Log'!$1:$1048576,$B507,MATCH("Mitigation Strategy",'RAID Log'!$1:$1,0)),"")="","",IFERROR(INDEX('RAID Log'!$1:$1048576,$B507,MATCH("Mitigation Strategy",'RAID Log'!$1:$1,0)),"")))</f>
        <v/>
      </c>
      <c r="Q507" s="88" t="str">
        <f>IF($B507="","",IF(IFERROR(INDEX('RAID Log'!$1:$1048576,$B507,MATCH("RAID Response/Plan",'RAID Log'!$1:$1,0)),"")="","",IFERROR(INDEX('RAID Log'!$1:$1048576,$B507,MATCH("RAID Response/Plan",'RAID Log'!$1:$1,0)),"")))</f>
        <v/>
      </c>
    </row>
    <row r="508" spans="1:17" ht="14.25" customHeight="1">
      <c r="A508" s="82" t="str">
        <f>IF($B508="","",IF(IFERROR(INDEX('RAID Log'!$1:$1048576,$B508,MATCH("RAID ID",'RAID Log'!$1:$1,0)),"")="","",IFERROR(INDEX('RAID Log'!$1:$1048576,$B508,MATCH("RAID ID",'RAID Log'!$1:$1,0)),"")))</f>
        <v/>
      </c>
      <c r="B508" s="83" t="str">
        <f>IFERROR(MATCH(ROW()-1,'RAID Log'!$S:$S,0),"")</f>
        <v/>
      </c>
      <c r="C508" s="84" t="str">
        <f>IF($B508="","",IF(IFERROR(INDEX('RAID Log'!$1:$1048576,$B508,MATCH("Description",'RAID Log'!$1:$1,0)),"")="","",IFERROR(INDEX('RAID Log'!$1:$1048576,$B508,MATCH("Description",'RAID Log'!$1:$1,0)),"")))</f>
        <v/>
      </c>
      <c r="D508" s="84" t="str">
        <f>IF($B508="","",IF(IFERROR(INDEX('RAID Log'!$1:$1048576,$B508,MATCH("Impact/Effect of the RAID",'RAID Log'!$1:$1,0)),"")="","",IFERROR(INDEX('RAID Log'!$1:$1048576,$B508,MATCH("Impact/Effect of the RAID",'RAID Log'!$1:$1,0)),"")))</f>
        <v/>
      </c>
      <c r="E508" s="85" t="str">
        <f>IF($B508="","",IF(IFERROR(INDEX('RAID Log'!$1:$1048576,$B508,MATCH("Impact Area",'RAID Log'!$1:$1,0)),"")="","",IFERROR(INDEX('RAID Log'!$1:$1048576,$B508,MATCH("Impact Area",'RAID Log'!$1:$1,0)),"")))</f>
        <v/>
      </c>
      <c r="F508" s="85" t="str">
        <f>IF($B508="","",IF(IFERROR(INDEX('RAID Log'!$1:$1048576,$B508,MATCH("Impact Area",'RAID Log'!$1:$1,0)),"")="","",IFERROR(INDEX('RAID Log'!$1:$1048576,$B508,MATCH("Impact Area",'RAID Log'!$1:$1,0)),"")))</f>
        <v/>
      </c>
      <c r="G508" s="85" t="str">
        <f>IF($B508="","",IF(IFERROR(INDEX('RAID Log'!$1:$1048576,$B508,MATCH("Impact Rating",'RAID Log'!$1:$1,0)),"")="","",IFERROR(INDEX('RAID Log'!$1:$1048576,$B508,MATCH("Impact Rating",'RAID Log'!$1:$1,0)),"")))</f>
        <v/>
      </c>
      <c r="H508" s="85" t="str">
        <f>IF($B508="","",IF(IFERROR(INDEX('RAID Log'!$1:$1048576,$B508,MATCH("Initial Probability",'RAID Log'!$1:$1,0)),"")="","",IFERROR(INDEX('RAID Log'!$1:$1048576,$B508,MATCH("Initial Probability",'RAID Log'!$1:$1,0)),"")))</f>
        <v/>
      </c>
      <c r="I508" s="86" t="str">
        <f t="shared" si="21"/>
        <v/>
      </c>
      <c r="J508" s="85" t="str">
        <f t="shared" si="22"/>
        <v/>
      </c>
      <c r="K508" s="86" t="str">
        <f t="shared" si="23"/>
        <v/>
      </c>
      <c r="L508" s="85" t="str">
        <f>IF($B508="","",IF(IFERROR(INDEX('RAID Log'!$1:$1048576,$B508,MATCH("Status",'RAID Log'!$1:$1,0)),"")="","",IFERROR(INDEX('RAID Log'!$1:$1048576,$B508,MATCH("Status",'RAID Log'!$1:$1,0)),"")))</f>
        <v/>
      </c>
      <c r="M508" s="85" t="str">
        <f>IF($B508="","",IF(IFERROR(INDEX('RAID Log'!$1:$1048576,$B508,MATCH("RAID Owner",'RAID Log'!$1:$1,0)),"")="","",IFERROR(INDEX('RAID Log'!$1:$1048576,$B508,MATCH("RAID Owner",'RAID Log'!$1:$1,0)),"")))</f>
        <v/>
      </c>
      <c r="N508" s="87" t="str">
        <f>IF($B508="","",IF(IFERROR(INDEX('RAID Log'!$1:$1048576,$B508,MATCH("Date Raised",'RAID Log'!$1:$1,0)),"")="","",IFERROR(INDEX('RAID Log'!$1:$1048576,$B508,MATCH("Date Raised",'RAID Log'!$1:$1,0)),"")))</f>
        <v/>
      </c>
      <c r="O508" s="87" t="str">
        <f>IF($B508="","",IF(IFERROR(INDEX('RAID Log'!$1:$1048576,$B508,MATCH("Closed Date",'RAID Log'!$1:$1,0)),"")="","",IFERROR(INDEX('RAID Log'!$1:$1048576,$B508,MATCH("Closed Date",'RAID Log'!$1:$1,0)),"")))</f>
        <v/>
      </c>
      <c r="P508" s="85" t="str">
        <f>IF($B508="","",IF(IFERROR(INDEX('RAID Log'!$1:$1048576,$B508,MATCH("Mitigation Strategy",'RAID Log'!$1:$1,0)),"")="","",IFERROR(INDEX('RAID Log'!$1:$1048576,$B508,MATCH("Mitigation Strategy",'RAID Log'!$1:$1,0)),"")))</f>
        <v/>
      </c>
      <c r="Q508" s="88" t="str">
        <f>IF($B508="","",IF(IFERROR(INDEX('RAID Log'!$1:$1048576,$B508,MATCH("RAID Response/Plan",'RAID Log'!$1:$1,0)),"")="","",IFERROR(INDEX('RAID Log'!$1:$1048576,$B508,MATCH("RAID Response/Plan",'RAID Log'!$1:$1,0)),"")))</f>
        <v/>
      </c>
    </row>
    <row r="509" spans="1:17" ht="14.25" customHeight="1">
      <c r="A509" s="82" t="str">
        <f>IF($B509="","",IF(IFERROR(INDEX('RAID Log'!$1:$1048576,$B509,MATCH("RAID ID",'RAID Log'!$1:$1,0)),"")="","",IFERROR(INDEX('RAID Log'!$1:$1048576,$B509,MATCH("RAID ID",'RAID Log'!$1:$1,0)),"")))</f>
        <v/>
      </c>
      <c r="B509" s="83" t="str">
        <f>IFERROR(MATCH(ROW()-1,'RAID Log'!$S:$S,0),"")</f>
        <v/>
      </c>
      <c r="C509" s="84" t="str">
        <f>IF($B509="","",IF(IFERROR(INDEX('RAID Log'!$1:$1048576,$B509,MATCH("Description",'RAID Log'!$1:$1,0)),"")="","",IFERROR(INDEX('RAID Log'!$1:$1048576,$B509,MATCH("Description",'RAID Log'!$1:$1,0)),"")))</f>
        <v/>
      </c>
      <c r="D509" s="84" t="str">
        <f>IF($B509="","",IF(IFERROR(INDEX('RAID Log'!$1:$1048576,$B509,MATCH("Impact/Effect of the RAID",'RAID Log'!$1:$1,0)),"")="","",IFERROR(INDEX('RAID Log'!$1:$1048576,$B509,MATCH("Impact/Effect of the RAID",'RAID Log'!$1:$1,0)),"")))</f>
        <v/>
      </c>
      <c r="E509" s="85" t="str">
        <f>IF($B509="","",IF(IFERROR(INDEX('RAID Log'!$1:$1048576,$B509,MATCH("Impact Area",'RAID Log'!$1:$1,0)),"")="","",IFERROR(INDEX('RAID Log'!$1:$1048576,$B509,MATCH("Impact Area",'RAID Log'!$1:$1,0)),"")))</f>
        <v/>
      </c>
      <c r="F509" s="85" t="str">
        <f>IF($B509="","",IF(IFERROR(INDEX('RAID Log'!$1:$1048576,$B509,MATCH("Impact Area",'RAID Log'!$1:$1,0)),"")="","",IFERROR(INDEX('RAID Log'!$1:$1048576,$B509,MATCH("Impact Area",'RAID Log'!$1:$1,0)),"")))</f>
        <v/>
      </c>
      <c r="G509" s="85" t="str">
        <f>IF($B509="","",IF(IFERROR(INDEX('RAID Log'!$1:$1048576,$B509,MATCH("Impact Rating",'RAID Log'!$1:$1,0)),"")="","",IFERROR(INDEX('RAID Log'!$1:$1048576,$B509,MATCH("Impact Rating",'RAID Log'!$1:$1,0)),"")))</f>
        <v/>
      </c>
      <c r="H509" s="85" t="str">
        <f>IF($B509="","",IF(IFERROR(INDEX('RAID Log'!$1:$1048576,$B509,MATCH("Initial Probability",'RAID Log'!$1:$1,0)),"")="","",IFERROR(INDEX('RAID Log'!$1:$1048576,$B509,MATCH("Initial Probability",'RAID Log'!$1:$1,0)),"")))</f>
        <v/>
      </c>
      <c r="I509" s="86" t="str">
        <f t="shared" si="21"/>
        <v/>
      </c>
      <c r="J509" s="85" t="str">
        <f t="shared" si="22"/>
        <v/>
      </c>
      <c r="K509" s="86" t="str">
        <f t="shared" si="23"/>
        <v/>
      </c>
      <c r="L509" s="85" t="str">
        <f>IF($B509="","",IF(IFERROR(INDEX('RAID Log'!$1:$1048576,$B509,MATCH("Status",'RAID Log'!$1:$1,0)),"")="","",IFERROR(INDEX('RAID Log'!$1:$1048576,$B509,MATCH("Status",'RAID Log'!$1:$1,0)),"")))</f>
        <v/>
      </c>
      <c r="M509" s="85" t="str">
        <f>IF($B509="","",IF(IFERROR(INDEX('RAID Log'!$1:$1048576,$B509,MATCH("RAID Owner",'RAID Log'!$1:$1,0)),"")="","",IFERROR(INDEX('RAID Log'!$1:$1048576,$B509,MATCH("RAID Owner",'RAID Log'!$1:$1,0)),"")))</f>
        <v/>
      </c>
      <c r="N509" s="87" t="str">
        <f>IF($B509="","",IF(IFERROR(INDEX('RAID Log'!$1:$1048576,$B509,MATCH("Date Raised",'RAID Log'!$1:$1,0)),"")="","",IFERROR(INDEX('RAID Log'!$1:$1048576,$B509,MATCH("Date Raised",'RAID Log'!$1:$1,0)),"")))</f>
        <v/>
      </c>
      <c r="O509" s="87" t="str">
        <f>IF($B509="","",IF(IFERROR(INDEX('RAID Log'!$1:$1048576,$B509,MATCH("Closed Date",'RAID Log'!$1:$1,0)),"")="","",IFERROR(INDEX('RAID Log'!$1:$1048576,$B509,MATCH("Closed Date",'RAID Log'!$1:$1,0)),"")))</f>
        <v/>
      </c>
      <c r="P509" s="85" t="str">
        <f>IF($B509="","",IF(IFERROR(INDEX('RAID Log'!$1:$1048576,$B509,MATCH("Mitigation Strategy",'RAID Log'!$1:$1,0)),"")="","",IFERROR(INDEX('RAID Log'!$1:$1048576,$B509,MATCH("Mitigation Strategy",'RAID Log'!$1:$1,0)),"")))</f>
        <v/>
      </c>
      <c r="Q509" s="88" t="str">
        <f>IF($B509="","",IF(IFERROR(INDEX('RAID Log'!$1:$1048576,$B509,MATCH("RAID Response/Plan",'RAID Log'!$1:$1,0)),"")="","",IFERROR(INDEX('RAID Log'!$1:$1048576,$B509,MATCH("RAID Response/Plan",'RAID Log'!$1:$1,0)),"")))</f>
        <v/>
      </c>
    </row>
    <row r="510" spans="1:17" ht="14.25" customHeight="1">
      <c r="A510" s="82" t="str">
        <f>IF($B510="","",IF(IFERROR(INDEX('RAID Log'!$1:$1048576,$B510,MATCH("RAID ID",'RAID Log'!$1:$1,0)),"")="","",IFERROR(INDEX('RAID Log'!$1:$1048576,$B510,MATCH("RAID ID",'RAID Log'!$1:$1,0)),"")))</f>
        <v/>
      </c>
      <c r="B510" s="83" t="str">
        <f>IFERROR(MATCH(ROW()-1,'RAID Log'!$S:$S,0),"")</f>
        <v/>
      </c>
      <c r="C510" s="84" t="str">
        <f>IF($B510="","",IF(IFERROR(INDEX('RAID Log'!$1:$1048576,$B510,MATCH("Description",'RAID Log'!$1:$1,0)),"")="","",IFERROR(INDEX('RAID Log'!$1:$1048576,$B510,MATCH("Description",'RAID Log'!$1:$1,0)),"")))</f>
        <v/>
      </c>
      <c r="D510" s="84" t="str">
        <f>IF($B510="","",IF(IFERROR(INDEX('RAID Log'!$1:$1048576,$B510,MATCH("Impact/Effect of the RAID",'RAID Log'!$1:$1,0)),"")="","",IFERROR(INDEX('RAID Log'!$1:$1048576,$B510,MATCH("Impact/Effect of the RAID",'RAID Log'!$1:$1,0)),"")))</f>
        <v/>
      </c>
      <c r="E510" s="85" t="str">
        <f>IF($B510="","",IF(IFERROR(INDEX('RAID Log'!$1:$1048576,$B510,MATCH("Impact Area",'RAID Log'!$1:$1,0)),"")="","",IFERROR(INDEX('RAID Log'!$1:$1048576,$B510,MATCH("Impact Area",'RAID Log'!$1:$1,0)),"")))</f>
        <v/>
      </c>
      <c r="F510" s="85" t="str">
        <f>IF($B510="","",IF(IFERROR(INDEX('RAID Log'!$1:$1048576,$B510,MATCH("Impact Area",'RAID Log'!$1:$1,0)),"")="","",IFERROR(INDEX('RAID Log'!$1:$1048576,$B510,MATCH("Impact Area",'RAID Log'!$1:$1,0)),"")))</f>
        <v/>
      </c>
      <c r="G510" s="85" t="str">
        <f>IF($B510="","",IF(IFERROR(INDEX('RAID Log'!$1:$1048576,$B510,MATCH("Impact Rating",'RAID Log'!$1:$1,0)),"")="","",IFERROR(INDEX('RAID Log'!$1:$1048576,$B510,MATCH("Impact Rating",'RAID Log'!$1:$1,0)),"")))</f>
        <v/>
      </c>
      <c r="H510" s="85" t="str">
        <f>IF($B510="","",IF(IFERROR(INDEX('RAID Log'!$1:$1048576,$B510,MATCH("Initial Probability",'RAID Log'!$1:$1,0)),"")="","",IFERROR(INDEX('RAID Log'!$1:$1048576,$B510,MATCH("Initial Probability",'RAID Log'!$1:$1,0)),"")))</f>
        <v/>
      </c>
      <c r="I510" s="86" t="str">
        <f t="shared" si="21"/>
        <v/>
      </c>
      <c r="J510" s="85" t="str">
        <f t="shared" si="22"/>
        <v/>
      </c>
      <c r="K510" s="86" t="str">
        <f t="shared" si="23"/>
        <v/>
      </c>
      <c r="L510" s="85" t="str">
        <f>IF($B510="","",IF(IFERROR(INDEX('RAID Log'!$1:$1048576,$B510,MATCH("Status",'RAID Log'!$1:$1,0)),"")="","",IFERROR(INDEX('RAID Log'!$1:$1048576,$B510,MATCH("Status",'RAID Log'!$1:$1,0)),"")))</f>
        <v/>
      </c>
      <c r="M510" s="85" t="str">
        <f>IF($B510="","",IF(IFERROR(INDEX('RAID Log'!$1:$1048576,$B510,MATCH("RAID Owner",'RAID Log'!$1:$1,0)),"")="","",IFERROR(INDEX('RAID Log'!$1:$1048576,$B510,MATCH("RAID Owner",'RAID Log'!$1:$1,0)),"")))</f>
        <v/>
      </c>
      <c r="N510" s="87" t="str">
        <f>IF($B510="","",IF(IFERROR(INDEX('RAID Log'!$1:$1048576,$B510,MATCH("Date Raised",'RAID Log'!$1:$1,0)),"")="","",IFERROR(INDEX('RAID Log'!$1:$1048576,$B510,MATCH("Date Raised",'RAID Log'!$1:$1,0)),"")))</f>
        <v/>
      </c>
      <c r="O510" s="87" t="str">
        <f>IF($B510="","",IF(IFERROR(INDEX('RAID Log'!$1:$1048576,$B510,MATCH("Closed Date",'RAID Log'!$1:$1,0)),"")="","",IFERROR(INDEX('RAID Log'!$1:$1048576,$B510,MATCH("Closed Date",'RAID Log'!$1:$1,0)),"")))</f>
        <v/>
      </c>
      <c r="P510" s="85" t="str">
        <f>IF($B510="","",IF(IFERROR(INDEX('RAID Log'!$1:$1048576,$B510,MATCH("Mitigation Strategy",'RAID Log'!$1:$1,0)),"")="","",IFERROR(INDEX('RAID Log'!$1:$1048576,$B510,MATCH("Mitigation Strategy",'RAID Log'!$1:$1,0)),"")))</f>
        <v/>
      </c>
      <c r="Q510" s="88" t="str">
        <f>IF($B510="","",IF(IFERROR(INDEX('RAID Log'!$1:$1048576,$B510,MATCH("RAID Response/Plan",'RAID Log'!$1:$1,0)),"")="","",IFERROR(INDEX('RAID Log'!$1:$1048576,$B510,MATCH("RAID Response/Plan",'RAID Log'!$1:$1,0)),"")))</f>
        <v/>
      </c>
    </row>
    <row r="511" spans="1:17" ht="14.25" customHeight="1">
      <c r="A511" s="82" t="str">
        <f>IF($B511="","",IF(IFERROR(INDEX('RAID Log'!$1:$1048576,$B511,MATCH("RAID ID",'RAID Log'!$1:$1,0)),"")="","",IFERROR(INDEX('RAID Log'!$1:$1048576,$B511,MATCH("RAID ID",'RAID Log'!$1:$1,0)),"")))</f>
        <v/>
      </c>
      <c r="B511" s="83" t="str">
        <f>IFERROR(MATCH(ROW()-1,'RAID Log'!$S:$S,0),"")</f>
        <v/>
      </c>
      <c r="C511" s="84" t="str">
        <f>IF($B511="","",IF(IFERROR(INDEX('RAID Log'!$1:$1048576,$B511,MATCH("Description",'RAID Log'!$1:$1,0)),"")="","",IFERROR(INDEX('RAID Log'!$1:$1048576,$B511,MATCH("Description",'RAID Log'!$1:$1,0)),"")))</f>
        <v/>
      </c>
      <c r="D511" s="84" t="str">
        <f>IF($B511="","",IF(IFERROR(INDEX('RAID Log'!$1:$1048576,$B511,MATCH("Impact/Effect of the RAID",'RAID Log'!$1:$1,0)),"")="","",IFERROR(INDEX('RAID Log'!$1:$1048576,$B511,MATCH("Impact/Effect of the RAID",'RAID Log'!$1:$1,0)),"")))</f>
        <v/>
      </c>
      <c r="E511" s="85" t="str">
        <f>IF($B511="","",IF(IFERROR(INDEX('RAID Log'!$1:$1048576,$B511,MATCH("Impact Area",'RAID Log'!$1:$1,0)),"")="","",IFERROR(INDEX('RAID Log'!$1:$1048576,$B511,MATCH("Impact Area",'RAID Log'!$1:$1,0)),"")))</f>
        <v/>
      </c>
      <c r="F511" s="85" t="str">
        <f>IF($B511="","",IF(IFERROR(INDEX('RAID Log'!$1:$1048576,$B511,MATCH("Impact Area",'RAID Log'!$1:$1,0)),"")="","",IFERROR(INDEX('RAID Log'!$1:$1048576,$B511,MATCH("Impact Area",'RAID Log'!$1:$1,0)),"")))</f>
        <v/>
      </c>
      <c r="G511" s="85" t="str">
        <f>IF($B511="","",IF(IFERROR(INDEX('RAID Log'!$1:$1048576,$B511,MATCH("Impact Rating",'RAID Log'!$1:$1,0)),"")="","",IFERROR(INDEX('RAID Log'!$1:$1048576,$B511,MATCH("Impact Rating",'RAID Log'!$1:$1,0)),"")))</f>
        <v/>
      </c>
      <c r="H511" s="85" t="str">
        <f>IF($B511="","",IF(IFERROR(INDEX('RAID Log'!$1:$1048576,$B511,MATCH("Initial Probability",'RAID Log'!$1:$1,0)),"")="","",IFERROR(INDEX('RAID Log'!$1:$1048576,$B511,MATCH("Initial Probability",'RAID Log'!$1:$1,0)),"")))</f>
        <v/>
      </c>
      <c r="I511" s="86" t="str">
        <f t="shared" si="21"/>
        <v/>
      </c>
      <c r="J511" s="85" t="str">
        <f t="shared" si="22"/>
        <v/>
      </c>
      <c r="K511" s="86" t="str">
        <f t="shared" si="23"/>
        <v/>
      </c>
      <c r="L511" s="85" t="str">
        <f>IF($B511="","",IF(IFERROR(INDEX('RAID Log'!$1:$1048576,$B511,MATCH("Status",'RAID Log'!$1:$1,0)),"")="","",IFERROR(INDEX('RAID Log'!$1:$1048576,$B511,MATCH("Status",'RAID Log'!$1:$1,0)),"")))</f>
        <v/>
      </c>
      <c r="M511" s="85" t="str">
        <f>IF($B511="","",IF(IFERROR(INDEX('RAID Log'!$1:$1048576,$B511,MATCH("RAID Owner",'RAID Log'!$1:$1,0)),"")="","",IFERROR(INDEX('RAID Log'!$1:$1048576,$B511,MATCH("RAID Owner",'RAID Log'!$1:$1,0)),"")))</f>
        <v/>
      </c>
      <c r="N511" s="87" t="str">
        <f>IF($B511="","",IF(IFERROR(INDEX('RAID Log'!$1:$1048576,$B511,MATCH("Date Raised",'RAID Log'!$1:$1,0)),"")="","",IFERROR(INDEX('RAID Log'!$1:$1048576,$B511,MATCH("Date Raised",'RAID Log'!$1:$1,0)),"")))</f>
        <v/>
      </c>
      <c r="O511" s="87" t="str">
        <f>IF($B511="","",IF(IFERROR(INDEX('RAID Log'!$1:$1048576,$B511,MATCH("Closed Date",'RAID Log'!$1:$1,0)),"")="","",IFERROR(INDEX('RAID Log'!$1:$1048576,$B511,MATCH("Closed Date",'RAID Log'!$1:$1,0)),"")))</f>
        <v/>
      </c>
      <c r="P511" s="85" t="str">
        <f>IF($B511="","",IF(IFERROR(INDEX('RAID Log'!$1:$1048576,$B511,MATCH("Mitigation Strategy",'RAID Log'!$1:$1,0)),"")="","",IFERROR(INDEX('RAID Log'!$1:$1048576,$B511,MATCH("Mitigation Strategy",'RAID Log'!$1:$1,0)),"")))</f>
        <v/>
      </c>
      <c r="Q511" s="88" t="str">
        <f>IF($B511="","",IF(IFERROR(INDEX('RAID Log'!$1:$1048576,$B511,MATCH("RAID Response/Plan",'RAID Log'!$1:$1,0)),"")="","",IFERROR(INDEX('RAID Log'!$1:$1048576,$B511,MATCH("RAID Response/Plan",'RAID Log'!$1:$1,0)),"")))</f>
        <v/>
      </c>
    </row>
    <row r="512" spans="1:17" ht="14.25" customHeight="1">
      <c r="A512" s="82" t="str">
        <f>IF($B512="","",IF(IFERROR(INDEX('RAID Log'!$1:$1048576,$B512,MATCH("RAID ID",'RAID Log'!$1:$1,0)),"")="","",IFERROR(INDEX('RAID Log'!$1:$1048576,$B512,MATCH("RAID ID",'RAID Log'!$1:$1,0)),"")))</f>
        <v/>
      </c>
      <c r="B512" s="83" t="str">
        <f>IFERROR(MATCH(ROW()-1,'RAID Log'!$S:$S,0),"")</f>
        <v/>
      </c>
      <c r="C512" s="84" t="str">
        <f>IF($B512="","",IF(IFERROR(INDEX('RAID Log'!$1:$1048576,$B512,MATCH("Description",'RAID Log'!$1:$1,0)),"")="","",IFERROR(INDEX('RAID Log'!$1:$1048576,$B512,MATCH("Description",'RAID Log'!$1:$1,0)),"")))</f>
        <v/>
      </c>
      <c r="D512" s="84" t="str">
        <f>IF($B512="","",IF(IFERROR(INDEX('RAID Log'!$1:$1048576,$B512,MATCH("Impact/Effect of the RAID",'RAID Log'!$1:$1,0)),"")="","",IFERROR(INDEX('RAID Log'!$1:$1048576,$B512,MATCH("Impact/Effect of the RAID",'RAID Log'!$1:$1,0)),"")))</f>
        <v/>
      </c>
      <c r="E512" s="85" t="str">
        <f>IF($B512="","",IF(IFERROR(INDEX('RAID Log'!$1:$1048576,$B512,MATCH("Impact Area",'RAID Log'!$1:$1,0)),"")="","",IFERROR(INDEX('RAID Log'!$1:$1048576,$B512,MATCH("Impact Area",'RAID Log'!$1:$1,0)),"")))</f>
        <v/>
      </c>
      <c r="F512" s="85" t="str">
        <f>IF($B512="","",IF(IFERROR(INDEX('RAID Log'!$1:$1048576,$B512,MATCH("Impact Area",'RAID Log'!$1:$1,0)),"")="","",IFERROR(INDEX('RAID Log'!$1:$1048576,$B512,MATCH("Impact Area",'RAID Log'!$1:$1,0)),"")))</f>
        <v/>
      </c>
      <c r="G512" s="85" t="str">
        <f>IF($B512="","",IF(IFERROR(INDEX('RAID Log'!$1:$1048576,$B512,MATCH("Impact Rating",'RAID Log'!$1:$1,0)),"")="","",IFERROR(INDEX('RAID Log'!$1:$1048576,$B512,MATCH("Impact Rating",'RAID Log'!$1:$1,0)),"")))</f>
        <v/>
      </c>
      <c r="H512" s="85" t="str">
        <f>IF($B512="","",IF(IFERROR(INDEX('RAID Log'!$1:$1048576,$B512,MATCH("Initial Probability",'RAID Log'!$1:$1,0)),"")="","",IFERROR(INDEX('RAID Log'!$1:$1048576,$B512,MATCH("Initial Probability",'RAID Log'!$1:$1,0)),"")))</f>
        <v/>
      </c>
      <c r="I512" s="86" t="str">
        <f t="shared" si="21"/>
        <v/>
      </c>
      <c r="J512" s="85" t="str">
        <f t="shared" si="22"/>
        <v/>
      </c>
      <c r="K512" s="86" t="str">
        <f t="shared" si="23"/>
        <v/>
      </c>
      <c r="L512" s="85" t="str">
        <f>IF($B512="","",IF(IFERROR(INDEX('RAID Log'!$1:$1048576,$B512,MATCH("Status",'RAID Log'!$1:$1,0)),"")="","",IFERROR(INDEX('RAID Log'!$1:$1048576,$B512,MATCH("Status",'RAID Log'!$1:$1,0)),"")))</f>
        <v/>
      </c>
      <c r="M512" s="85" t="str">
        <f>IF($B512="","",IF(IFERROR(INDEX('RAID Log'!$1:$1048576,$B512,MATCH("RAID Owner",'RAID Log'!$1:$1,0)),"")="","",IFERROR(INDEX('RAID Log'!$1:$1048576,$B512,MATCH("RAID Owner",'RAID Log'!$1:$1,0)),"")))</f>
        <v/>
      </c>
      <c r="N512" s="87" t="str">
        <f>IF($B512="","",IF(IFERROR(INDEX('RAID Log'!$1:$1048576,$B512,MATCH("Date Raised",'RAID Log'!$1:$1,0)),"")="","",IFERROR(INDEX('RAID Log'!$1:$1048576,$B512,MATCH("Date Raised",'RAID Log'!$1:$1,0)),"")))</f>
        <v/>
      </c>
      <c r="O512" s="87" t="str">
        <f>IF($B512="","",IF(IFERROR(INDEX('RAID Log'!$1:$1048576,$B512,MATCH("Closed Date",'RAID Log'!$1:$1,0)),"")="","",IFERROR(INDEX('RAID Log'!$1:$1048576,$B512,MATCH("Closed Date",'RAID Log'!$1:$1,0)),"")))</f>
        <v/>
      </c>
      <c r="P512" s="85" t="str">
        <f>IF($B512="","",IF(IFERROR(INDEX('RAID Log'!$1:$1048576,$B512,MATCH("Mitigation Strategy",'RAID Log'!$1:$1,0)),"")="","",IFERROR(INDEX('RAID Log'!$1:$1048576,$B512,MATCH("Mitigation Strategy",'RAID Log'!$1:$1,0)),"")))</f>
        <v/>
      </c>
      <c r="Q512" s="88" t="str">
        <f>IF($B512="","",IF(IFERROR(INDEX('RAID Log'!$1:$1048576,$B512,MATCH("RAID Response/Plan",'RAID Log'!$1:$1,0)),"")="","",IFERROR(INDEX('RAID Log'!$1:$1048576,$B512,MATCH("RAID Response/Plan",'RAID Log'!$1:$1,0)),"")))</f>
        <v/>
      </c>
    </row>
    <row r="513" spans="1:17" ht="14.25" customHeight="1">
      <c r="A513" s="82" t="str">
        <f>IF($B513="","",IF(IFERROR(INDEX('RAID Log'!$1:$1048576,$B513,MATCH("RAID ID",'RAID Log'!$1:$1,0)),"")="","",IFERROR(INDEX('RAID Log'!$1:$1048576,$B513,MATCH("RAID ID",'RAID Log'!$1:$1,0)),"")))</f>
        <v/>
      </c>
      <c r="B513" s="83" t="str">
        <f>IFERROR(MATCH(ROW()-1,'RAID Log'!$S:$S,0),"")</f>
        <v/>
      </c>
      <c r="C513" s="84" t="str">
        <f>IF($B513="","",IF(IFERROR(INDEX('RAID Log'!$1:$1048576,$B513,MATCH("Description",'RAID Log'!$1:$1,0)),"")="","",IFERROR(INDEX('RAID Log'!$1:$1048576,$B513,MATCH("Description",'RAID Log'!$1:$1,0)),"")))</f>
        <v/>
      </c>
      <c r="D513" s="84" t="str">
        <f>IF($B513="","",IF(IFERROR(INDEX('RAID Log'!$1:$1048576,$B513,MATCH("Impact/Effect of the RAID",'RAID Log'!$1:$1,0)),"")="","",IFERROR(INDEX('RAID Log'!$1:$1048576,$B513,MATCH("Impact/Effect of the RAID",'RAID Log'!$1:$1,0)),"")))</f>
        <v/>
      </c>
      <c r="E513" s="85" t="str">
        <f>IF($B513="","",IF(IFERROR(INDEX('RAID Log'!$1:$1048576,$B513,MATCH("Impact Area",'RAID Log'!$1:$1,0)),"")="","",IFERROR(INDEX('RAID Log'!$1:$1048576,$B513,MATCH("Impact Area",'RAID Log'!$1:$1,0)),"")))</f>
        <v/>
      </c>
      <c r="F513" s="85" t="str">
        <f>IF($B513="","",IF(IFERROR(INDEX('RAID Log'!$1:$1048576,$B513,MATCH("Impact Area",'RAID Log'!$1:$1,0)),"")="","",IFERROR(INDEX('RAID Log'!$1:$1048576,$B513,MATCH("Impact Area",'RAID Log'!$1:$1,0)),"")))</f>
        <v/>
      </c>
      <c r="G513" s="85" t="str">
        <f>IF($B513="","",IF(IFERROR(INDEX('RAID Log'!$1:$1048576,$B513,MATCH("Impact Rating",'RAID Log'!$1:$1,0)),"")="","",IFERROR(INDEX('RAID Log'!$1:$1048576,$B513,MATCH("Impact Rating",'RAID Log'!$1:$1,0)),"")))</f>
        <v/>
      </c>
      <c r="H513" s="85" t="str">
        <f>IF($B513="","",IF(IFERROR(INDEX('RAID Log'!$1:$1048576,$B513,MATCH("Initial Probability",'RAID Log'!$1:$1,0)),"")="","",IFERROR(INDEX('RAID Log'!$1:$1048576,$B513,MATCH("Initial Probability",'RAID Log'!$1:$1,0)),"")))</f>
        <v/>
      </c>
      <c r="I513" s="86" t="str">
        <f t="shared" si="21"/>
        <v/>
      </c>
      <c r="J513" s="85" t="str">
        <f t="shared" si="22"/>
        <v/>
      </c>
      <c r="K513" s="86" t="str">
        <f t="shared" si="23"/>
        <v/>
      </c>
      <c r="L513" s="85" t="str">
        <f>IF($B513="","",IF(IFERROR(INDEX('RAID Log'!$1:$1048576,$B513,MATCH("Status",'RAID Log'!$1:$1,0)),"")="","",IFERROR(INDEX('RAID Log'!$1:$1048576,$B513,MATCH("Status",'RAID Log'!$1:$1,0)),"")))</f>
        <v/>
      </c>
      <c r="M513" s="85" t="str">
        <f>IF($B513="","",IF(IFERROR(INDEX('RAID Log'!$1:$1048576,$B513,MATCH("RAID Owner",'RAID Log'!$1:$1,0)),"")="","",IFERROR(INDEX('RAID Log'!$1:$1048576,$B513,MATCH("RAID Owner",'RAID Log'!$1:$1,0)),"")))</f>
        <v/>
      </c>
      <c r="N513" s="87" t="str">
        <f>IF($B513="","",IF(IFERROR(INDEX('RAID Log'!$1:$1048576,$B513,MATCH("Date Raised",'RAID Log'!$1:$1,0)),"")="","",IFERROR(INDEX('RAID Log'!$1:$1048576,$B513,MATCH("Date Raised",'RAID Log'!$1:$1,0)),"")))</f>
        <v/>
      </c>
      <c r="O513" s="87" t="str">
        <f>IF($B513="","",IF(IFERROR(INDEX('RAID Log'!$1:$1048576,$B513,MATCH("Closed Date",'RAID Log'!$1:$1,0)),"")="","",IFERROR(INDEX('RAID Log'!$1:$1048576,$B513,MATCH("Closed Date",'RAID Log'!$1:$1,0)),"")))</f>
        <v/>
      </c>
      <c r="P513" s="85" t="str">
        <f>IF($B513="","",IF(IFERROR(INDEX('RAID Log'!$1:$1048576,$B513,MATCH("Mitigation Strategy",'RAID Log'!$1:$1,0)),"")="","",IFERROR(INDEX('RAID Log'!$1:$1048576,$B513,MATCH("Mitigation Strategy",'RAID Log'!$1:$1,0)),"")))</f>
        <v/>
      </c>
      <c r="Q513" s="88" t="str">
        <f>IF($B513="","",IF(IFERROR(INDEX('RAID Log'!$1:$1048576,$B513,MATCH("RAID Response/Plan",'RAID Log'!$1:$1,0)),"")="","",IFERROR(INDEX('RAID Log'!$1:$1048576,$B513,MATCH("RAID Response/Plan",'RAID Log'!$1:$1,0)),"")))</f>
        <v/>
      </c>
    </row>
    <row r="514" spans="1:17" ht="14.25" customHeight="1">
      <c r="A514" s="82" t="str">
        <f>IF($B514="","",IF(IFERROR(INDEX('RAID Log'!$1:$1048576,$B514,MATCH("RAID ID",'RAID Log'!$1:$1,0)),"")="","",IFERROR(INDEX('RAID Log'!$1:$1048576,$B514,MATCH("RAID ID",'RAID Log'!$1:$1,0)),"")))</f>
        <v/>
      </c>
      <c r="B514" s="83" t="str">
        <f>IFERROR(MATCH(ROW()-1,'RAID Log'!$S:$S,0),"")</f>
        <v/>
      </c>
      <c r="C514" s="84" t="str">
        <f>IF($B514="","",IF(IFERROR(INDEX('RAID Log'!$1:$1048576,$B514,MATCH("Description",'RAID Log'!$1:$1,0)),"")="","",IFERROR(INDEX('RAID Log'!$1:$1048576,$B514,MATCH("Description",'RAID Log'!$1:$1,0)),"")))</f>
        <v/>
      </c>
      <c r="D514" s="84" t="str">
        <f>IF($B514="","",IF(IFERROR(INDEX('RAID Log'!$1:$1048576,$B514,MATCH("Impact/Effect of the RAID",'RAID Log'!$1:$1,0)),"")="","",IFERROR(INDEX('RAID Log'!$1:$1048576,$B514,MATCH("Impact/Effect of the RAID",'RAID Log'!$1:$1,0)),"")))</f>
        <v/>
      </c>
      <c r="E514" s="85" t="str">
        <f>IF($B514="","",IF(IFERROR(INDEX('RAID Log'!$1:$1048576,$B514,MATCH("Impact Area",'RAID Log'!$1:$1,0)),"")="","",IFERROR(INDEX('RAID Log'!$1:$1048576,$B514,MATCH("Impact Area",'RAID Log'!$1:$1,0)),"")))</f>
        <v/>
      </c>
      <c r="F514" s="85" t="str">
        <f>IF($B514="","",IF(IFERROR(INDEX('RAID Log'!$1:$1048576,$B514,MATCH("Impact Area",'RAID Log'!$1:$1,0)),"")="","",IFERROR(INDEX('RAID Log'!$1:$1048576,$B514,MATCH("Impact Area",'RAID Log'!$1:$1,0)),"")))</f>
        <v/>
      </c>
      <c r="G514" s="85" t="str">
        <f>IF($B514="","",IF(IFERROR(INDEX('RAID Log'!$1:$1048576,$B514,MATCH("Impact Rating",'RAID Log'!$1:$1,0)),"")="","",IFERROR(INDEX('RAID Log'!$1:$1048576,$B514,MATCH("Impact Rating",'RAID Log'!$1:$1,0)),"")))</f>
        <v/>
      </c>
      <c r="H514" s="85" t="str">
        <f>IF($B514="","",IF(IFERROR(INDEX('RAID Log'!$1:$1048576,$B514,MATCH("Initial Probability",'RAID Log'!$1:$1,0)),"")="","",IFERROR(INDEX('RAID Log'!$1:$1048576,$B514,MATCH("Initial Probability",'RAID Log'!$1:$1,0)),"")))</f>
        <v/>
      </c>
      <c r="I514" s="86" t="str">
        <f t="shared" ref="I514:I577" si="24">IF($B514="","",(IF($G514="Severe",25,IF($G514="Major",20,IF($G514="Moderate",15,IF($G514="Minor",10,IF($G514="Insignificant",5,0))))))*IF($H514="Very High",1,IF($H514="High",0.8,IF($H514="Average",0.6,IF($H514="Low",0.4,IF($H514="Very Low",0.2,0))))))</f>
        <v/>
      </c>
      <c r="J514" s="85" t="str">
        <f t="shared" ref="J514:J577" si="25">IF($B514="","",IF($I514&gt;20,"Critical",IF($I514&gt;15,"High",IF($I514&gt;8,"Moderate",IF($I514&gt;3,"Tolerable","Negligible")))))</f>
        <v/>
      </c>
      <c r="K514" s="86" t="str">
        <f t="shared" ref="K514:K577" si="26">IF(OR($B514="",UPPER($L514)="CLOSED"),"",COUNTIFS($L$2:$L$880,"&lt;&gt;Closed",$I$2:$I$880,"&gt;"&amp;$I514)+COUNTIFS($L$2:$L$880,"&lt;&gt;Closed",$I$2:$I$880,$I514,$N$2:$N$880,"&lt;"&amp;$N514)+COUNTIFS($L$2:$L$880,"&lt;&gt;Closed",$I$2:$I$880,$I514,$N$2:$N$880,$N514,$B$2:$B$880,"&lt;"&amp;$B514)+1)</f>
        <v/>
      </c>
      <c r="L514" s="85" t="str">
        <f>IF($B514="","",IF(IFERROR(INDEX('RAID Log'!$1:$1048576,$B514,MATCH("Status",'RAID Log'!$1:$1,0)),"")="","",IFERROR(INDEX('RAID Log'!$1:$1048576,$B514,MATCH("Status",'RAID Log'!$1:$1,0)),"")))</f>
        <v/>
      </c>
      <c r="M514" s="85" t="str">
        <f>IF($B514="","",IF(IFERROR(INDEX('RAID Log'!$1:$1048576,$B514,MATCH("RAID Owner",'RAID Log'!$1:$1,0)),"")="","",IFERROR(INDEX('RAID Log'!$1:$1048576,$B514,MATCH("RAID Owner",'RAID Log'!$1:$1,0)),"")))</f>
        <v/>
      </c>
      <c r="N514" s="87" t="str">
        <f>IF($B514="","",IF(IFERROR(INDEX('RAID Log'!$1:$1048576,$B514,MATCH("Date Raised",'RAID Log'!$1:$1,0)),"")="","",IFERROR(INDEX('RAID Log'!$1:$1048576,$B514,MATCH("Date Raised",'RAID Log'!$1:$1,0)),"")))</f>
        <v/>
      </c>
      <c r="O514" s="87" t="str">
        <f>IF($B514="","",IF(IFERROR(INDEX('RAID Log'!$1:$1048576,$B514,MATCH("Closed Date",'RAID Log'!$1:$1,0)),"")="","",IFERROR(INDEX('RAID Log'!$1:$1048576,$B514,MATCH("Closed Date",'RAID Log'!$1:$1,0)),"")))</f>
        <v/>
      </c>
      <c r="P514" s="85" t="str">
        <f>IF($B514="","",IF(IFERROR(INDEX('RAID Log'!$1:$1048576,$B514,MATCH("Mitigation Strategy",'RAID Log'!$1:$1,0)),"")="","",IFERROR(INDEX('RAID Log'!$1:$1048576,$B514,MATCH("Mitigation Strategy",'RAID Log'!$1:$1,0)),"")))</f>
        <v/>
      </c>
      <c r="Q514" s="88" t="str">
        <f>IF($B514="","",IF(IFERROR(INDEX('RAID Log'!$1:$1048576,$B514,MATCH("RAID Response/Plan",'RAID Log'!$1:$1,0)),"")="","",IFERROR(INDEX('RAID Log'!$1:$1048576,$B514,MATCH("RAID Response/Plan",'RAID Log'!$1:$1,0)),"")))</f>
        <v/>
      </c>
    </row>
    <row r="515" spans="1:17" ht="14.25" customHeight="1">
      <c r="A515" s="82" t="str">
        <f>IF($B515="","",IF(IFERROR(INDEX('RAID Log'!$1:$1048576,$B515,MATCH("RAID ID",'RAID Log'!$1:$1,0)),"")="","",IFERROR(INDEX('RAID Log'!$1:$1048576,$B515,MATCH("RAID ID",'RAID Log'!$1:$1,0)),"")))</f>
        <v/>
      </c>
      <c r="B515" s="83" t="str">
        <f>IFERROR(MATCH(ROW()-1,'RAID Log'!$S:$S,0),"")</f>
        <v/>
      </c>
      <c r="C515" s="84" t="str">
        <f>IF($B515="","",IF(IFERROR(INDEX('RAID Log'!$1:$1048576,$B515,MATCH("Description",'RAID Log'!$1:$1,0)),"")="","",IFERROR(INDEX('RAID Log'!$1:$1048576,$B515,MATCH("Description",'RAID Log'!$1:$1,0)),"")))</f>
        <v/>
      </c>
      <c r="D515" s="84" t="str">
        <f>IF($B515="","",IF(IFERROR(INDEX('RAID Log'!$1:$1048576,$B515,MATCH("Impact/Effect of the RAID",'RAID Log'!$1:$1,0)),"")="","",IFERROR(INDEX('RAID Log'!$1:$1048576,$B515,MATCH("Impact/Effect of the RAID",'RAID Log'!$1:$1,0)),"")))</f>
        <v/>
      </c>
      <c r="E515" s="85" t="str">
        <f>IF($B515="","",IF(IFERROR(INDEX('RAID Log'!$1:$1048576,$B515,MATCH("Impact Area",'RAID Log'!$1:$1,0)),"")="","",IFERROR(INDEX('RAID Log'!$1:$1048576,$B515,MATCH("Impact Area",'RAID Log'!$1:$1,0)),"")))</f>
        <v/>
      </c>
      <c r="F515" s="85" t="str">
        <f>IF($B515="","",IF(IFERROR(INDEX('RAID Log'!$1:$1048576,$B515,MATCH("Impact Area",'RAID Log'!$1:$1,0)),"")="","",IFERROR(INDEX('RAID Log'!$1:$1048576,$B515,MATCH("Impact Area",'RAID Log'!$1:$1,0)),"")))</f>
        <v/>
      </c>
      <c r="G515" s="85" t="str">
        <f>IF($B515="","",IF(IFERROR(INDEX('RAID Log'!$1:$1048576,$B515,MATCH("Impact Rating",'RAID Log'!$1:$1,0)),"")="","",IFERROR(INDEX('RAID Log'!$1:$1048576,$B515,MATCH("Impact Rating",'RAID Log'!$1:$1,0)),"")))</f>
        <v/>
      </c>
      <c r="H515" s="85" t="str">
        <f>IF($B515="","",IF(IFERROR(INDEX('RAID Log'!$1:$1048576,$B515,MATCH("Initial Probability",'RAID Log'!$1:$1,0)),"")="","",IFERROR(INDEX('RAID Log'!$1:$1048576,$B515,MATCH("Initial Probability",'RAID Log'!$1:$1,0)),"")))</f>
        <v/>
      </c>
      <c r="I515" s="86" t="str">
        <f t="shared" si="24"/>
        <v/>
      </c>
      <c r="J515" s="85" t="str">
        <f t="shared" si="25"/>
        <v/>
      </c>
      <c r="K515" s="86" t="str">
        <f t="shared" si="26"/>
        <v/>
      </c>
      <c r="L515" s="85" t="str">
        <f>IF($B515="","",IF(IFERROR(INDEX('RAID Log'!$1:$1048576,$B515,MATCH("Status",'RAID Log'!$1:$1,0)),"")="","",IFERROR(INDEX('RAID Log'!$1:$1048576,$B515,MATCH("Status",'RAID Log'!$1:$1,0)),"")))</f>
        <v/>
      </c>
      <c r="M515" s="85" t="str">
        <f>IF($B515="","",IF(IFERROR(INDEX('RAID Log'!$1:$1048576,$B515,MATCH("RAID Owner",'RAID Log'!$1:$1,0)),"")="","",IFERROR(INDEX('RAID Log'!$1:$1048576,$B515,MATCH("RAID Owner",'RAID Log'!$1:$1,0)),"")))</f>
        <v/>
      </c>
      <c r="N515" s="87" t="str">
        <f>IF($B515="","",IF(IFERROR(INDEX('RAID Log'!$1:$1048576,$B515,MATCH("Date Raised",'RAID Log'!$1:$1,0)),"")="","",IFERROR(INDEX('RAID Log'!$1:$1048576,$B515,MATCH("Date Raised",'RAID Log'!$1:$1,0)),"")))</f>
        <v/>
      </c>
      <c r="O515" s="87" t="str">
        <f>IF($B515="","",IF(IFERROR(INDEX('RAID Log'!$1:$1048576,$B515,MATCH("Closed Date",'RAID Log'!$1:$1,0)),"")="","",IFERROR(INDEX('RAID Log'!$1:$1048576,$B515,MATCH("Closed Date",'RAID Log'!$1:$1,0)),"")))</f>
        <v/>
      </c>
      <c r="P515" s="85" t="str">
        <f>IF($B515="","",IF(IFERROR(INDEX('RAID Log'!$1:$1048576,$B515,MATCH("Mitigation Strategy",'RAID Log'!$1:$1,0)),"")="","",IFERROR(INDEX('RAID Log'!$1:$1048576,$B515,MATCH("Mitigation Strategy",'RAID Log'!$1:$1,0)),"")))</f>
        <v/>
      </c>
      <c r="Q515" s="88" t="str">
        <f>IF($B515="","",IF(IFERROR(INDEX('RAID Log'!$1:$1048576,$B515,MATCH("RAID Response/Plan",'RAID Log'!$1:$1,0)),"")="","",IFERROR(INDEX('RAID Log'!$1:$1048576,$B515,MATCH("RAID Response/Plan",'RAID Log'!$1:$1,0)),"")))</f>
        <v/>
      </c>
    </row>
    <row r="516" spans="1:17" ht="14.25" customHeight="1">
      <c r="A516" s="82" t="str">
        <f>IF($B516="","",IF(IFERROR(INDEX('RAID Log'!$1:$1048576,$B516,MATCH("RAID ID",'RAID Log'!$1:$1,0)),"")="","",IFERROR(INDEX('RAID Log'!$1:$1048576,$B516,MATCH("RAID ID",'RAID Log'!$1:$1,0)),"")))</f>
        <v/>
      </c>
      <c r="B516" s="83" t="str">
        <f>IFERROR(MATCH(ROW()-1,'RAID Log'!$S:$S,0),"")</f>
        <v/>
      </c>
      <c r="C516" s="84" t="str">
        <f>IF($B516="","",IF(IFERROR(INDEX('RAID Log'!$1:$1048576,$B516,MATCH("Description",'RAID Log'!$1:$1,0)),"")="","",IFERROR(INDEX('RAID Log'!$1:$1048576,$B516,MATCH("Description",'RAID Log'!$1:$1,0)),"")))</f>
        <v/>
      </c>
      <c r="D516" s="84" t="str">
        <f>IF($B516="","",IF(IFERROR(INDEX('RAID Log'!$1:$1048576,$B516,MATCH("Impact/Effect of the RAID",'RAID Log'!$1:$1,0)),"")="","",IFERROR(INDEX('RAID Log'!$1:$1048576,$B516,MATCH("Impact/Effect of the RAID",'RAID Log'!$1:$1,0)),"")))</f>
        <v/>
      </c>
      <c r="E516" s="85" t="str">
        <f>IF($B516="","",IF(IFERROR(INDEX('RAID Log'!$1:$1048576,$B516,MATCH("Impact Area",'RAID Log'!$1:$1,0)),"")="","",IFERROR(INDEX('RAID Log'!$1:$1048576,$B516,MATCH("Impact Area",'RAID Log'!$1:$1,0)),"")))</f>
        <v/>
      </c>
      <c r="F516" s="85" t="str">
        <f>IF($B516="","",IF(IFERROR(INDEX('RAID Log'!$1:$1048576,$B516,MATCH("Impact Area",'RAID Log'!$1:$1,0)),"")="","",IFERROR(INDEX('RAID Log'!$1:$1048576,$B516,MATCH("Impact Area",'RAID Log'!$1:$1,0)),"")))</f>
        <v/>
      </c>
      <c r="G516" s="85" t="str">
        <f>IF($B516="","",IF(IFERROR(INDEX('RAID Log'!$1:$1048576,$B516,MATCH("Impact Rating",'RAID Log'!$1:$1,0)),"")="","",IFERROR(INDEX('RAID Log'!$1:$1048576,$B516,MATCH("Impact Rating",'RAID Log'!$1:$1,0)),"")))</f>
        <v/>
      </c>
      <c r="H516" s="85" t="str">
        <f>IF($B516="","",IF(IFERROR(INDEX('RAID Log'!$1:$1048576,$B516,MATCH("Initial Probability",'RAID Log'!$1:$1,0)),"")="","",IFERROR(INDEX('RAID Log'!$1:$1048576,$B516,MATCH("Initial Probability",'RAID Log'!$1:$1,0)),"")))</f>
        <v/>
      </c>
      <c r="I516" s="86" t="str">
        <f t="shared" si="24"/>
        <v/>
      </c>
      <c r="J516" s="85" t="str">
        <f t="shared" si="25"/>
        <v/>
      </c>
      <c r="K516" s="86" t="str">
        <f t="shared" si="26"/>
        <v/>
      </c>
      <c r="L516" s="85" t="str">
        <f>IF($B516="","",IF(IFERROR(INDEX('RAID Log'!$1:$1048576,$B516,MATCH("Status",'RAID Log'!$1:$1,0)),"")="","",IFERROR(INDEX('RAID Log'!$1:$1048576,$B516,MATCH("Status",'RAID Log'!$1:$1,0)),"")))</f>
        <v/>
      </c>
      <c r="M516" s="85" t="str">
        <f>IF($B516="","",IF(IFERROR(INDEX('RAID Log'!$1:$1048576,$B516,MATCH("RAID Owner",'RAID Log'!$1:$1,0)),"")="","",IFERROR(INDEX('RAID Log'!$1:$1048576,$B516,MATCH("RAID Owner",'RAID Log'!$1:$1,0)),"")))</f>
        <v/>
      </c>
      <c r="N516" s="87" t="str">
        <f>IF($B516="","",IF(IFERROR(INDEX('RAID Log'!$1:$1048576,$B516,MATCH("Date Raised",'RAID Log'!$1:$1,0)),"")="","",IFERROR(INDEX('RAID Log'!$1:$1048576,$B516,MATCH("Date Raised",'RAID Log'!$1:$1,0)),"")))</f>
        <v/>
      </c>
      <c r="O516" s="87" t="str">
        <f>IF($B516="","",IF(IFERROR(INDEX('RAID Log'!$1:$1048576,$B516,MATCH("Closed Date",'RAID Log'!$1:$1,0)),"")="","",IFERROR(INDEX('RAID Log'!$1:$1048576,$B516,MATCH("Closed Date",'RAID Log'!$1:$1,0)),"")))</f>
        <v/>
      </c>
      <c r="P516" s="85" t="str">
        <f>IF($B516="","",IF(IFERROR(INDEX('RAID Log'!$1:$1048576,$B516,MATCH("Mitigation Strategy",'RAID Log'!$1:$1,0)),"")="","",IFERROR(INDEX('RAID Log'!$1:$1048576,$B516,MATCH("Mitigation Strategy",'RAID Log'!$1:$1,0)),"")))</f>
        <v/>
      </c>
      <c r="Q516" s="88" t="str">
        <f>IF($B516="","",IF(IFERROR(INDEX('RAID Log'!$1:$1048576,$B516,MATCH("RAID Response/Plan",'RAID Log'!$1:$1,0)),"")="","",IFERROR(INDEX('RAID Log'!$1:$1048576,$B516,MATCH("RAID Response/Plan",'RAID Log'!$1:$1,0)),"")))</f>
        <v/>
      </c>
    </row>
    <row r="517" spans="1:17" ht="14.25" customHeight="1">
      <c r="A517" s="82" t="str">
        <f>IF($B517="","",IF(IFERROR(INDEX('RAID Log'!$1:$1048576,$B517,MATCH("RAID ID",'RAID Log'!$1:$1,0)),"")="","",IFERROR(INDEX('RAID Log'!$1:$1048576,$B517,MATCH("RAID ID",'RAID Log'!$1:$1,0)),"")))</f>
        <v/>
      </c>
      <c r="B517" s="83" t="str">
        <f>IFERROR(MATCH(ROW()-1,'RAID Log'!$S:$S,0),"")</f>
        <v/>
      </c>
      <c r="C517" s="84" t="str">
        <f>IF($B517="","",IF(IFERROR(INDEX('RAID Log'!$1:$1048576,$B517,MATCH("Description",'RAID Log'!$1:$1,0)),"")="","",IFERROR(INDEX('RAID Log'!$1:$1048576,$B517,MATCH("Description",'RAID Log'!$1:$1,0)),"")))</f>
        <v/>
      </c>
      <c r="D517" s="84" t="str">
        <f>IF($B517="","",IF(IFERROR(INDEX('RAID Log'!$1:$1048576,$B517,MATCH("Impact/Effect of the RAID",'RAID Log'!$1:$1,0)),"")="","",IFERROR(INDEX('RAID Log'!$1:$1048576,$B517,MATCH("Impact/Effect of the RAID",'RAID Log'!$1:$1,0)),"")))</f>
        <v/>
      </c>
      <c r="E517" s="85" t="str">
        <f>IF($B517="","",IF(IFERROR(INDEX('RAID Log'!$1:$1048576,$B517,MATCH("Impact Area",'RAID Log'!$1:$1,0)),"")="","",IFERROR(INDEX('RAID Log'!$1:$1048576,$B517,MATCH("Impact Area",'RAID Log'!$1:$1,0)),"")))</f>
        <v/>
      </c>
      <c r="F517" s="85" t="str">
        <f>IF($B517="","",IF(IFERROR(INDEX('RAID Log'!$1:$1048576,$B517,MATCH("Impact Area",'RAID Log'!$1:$1,0)),"")="","",IFERROR(INDEX('RAID Log'!$1:$1048576,$B517,MATCH("Impact Area",'RAID Log'!$1:$1,0)),"")))</f>
        <v/>
      </c>
      <c r="G517" s="85" t="str">
        <f>IF($B517="","",IF(IFERROR(INDEX('RAID Log'!$1:$1048576,$B517,MATCH("Impact Rating",'RAID Log'!$1:$1,0)),"")="","",IFERROR(INDEX('RAID Log'!$1:$1048576,$B517,MATCH("Impact Rating",'RAID Log'!$1:$1,0)),"")))</f>
        <v/>
      </c>
      <c r="H517" s="85" t="str">
        <f>IF($B517="","",IF(IFERROR(INDEX('RAID Log'!$1:$1048576,$B517,MATCH("Initial Probability",'RAID Log'!$1:$1,0)),"")="","",IFERROR(INDEX('RAID Log'!$1:$1048576,$B517,MATCH("Initial Probability",'RAID Log'!$1:$1,0)),"")))</f>
        <v/>
      </c>
      <c r="I517" s="86" t="str">
        <f t="shared" si="24"/>
        <v/>
      </c>
      <c r="J517" s="85" t="str">
        <f t="shared" si="25"/>
        <v/>
      </c>
      <c r="K517" s="86" t="str">
        <f t="shared" si="26"/>
        <v/>
      </c>
      <c r="L517" s="85" t="str">
        <f>IF($B517="","",IF(IFERROR(INDEX('RAID Log'!$1:$1048576,$B517,MATCH("Status",'RAID Log'!$1:$1,0)),"")="","",IFERROR(INDEX('RAID Log'!$1:$1048576,$B517,MATCH("Status",'RAID Log'!$1:$1,0)),"")))</f>
        <v/>
      </c>
      <c r="M517" s="85" t="str">
        <f>IF($B517="","",IF(IFERROR(INDEX('RAID Log'!$1:$1048576,$B517,MATCH("RAID Owner",'RAID Log'!$1:$1,0)),"")="","",IFERROR(INDEX('RAID Log'!$1:$1048576,$B517,MATCH("RAID Owner",'RAID Log'!$1:$1,0)),"")))</f>
        <v/>
      </c>
      <c r="N517" s="87" t="str">
        <f>IF($B517="","",IF(IFERROR(INDEX('RAID Log'!$1:$1048576,$B517,MATCH("Date Raised",'RAID Log'!$1:$1,0)),"")="","",IFERROR(INDEX('RAID Log'!$1:$1048576,$B517,MATCH("Date Raised",'RAID Log'!$1:$1,0)),"")))</f>
        <v/>
      </c>
      <c r="O517" s="87" t="str">
        <f>IF($B517="","",IF(IFERROR(INDEX('RAID Log'!$1:$1048576,$B517,MATCH("Closed Date",'RAID Log'!$1:$1,0)),"")="","",IFERROR(INDEX('RAID Log'!$1:$1048576,$B517,MATCH("Closed Date",'RAID Log'!$1:$1,0)),"")))</f>
        <v/>
      </c>
      <c r="P517" s="85" t="str">
        <f>IF($B517="","",IF(IFERROR(INDEX('RAID Log'!$1:$1048576,$B517,MATCH("Mitigation Strategy",'RAID Log'!$1:$1,0)),"")="","",IFERROR(INDEX('RAID Log'!$1:$1048576,$B517,MATCH("Mitigation Strategy",'RAID Log'!$1:$1,0)),"")))</f>
        <v/>
      </c>
      <c r="Q517" s="88" t="str">
        <f>IF($B517="","",IF(IFERROR(INDEX('RAID Log'!$1:$1048576,$B517,MATCH("RAID Response/Plan",'RAID Log'!$1:$1,0)),"")="","",IFERROR(INDEX('RAID Log'!$1:$1048576,$B517,MATCH("RAID Response/Plan",'RAID Log'!$1:$1,0)),"")))</f>
        <v/>
      </c>
    </row>
    <row r="518" spans="1:17" ht="14.25" customHeight="1">
      <c r="A518" s="82" t="str">
        <f>IF($B518="","",IF(IFERROR(INDEX('RAID Log'!$1:$1048576,$B518,MATCH("RAID ID",'RAID Log'!$1:$1,0)),"")="","",IFERROR(INDEX('RAID Log'!$1:$1048576,$B518,MATCH("RAID ID",'RAID Log'!$1:$1,0)),"")))</f>
        <v/>
      </c>
      <c r="B518" s="83" t="str">
        <f>IFERROR(MATCH(ROW()-1,'RAID Log'!$S:$S,0),"")</f>
        <v/>
      </c>
      <c r="C518" s="84" t="str">
        <f>IF($B518="","",IF(IFERROR(INDEX('RAID Log'!$1:$1048576,$B518,MATCH("Description",'RAID Log'!$1:$1,0)),"")="","",IFERROR(INDEX('RAID Log'!$1:$1048576,$B518,MATCH("Description",'RAID Log'!$1:$1,0)),"")))</f>
        <v/>
      </c>
      <c r="D518" s="84" t="str">
        <f>IF($B518="","",IF(IFERROR(INDEX('RAID Log'!$1:$1048576,$B518,MATCH("Impact/Effect of the RAID",'RAID Log'!$1:$1,0)),"")="","",IFERROR(INDEX('RAID Log'!$1:$1048576,$B518,MATCH("Impact/Effect of the RAID",'RAID Log'!$1:$1,0)),"")))</f>
        <v/>
      </c>
      <c r="E518" s="85" t="str">
        <f>IF($B518="","",IF(IFERROR(INDEX('RAID Log'!$1:$1048576,$B518,MATCH("Impact Area",'RAID Log'!$1:$1,0)),"")="","",IFERROR(INDEX('RAID Log'!$1:$1048576,$B518,MATCH("Impact Area",'RAID Log'!$1:$1,0)),"")))</f>
        <v/>
      </c>
      <c r="F518" s="85" t="str">
        <f>IF($B518="","",IF(IFERROR(INDEX('RAID Log'!$1:$1048576,$B518,MATCH("Impact Area",'RAID Log'!$1:$1,0)),"")="","",IFERROR(INDEX('RAID Log'!$1:$1048576,$B518,MATCH("Impact Area",'RAID Log'!$1:$1,0)),"")))</f>
        <v/>
      </c>
      <c r="G518" s="85" t="str">
        <f>IF($B518="","",IF(IFERROR(INDEX('RAID Log'!$1:$1048576,$B518,MATCH("Impact Rating",'RAID Log'!$1:$1,0)),"")="","",IFERROR(INDEX('RAID Log'!$1:$1048576,$B518,MATCH("Impact Rating",'RAID Log'!$1:$1,0)),"")))</f>
        <v/>
      </c>
      <c r="H518" s="85" t="str">
        <f>IF($B518="","",IF(IFERROR(INDEX('RAID Log'!$1:$1048576,$B518,MATCH("Initial Probability",'RAID Log'!$1:$1,0)),"")="","",IFERROR(INDEX('RAID Log'!$1:$1048576,$B518,MATCH("Initial Probability",'RAID Log'!$1:$1,0)),"")))</f>
        <v/>
      </c>
      <c r="I518" s="86" t="str">
        <f t="shared" si="24"/>
        <v/>
      </c>
      <c r="J518" s="85" t="str">
        <f t="shared" si="25"/>
        <v/>
      </c>
      <c r="K518" s="86" t="str">
        <f t="shared" si="26"/>
        <v/>
      </c>
      <c r="L518" s="85" t="str">
        <f>IF($B518="","",IF(IFERROR(INDEX('RAID Log'!$1:$1048576,$B518,MATCH("Status",'RAID Log'!$1:$1,0)),"")="","",IFERROR(INDEX('RAID Log'!$1:$1048576,$B518,MATCH("Status",'RAID Log'!$1:$1,0)),"")))</f>
        <v/>
      </c>
      <c r="M518" s="85" t="str">
        <f>IF($B518="","",IF(IFERROR(INDEX('RAID Log'!$1:$1048576,$B518,MATCH("RAID Owner",'RAID Log'!$1:$1,0)),"")="","",IFERROR(INDEX('RAID Log'!$1:$1048576,$B518,MATCH("RAID Owner",'RAID Log'!$1:$1,0)),"")))</f>
        <v/>
      </c>
      <c r="N518" s="87" t="str">
        <f>IF($B518="","",IF(IFERROR(INDEX('RAID Log'!$1:$1048576,$B518,MATCH("Date Raised",'RAID Log'!$1:$1,0)),"")="","",IFERROR(INDEX('RAID Log'!$1:$1048576,$B518,MATCH("Date Raised",'RAID Log'!$1:$1,0)),"")))</f>
        <v/>
      </c>
      <c r="O518" s="87" t="str">
        <f>IF($B518="","",IF(IFERROR(INDEX('RAID Log'!$1:$1048576,$B518,MATCH("Closed Date",'RAID Log'!$1:$1,0)),"")="","",IFERROR(INDEX('RAID Log'!$1:$1048576,$B518,MATCH("Closed Date",'RAID Log'!$1:$1,0)),"")))</f>
        <v/>
      </c>
      <c r="P518" s="85" t="str">
        <f>IF($B518="","",IF(IFERROR(INDEX('RAID Log'!$1:$1048576,$B518,MATCH("Mitigation Strategy",'RAID Log'!$1:$1,0)),"")="","",IFERROR(INDEX('RAID Log'!$1:$1048576,$B518,MATCH("Mitigation Strategy",'RAID Log'!$1:$1,0)),"")))</f>
        <v/>
      </c>
      <c r="Q518" s="88" t="str">
        <f>IF($B518="","",IF(IFERROR(INDEX('RAID Log'!$1:$1048576,$B518,MATCH("RAID Response/Plan",'RAID Log'!$1:$1,0)),"")="","",IFERROR(INDEX('RAID Log'!$1:$1048576,$B518,MATCH("RAID Response/Plan",'RAID Log'!$1:$1,0)),"")))</f>
        <v/>
      </c>
    </row>
    <row r="519" spans="1:17" ht="14.25" customHeight="1">
      <c r="A519" s="82" t="str">
        <f>IF($B519="","",IF(IFERROR(INDEX('RAID Log'!$1:$1048576,$B519,MATCH("RAID ID",'RAID Log'!$1:$1,0)),"")="","",IFERROR(INDEX('RAID Log'!$1:$1048576,$B519,MATCH("RAID ID",'RAID Log'!$1:$1,0)),"")))</f>
        <v/>
      </c>
      <c r="B519" s="83" t="str">
        <f>IFERROR(MATCH(ROW()-1,'RAID Log'!$S:$S,0),"")</f>
        <v/>
      </c>
      <c r="C519" s="84" t="str">
        <f>IF($B519="","",IF(IFERROR(INDEX('RAID Log'!$1:$1048576,$B519,MATCH("Description",'RAID Log'!$1:$1,0)),"")="","",IFERROR(INDEX('RAID Log'!$1:$1048576,$B519,MATCH("Description",'RAID Log'!$1:$1,0)),"")))</f>
        <v/>
      </c>
      <c r="D519" s="84" t="str">
        <f>IF($B519="","",IF(IFERROR(INDEX('RAID Log'!$1:$1048576,$B519,MATCH("Impact/Effect of the RAID",'RAID Log'!$1:$1,0)),"")="","",IFERROR(INDEX('RAID Log'!$1:$1048576,$B519,MATCH("Impact/Effect of the RAID",'RAID Log'!$1:$1,0)),"")))</f>
        <v/>
      </c>
      <c r="E519" s="85" t="str">
        <f>IF($B519="","",IF(IFERROR(INDEX('RAID Log'!$1:$1048576,$B519,MATCH("Impact Area",'RAID Log'!$1:$1,0)),"")="","",IFERROR(INDEX('RAID Log'!$1:$1048576,$B519,MATCH("Impact Area",'RAID Log'!$1:$1,0)),"")))</f>
        <v/>
      </c>
      <c r="F519" s="85" t="str">
        <f>IF($B519="","",IF(IFERROR(INDEX('RAID Log'!$1:$1048576,$B519,MATCH("Impact Area",'RAID Log'!$1:$1,0)),"")="","",IFERROR(INDEX('RAID Log'!$1:$1048576,$B519,MATCH("Impact Area",'RAID Log'!$1:$1,0)),"")))</f>
        <v/>
      </c>
      <c r="G519" s="85" t="str">
        <f>IF($B519="","",IF(IFERROR(INDEX('RAID Log'!$1:$1048576,$B519,MATCH("Impact Rating",'RAID Log'!$1:$1,0)),"")="","",IFERROR(INDEX('RAID Log'!$1:$1048576,$B519,MATCH("Impact Rating",'RAID Log'!$1:$1,0)),"")))</f>
        <v/>
      </c>
      <c r="H519" s="85" t="str">
        <f>IF($B519="","",IF(IFERROR(INDEX('RAID Log'!$1:$1048576,$B519,MATCH("Initial Probability",'RAID Log'!$1:$1,0)),"")="","",IFERROR(INDEX('RAID Log'!$1:$1048576,$B519,MATCH("Initial Probability",'RAID Log'!$1:$1,0)),"")))</f>
        <v/>
      </c>
      <c r="I519" s="86" t="str">
        <f t="shared" si="24"/>
        <v/>
      </c>
      <c r="J519" s="85" t="str">
        <f t="shared" si="25"/>
        <v/>
      </c>
      <c r="K519" s="86" t="str">
        <f t="shared" si="26"/>
        <v/>
      </c>
      <c r="L519" s="85" t="str">
        <f>IF($B519="","",IF(IFERROR(INDEX('RAID Log'!$1:$1048576,$B519,MATCH("Status",'RAID Log'!$1:$1,0)),"")="","",IFERROR(INDEX('RAID Log'!$1:$1048576,$B519,MATCH("Status",'RAID Log'!$1:$1,0)),"")))</f>
        <v/>
      </c>
      <c r="M519" s="85" t="str">
        <f>IF($B519="","",IF(IFERROR(INDEX('RAID Log'!$1:$1048576,$B519,MATCH("RAID Owner",'RAID Log'!$1:$1,0)),"")="","",IFERROR(INDEX('RAID Log'!$1:$1048576,$B519,MATCH("RAID Owner",'RAID Log'!$1:$1,0)),"")))</f>
        <v/>
      </c>
      <c r="N519" s="87" t="str">
        <f>IF($B519="","",IF(IFERROR(INDEX('RAID Log'!$1:$1048576,$B519,MATCH("Date Raised",'RAID Log'!$1:$1,0)),"")="","",IFERROR(INDEX('RAID Log'!$1:$1048576,$B519,MATCH("Date Raised",'RAID Log'!$1:$1,0)),"")))</f>
        <v/>
      </c>
      <c r="O519" s="87" t="str">
        <f>IF($B519="","",IF(IFERROR(INDEX('RAID Log'!$1:$1048576,$B519,MATCH("Closed Date",'RAID Log'!$1:$1,0)),"")="","",IFERROR(INDEX('RAID Log'!$1:$1048576,$B519,MATCH("Closed Date",'RAID Log'!$1:$1,0)),"")))</f>
        <v/>
      </c>
      <c r="P519" s="85" t="str">
        <f>IF($B519="","",IF(IFERROR(INDEX('RAID Log'!$1:$1048576,$B519,MATCH("Mitigation Strategy",'RAID Log'!$1:$1,0)),"")="","",IFERROR(INDEX('RAID Log'!$1:$1048576,$B519,MATCH("Mitigation Strategy",'RAID Log'!$1:$1,0)),"")))</f>
        <v/>
      </c>
      <c r="Q519" s="88" t="str">
        <f>IF($B519="","",IF(IFERROR(INDEX('RAID Log'!$1:$1048576,$B519,MATCH("RAID Response/Plan",'RAID Log'!$1:$1,0)),"")="","",IFERROR(INDEX('RAID Log'!$1:$1048576,$B519,MATCH("RAID Response/Plan",'RAID Log'!$1:$1,0)),"")))</f>
        <v/>
      </c>
    </row>
    <row r="520" spans="1:17" ht="14.25" customHeight="1">
      <c r="A520" s="82" t="str">
        <f>IF($B520="","",IF(IFERROR(INDEX('RAID Log'!$1:$1048576,$B520,MATCH("RAID ID",'RAID Log'!$1:$1,0)),"")="","",IFERROR(INDEX('RAID Log'!$1:$1048576,$B520,MATCH("RAID ID",'RAID Log'!$1:$1,0)),"")))</f>
        <v/>
      </c>
      <c r="B520" s="83" t="str">
        <f>IFERROR(MATCH(ROW()-1,'RAID Log'!$S:$S,0),"")</f>
        <v/>
      </c>
      <c r="C520" s="84" t="str">
        <f>IF($B520="","",IF(IFERROR(INDEX('RAID Log'!$1:$1048576,$B520,MATCH("Description",'RAID Log'!$1:$1,0)),"")="","",IFERROR(INDEX('RAID Log'!$1:$1048576,$B520,MATCH("Description",'RAID Log'!$1:$1,0)),"")))</f>
        <v/>
      </c>
      <c r="D520" s="84" t="str">
        <f>IF($B520="","",IF(IFERROR(INDEX('RAID Log'!$1:$1048576,$B520,MATCH("Impact/Effect of the RAID",'RAID Log'!$1:$1,0)),"")="","",IFERROR(INDEX('RAID Log'!$1:$1048576,$B520,MATCH("Impact/Effect of the RAID",'RAID Log'!$1:$1,0)),"")))</f>
        <v/>
      </c>
      <c r="E520" s="85" t="str">
        <f>IF($B520="","",IF(IFERROR(INDEX('RAID Log'!$1:$1048576,$B520,MATCH("Impact Area",'RAID Log'!$1:$1,0)),"")="","",IFERROR(INDEX('RAID Log'!$1:$1048576,$B520,MATCH("Impact Area",'RAID Log'!$1:$1,0)),"")))</f>
        <v/>
      </c>
      <c r="F520" s="85" t="str">
        <f>IF($B520="","",IF(IFERROR(INDEX('RAID Log'!$1:$1048576,$B520,MATCH("Impact Area",'RAID Log'!$1:$1,0)),"")="","",IFERROR(INDEX('RAID Log'!$1:$1048576,$B520,MATCH("Impact Area",'RAID Log'!$1:$1,0)),"")))</f>
        <v/>
      </c>
      <c r="G520" s="85" t="str">
        <f>IF($B520="","",IF(IFERROR(INDEX('RAID Log'!$1:$1048576,$B520,MATCH("Impact Rating",'RAID Log'!$1:$1,0)),"")="","",IFERROR(INDEX('RAID Log'!$1:$1048576,$B520,MATCH("Impact Rating",'RAID Log'!$1:$1,0)),"")))</f>
        <v/>
      </c>
      <c r="H520" s="85" t="str">
        <f>IF($B520="","",IF(IFERROR(INDEX('RAID Log'!$1:$1048576,$B520,MATCH("Initial Probability",'RAID Log'!$1:$1,0)),"")="","",IFERROR(INDEX('RAID Log'!$1:$1048576,$B520,MATCH("Initial Probability",'RAID Log'!$1:$1,0)),"")))</f>
        <v/>
      </c>
      <c r="I520" s="86" t="str">
        <f t="shared" si="24"/>
        <v/>
      </c>
      <c r="J520" s="85" t="str">
        <f t="shared" si="25"/>
        <v/>
      </c>
      <c r="K520" s="86" t="str">
        <f t="shared" si="26"/>
        <v/>
      </c>
      <c r="L520" s="85" t="str">
        <f>IF($B520="","",IF(IFERROR(INDEX('RAID Log'!$1:$1048576,$B520,MATCH("Status",'RAID Log'!$1:$1,0)),"")="","",IFERROR(INDEX('RAID Log'!$1:$1048576,$B520,MATCH("Status",'RAID Log'!$1:$1,0)),"")))</f>
        <v/>
      </c>
      <c r="M520" s="85" t="str">
        <f>IF($B520="","",IF(IFERROR(INDEX('RAID Log'!$1:$1048576,$B520,MATCH("RAID Owner",'RAID Log'!$1:$1,0)),"")="","",IFERROR(INDEX('RAID Log'!$1:$1048576,$B520,MATCH("RAID Owner",'RAID Log'!$1:$1,0)),"")))</f>
        <v/>
      </c>
      <c r="N520" s="87" t="str">
        <f>IF($B520="","",IF(IFERROR(INDEX('RAID Log'!$1:$1048576,$B520,MATCH("Date Raised",'RAID Log'!$1:$1,0)),"")="","",IFERROR(INDEX('RAID Log'!$1:$1048576,$B520,MATCH("Date Raised",'RAID Log'!$1:$1,0)),"")))</f>
        <v/>
      </c>
      <c r="O520" s="87" t="str">
        <f>IF($B520="","",IF(IFERROR(INDEX('RAID Log'!$1:$1048576,$B520,MATCH("Closed Date",'RAID Log'!$1:$1,0)),"")="","",IFERROR(INDEX('RAID Log'!$1:$1048576,$B520,MATCH("Closed Date",'RAID Log'!$1:$1,0)),"")))</f>
        <v/>
      </c>
      <c r="P520" s="85" t="str">
        <f>IF($B520="","",IF(IFERROR(INDEX('RAID Log'!$1:$1048576,$B520,MATCH("Mitigation Strategy",'RAID Log'!$1:$1,0)),"")="","",IFERROR(INDEX('RAID Log'!$1:$1048576,$B520,MATCH("Mitigation Strategy",'RAID Log'!$1:$1,0)),"")))</f>
        <v/>
      </c>
      <c r="Q520" s="88" t="str">
        <f>IF($B520="","",IF(IFERROR(INDEX('RAID Log'!$1:$1048576,$B520,MATCH("RAID Response/Plan",'RAID Log'!$1:$1,0)),"")="","",IFERROR(INDEX('RAID Log'!$1:$1048576,$B520,MATCH("RAID Response/Plan",'RAID Log'!$1:$1,0)),"")))</f>
        <v/>
      </c>
    </row>
    <row r="521" spans="1:17" ht="14.25" customHeight="1">
      <c r="A521" s="82" t="str">
        <f>IF($B521="","",IF(IFERROR(INDEX('RAID Log'!$1:$1048576,$B521,MATCH("RAID ID",'RAID Log'!$1:$1,0)),"")="","",IFERROR(INDEX('RAID Log'!$1:$1048576,$B521,MATCH("RAID ID",'RAID Log'!$1:$1,0)),"")))</f>
        <v/>
      </c>
      <c r="B521" s="83" t="str">
        <f>IFERROR(MATCH(ROW()-1,'RAID Log'!$S:$S,0),"")</f>
        <v/>
      </c>
      <c r="C521" s="84" t="str">
        <f>IF($B521="","",IF(IFERROR(INDEX('RAID Log'!$1:$1048576,$B521,MATCH("Description",'RAID Log'!$1:$1,0)),"")="","",IFERROR(INDEX('RAID Log'!$1:$1048576,$B521,MATCH("Description",'RAID Log'!$1:$1,0)),"")))</f>
        <v/>
      </c>
      <c r="D521" s="84" t="str">
        <f>IF($B521="","",IF(IFERROR(INDEX('RAID Log'!$1:$1048576,$B521,MATCH("Impact/Effect of the RAID",'RAID Log'!$1:$1,0)),"")="","",IFERROR(INDEX('RAID Log'!$1:$1048576,$B521,MATCH("Impact/Effect of the RAID",'RAID Log'!$1:$1,0)),"")))</f>
        <v/>
      </c>
      <c r="E521" s="85" t="str">
        <f>IF($B521="","",IF(IFERROR(INDEX('RAID Log'!$1:$1048576,$B521,MATCH("Impact Area",'RAID Log'!$1:$1,0)),"")="","",IFERROR(INDEX('RAID Log'!$1:$1048576,$B521,MATCH("Impact Area",'RAID Log'!$1:$1,0)),"")))</f>
        <v/>
      </c>
      <c r="F521" s="85" t="str">
        <f>IF($B521="","",IF(IFERROR(INDEX('RAID Log'!$1:$1048576,$B521,MATCH("Impact Area",'RAID Log'!$1:$1,0)),"")="","",IFERROR(INDEX('RAID Log'!$1:$1048576,$B521,MATCH("Impact Area",'RAID Log'!$1:$1,0)),"")))</f>
        <v/>
      </c>
      <c r="G521" s="85" t="str">
        <f>IF($B521="","",IF(IFERROR(INDEX('RAID Log'!$1:$1048576,$B521,MATCH("Impact Rating",'RAID Log'!$1:$1,0)),"")="","",IFERROR(INDEX('RAID Log'!$1:$1048576,$B521,MATCH("Impact Rating",'RAID Log'!$1:$1,0)),"")))</f>
        <v/>
      </c>
      <c r="H521" s="85" t="str">
        <f>IF($B521="","",IF(IFERROR(INDEX('RAID Log'!$1:$1048576,$B521,MATCH("Initial Probability",'RAID Log'!$1:$1,0)),"")="","",IFERROR(INDEX('RAID Log'!$1:$1048576,$B521,MATCH("Initial Probability",'RAID Log'!$1:$1,0)),"")))</f>
        <v/>
      </c>
      <c r="I521" s="86" t="str">
        <f t="shared" si="24"/>
        <v/>
      </c>
      <c r="J521" s="85" t="str">
        <f t="shared" si="25"/>
        <v/>
      </c>
      <c r="K521" s="86" t="str">
        <f t="shared" si="26"/>
        <v/>
      </c>
      <c r="L521" s="85" t="str">
        <f>IF($B521="","",IF(IFERROR(INDEX('RAID Log'!$1:$1048576,$B521,MATCH("Status",'RAID Log'!$1:$1,0)),"")="","",IFERROR(INDEX('RAID Log'!$1:$1048576,$B521,MATCH("Status",'RAID Log'!$1:$1,0)),"")))</f>
        <v/>
      </c>
      <c r="M521" s="85" t="str">
        <f>IF($B521="","",IF(IFERROR(INDEX('RAID Log'!$1:$1048576,$B521,MATCH("RAID Owner",'RAID Log'!$1:$1,0)),"")="","",IFERROR(INDEX('RAID Log'!$1:$1048576,$B521,MATCH("RAID Owner",'RAID Log'!$1:$1,0)),"")))</f>
        <v/>
      </c>
      <c r="N521" s="87" t="str">
        <f>IF($B521="","",IF(IFERROR(INDEX('RAID Log'!$1:$1048576,$B521,MATCH("Date Raised",'RAID Log'!$1:$1,0)),"")="","",IFERROR(INDEX('RAID Log'!$1:$1048576,$B521,MATCH("Date Raised",'RAID Log'!$1:$1,0)),"")))</f>
        <v/>
      </c>
      <c r="O521" s="87" t="str">
        <f>IF($B521="","",IF(IFERROR(INDEX('RAID Log'!$1:$1048576,$B521,MATCH("Closed Date",'RAID Log'!$1:$1,0)),"")="","",IFERROR(INDEX('RAID Log'!$1:$1048576,$B521,MATCH("Closed Date",'RAID Log'!$1:$1,0)),"")))</f>
        <v/>
      </c>
      <c r="P521" s="85" t="str">
        <f>IF($B521="","",IF(IFERROR(INDEX('RAID Log'!$1:$1048576,$B521,MATCH("Mitigation Strategy",'RAID Log'!$1:$1,0)),"")="","",IFERROR(INDEX('RAID Log'!$1:$1048576,$B521,MATCH("Mitigation Strategy",'RAID Log'!$1:$1,0)),"")))</f>
        <v/>
      </c>
      <c r="Q521" s="88" t="str">
        <f>IF($B521="","",IF(IFERROR(INDEX('RAID Log'!$1:$1048576,$B521,MATCH("RAID Response/Plan",'RAID Log'!$1:$1,0)),"")="","",IFERROR(INDEX('RAID Log'!$1:$1048576,$B521,MATCH("RAID Response/Plan",'RAID Log'!$1:$1,0)),"")))</f>
        <v/>
      </c>
    </row>
    <row r="522" spans="1:17" ht="14.25" customHeight="1">
      <c r="A522" s="82" t="str">
        <f>IF($B522="","",IF(IFERROR(INDEX('RAID Log'!$1:$1048576,$B522,MATCH("RAID ID",'RAID Log'!$1:$1,0)),"")="","",IFERROR(INDEX('RAID Log'!$1:$1048576,$B522,MATCH("RAID ID",'RAID Log'!$1:$1,0)),"")))</f>
        <v/>
      </c>
      <c r="B522" s="83" t="str">
        <f>IFERROR(MATCH(ROW()-1,'RAID Log'!$S:$S,0),"")</f>
        <v/>
      </c>
      <c r="C522" s="84" t="str">
        <f>IF($B522="","",IF(IFERROR(INDEX('RAID Log'!$1:$1048576,$B522,MATCH("Description",'RAID Log'!$1:$1,0)),"")="","",IFERROR(INDEX('RAID Log'!$1:$1048576,$B522,MATCH("Description",'RAID Log'!$1:$1,0)),"")))</f>
        <v/>
      </c>
      <c r="D522" s="84" t="str">
        <f>IF($B522="","",IF(IFERROR(INDEX('RAID Log'!$1:$1048576,$B522,MATCH("Impact/Effect of the RAID",'RAID Log'!$1:$1,0)),"")="","",IFERROR(INDEX('RAID Log'!$1:$1048576,$B522,MATCH("Impact/Effect of the RAID",'RAID Log'!$1:$1,0)),"")))</f>
        <v/>
      </c>
      <c r="E522" s="85" t="str">
        <f>IF($B522="","",IF(IFERROR(INDEX('RAID Log'!$1:$1048576,$B522,MATCH("Impact Area",'RAID Log'!$1:$1,0)),"")="","",IFERROR(INDEX('RAID Log'!$1:$1048576,$B522,MATCH("Impact Area",'RAID Log'!$1:$1,0)),"")))</f>
        <v/>
      </c>
      <c r="F522" s="85" t="str">
        <f>IF($B522="","",IF(IFERROR(INDEX('RAID Log'!$1:$1048576,$B522,MATCH("Impact Area",'RAID Log'!$1:$1,0)),"")="","",IFERROR(INDEX('RAID Log'!$1:$1048576,$B522,MATCH("Impact Area",'RAID Log'!$1:$1,0)),"")))</f>
        <v/>
      </c>
      <c r="G522" s="85" t="str">
        <f>IF($B522="","",IF(IFERROR(INDEX('RAID Log'!$1:$1048576,$B522,MATCH("Impact Rating",'RAID Log'!$1:$1,0)),"")="","",IFERROR(INDEX('RAID Log'!$1:$1048576,$B522,MATCH("Impact Rating",'RAID Log'!$1:$1,0)),"")))</f>
        <v/>
      </c>
      <c r="H522" s="85" t="str">
        <f>IF($B522="","",IF(IFERROR(INDEX('RAID Log'!$1:$1048576,$B522,MATCH("Initial Probability",'RAID Log'!$1:$1,0)),"")="","",IFERROR(INDEX('RAID Log'!$1:$1048576,$B522,MATCH("Initial Probability",'RAID Log'!$1:$1,0)),"")))</f>
        <v/>
      </c>
      <c r="I522" s="86" t="str">
        <f t="shared" si="24"/>
        <v/>
      </c>
      <c r="J522" s="85" t="str">
        <f t="shared" si="25"/>
        <v/>
      </c>
      <c r="K522" s="86" t="str">
        <f t="shared" si="26"/>
        <v/>
      </c>
      <c r="L522" s="85" t="str">
        <f>IF($B522="","",IF(IFERROR(INDEX('RAID Log'!$1:$1048576,$B522,MATCH("Status",'RAID Log'!$1:$1,0)),"")="","",IFERROR(INDEX('RAID Log'!$1:$1048576,$B522,MATCH("Status",'RAID Log'!$1:$1,0)),"")))</f>
        <v/>
      </c>
      <c r="M522" s="85" t="str">
        <f>IF($B522="","",IF(IFERROR(INDEX('RAID Log'!$1:$1048576,$B522,MATCH("RAID Owner",'RAID Log'!$1:$1,0)),"")="","",IFERROR(INDEX('RAID Log'!$1:$1048576,$B522,MATCH("RAID Owner",'RAID Log'!$1:$1,0)),"")))</f>
        <v/>
      </c>
      <c r="N522" s="87" t="str">
        <f>IF($B522="","",IF(IFERROR(INDEX('RAID Log'!$1:$1048576,$B522,MATCH("Date Raised",'RAID Log'!$1:$1,0)),"")="","",IFERROR(INDEX('RAID Log'!$1:$1048576,$B522,MATCH("Date Raised",'RAID Log'!$1:$1,0)),"")))</f>
        <v/>
      </c>
      <c r="O522" s="87" t="str">
        <f>IF($B522="","",IF(IFERROR(INDEX('RAID Log'!$1:$1048576,$B522,MATCH("Closed Date",'RAID Log'!$1:$1,0)),"")="","",IFERROR(INDEX('RAID Log'!$1:$1048576,$B522,MATCH("Closed Date",'RAID Log'!$1:$1,0)),"")))</f>
        <v/>
      </c>
      <c r="P522" s="85" t="str">
        <f>IF($B522="","",IF(IFERROR(INDEX('RAID Log'!$1:$1048576,$B522,MATCH("Mitigation Strategy",'RAID Log'!$1:$1,0)),"")="","",IFERROR(INDEX('RAID Log'!$1:$1048576,$B522,MATCH("Mitigation Strategy",'RAID Log'!$1:$1,0)),"")))</f>
        <v/>
      </c>
      <c r="Q522" s="88" t="str">
        <f>IF($B522="","",IF(IFERROR(INDEX('RAID Log'!$1:$1048576,$B522,MATCH("RAID Response/Plan",'RAID Log'!$1:$1,0)),"")="","",IFERROR(INDEX('RAID Log'!$1:$1048576,$B522,MATCH("RAID Response/Plan",'RAID Log'!$1:$1,0)),"")))</f>
        <v/>
      </c>
    </row>
    <row r="523" spans="1:17" ht="14.25" customHeight="1">
      <c r="A523" s="82" t="str">
        <f>IF($B523="","",IF(IFERROR(INDEX('RAID Log'!$1:$1048576,$B523,MATCH("RAID ID",'RAID Log'!$1:$1,0)),"")="","",IFERROR(INDEX('RAID Log'!$1:$1048576,$B523,MATCH("RAID ID",'RAID Log'!$1:$1,0)),"")))</f>
        <v/>
      </c>
      <c r="B523" s="83" t="str">
        <f>IFERROR(MATCH(ROW()-1,'RAID Log'!$S:$S,0),"")</f>
        <v/>
      </c>
      <c r="C523" s="84" t="str">
        <f>IF($B523="","",IF(IFERROR(INDEX('RAID Log'!$1:$1048576,$B523,MATCH("Description",'RAID Log'!$1:$1,0)),"")="","",IFERROR(INDEX('RAID Log'!$1:$1048576,$B523,MATCH("Description",'RAID Log'!$1:$1,0)),"")))</f>
        <v/>
      </c>
      <c r="D523" s="84" t="str">
        <f>IF($B523="","",IF(IFERROR(INDEX('RAID Log'!$1:$1048576,$B523,MATCH("Impact/Effect of the RAID",'RAID Log'!$1:$1,0)),"")="","",IFERROR(INDEX('RAID Log'!$1:$1048576,$B523,MATCH("Impact/Effect of the RAID",'RAID Log'!$1:$1,0)),"")))</f>
        <v/>
      </c>
      <c r="E523" s="85" t="str">
        <f>IF($B523="","",IF(IFERROR(INDEX('RAID Log'!$1:$1048576,$B523,MATCH("Impact Area",'RAID Log'!$1:$1,0)),"")="","",IFERROR(INDEX('RAID Log'!$1:$1048576,$B523,MATCH("Impact Area",'RAID Log'!$1:$1,0)),"")))</f>
        <v/>
      </c>
      <c r="F523" s="85" t="str">
        <f>IF($B523="","",IF(IFERROR(INDEX('RAID Log'!$1:$1048576,$B523,MATCH("Impact Area",'RAID Log'!$1:$1,0)),"")="","",IFERROR(INDEX('RAID Log'!$1:$1048576,$B523,MATCH("Impact Area",'RAID Log'!$1:$1,0)),"")))</f>
        <v/>
      </c>
      <c r="G523" s="85" t="str">
        <f>IF($B523="","",IF(IFERROR(INDEX('RAID Log'!$1:$1048576,$B523,MATCH("Impact Rating",'RAID Log'!$1:$1,0)),"")="","",IFERROR(INDEX('RAID Log'!$1:$1048576,$B523,MATCH("Impact Rating",'RAID Log'!$1:$1,0)),"")))</f>
        <v/>
      </c>
      <c r="H523" s="85" t="str">
        <f>IF($B523="","",IF(IFERROR(INDEX('RAID Log'!$1:$1048576,$B523,MATCH("Initial Probability",'RAID Log'!$1:$1,0)),"")="","",IFERROR(INDEX('RAID Log'!$1:$1048576,$B523,MATCH("Initial Probability",'RAID Log'!$1:$1,0)),"")))</f>
        <v/>
      </c>
      <c r="I523" s="86" t="str">
        <f t="shared" si="24"/>
        <v/>
      </c>
      <c r="J523" s="85" t="str">
        <f t="shared" si="25"/>
        <v/>
      </c>
      <c r="K523" s="86" t="str">
        <f t="shared" si="26"/>
        <v/>
      </c>
      <c r="L523" s="85" t="str">
        <f>IF($B523="","",IF(IFERROR(INDEX('RAID Log'!$1:$1048576,$B523,MATCH("Status",'RAID Log'!$1:$1,0)),"")="","",IFERROR(INDEX('RAID Log'!$1:$1048576,$B523,MATCH("Status",'RAID Log'!$1:$1,0)),"")))</f>
        <v/>
      </c>
      <c r="M523" s="85" t="str">
        <f>IF($B523="","",IF(IFERROR(INDEX('RAID Log'!$1:$1048576,$B523,MATCH("RAID Owner",'RAID Log'!$1:$1,0)),"")="","",IFERROR(INDEX('RAID Log'!$1:$1048576,$B523,MATCH("RAID Owner",'RAID Log'!$1:$1,0)),"")))</f>
        <v/>
      </c>
      <c r="N523" s="87" t="str">
        <f>IF($B523="","",IF(IFERROR(INDEX('RAID Log'!$1:$1048576,$B523,MATCH("Date Raised",'RAID Log'!$1:$1,0)),"")="","",IFERROR(INDEX('RAID Log'!$1:$1048576,$B523,MATCH("Date Raised",'RAID Log'!$1:$1,0)),"")))</f>
        <v/>
      </c>
      <c r="O523" s="87" t="str">
        <f>IF($B523="","",IF(IFERROR(INDEX('RAID Log'!$1:$1048576,$B523,MATCH("Closed Date",'RAID Log'!$1:$1,0)),"")="","",IFERROR(INDEX('RAID Log'!$1:$1048576,$B523,MATCH("Closed Date",'RAID Log'!$1:$1,0)),"")))</f>
        <v/>
      </c>
      <c r="P523" s="85" t="str">
        <f>IF($B523="","",IF(IFERROR(INDEX('RAID Log'!$1:$1048576,$B523,MATCH("Mitigation Strategy",'RAID Log'!$1:$1,0)),"")="","",IFERROR(INDEX('RAID Log'!$1:$1048576,$B523,MATCH("Mitigation Strategy",'RAID Log'!$1:$1,0)),"")))</f>
        <v/>
      </c>
      <c r="Q523" s="88" t="str">
        <f>IF($B523="","",IF(IFERROR(INDEX('RAID Log'!$1:$1048576,$B523,MATCH("RAID Response/Plan",'RAID Log'!$1:$1,0)),"")="","",IFERROR(INDEX('RAID Log'!$1:$1048576,$B523,MATCH("RAID Response/Plan",'RAID Log'!$1:$1,0)),"")))</f>
        <v/>
      </c>
    </row>
    <row r="524" spans="1:17" ht="14.25" customHeight="1">
      <c r="A524" s="82" t="str">
        <f>IF($B524="","",IF(IFERROR(INDEX('RAID Log'!$1:$1048576,$B524,MATCH("RAID ID",'RAID Log'!$1:$1,0)),"")="","",IFERROR(INDEX('RAID Log'!$1:$1048576,$B524,MATCH("RAID ID",'RAID Log'!$1:$1,0)),"")))</f>
        <v/>
      </c>
      <c r="B524" s="83" t="str">
        <f>IFERROR(MATCH(ROW()-1,'RAID Log'!$S:$S,0),"")</f>
        <v/>
      </c>
      <c r="C524" s="84" t="str">
        <f>IF($B524="","",IF(IFERROR(INDEX('RAID Log'!$1:$1048576,$B524,MATCH("Description",'RAID Log'!$1:$1,0)),"")="","",IFERROR(INDEX('RAID Log'!$1:$1048576,$B524,MATCH("Description",'RAID Log'!$1:$1,0)),"")))</f>
        <v/>
      </c>
      <c r="D524" s="84" t="str">
        <f>IF($B524="","",IF(IFERROR(INDEX('RAID Log'!$1:$1048576,$B524,MATCH("Impact/Effect of the RAID",'RAID Log'!$1:$1,0)),"")="","",IFERROR(INDEX('RAID Log'!$1:$1048576,$B524,MATCH("Impact/Effect of the RAID",'RAID Log'!$1:$1,0)),"")))</f>
        <v/>
      </c>
      <c r="E524" s="85" t="str">
        <f>IF($B524="","",IF(IFERROR(INDEX('RAID Log'!$1:$1048576,$B524,MATCH("Impact Area",'RAID Log'!$1:$1,0)),"")="","",IFERROR(INDEX('RAID Log'!$1:$1048576,$B524,MATCH("Impact Area",'RAID Log'!$1:$1,0)),"")))</f>
        <v/>
      </c>
      <c r="F524" s="85" t="str">
        <f>IF($B524="","",IF(IFERROR(INDEX('RAID Log'!$1:$1048576,$B524,MATCH("Impact Area",'RAID Log'!$1:$1,0)),"")="","",IFERROR(INDEX('RAID Log'!$1:$1048576,$B524,MATCH("Impact Area",'RAID Log'!$1:$1,0)),"")))</f>
        <v/>
      </c>
      <c r="G524" s="85" t="str">
        <f>IF($B524="","",IF(IFERROR(INDEX('RAID Log'!$1:$1048576,$B524,MATCH("Impact Rating",'RAID Log'!$1:$1,0)),"")="","",IFERROR(INDEX('RAID Log'!$1:$1048576,$B524,MATCH("Impact Rating",'RAID Log'!$1:$1,0)),"")))</f>
        <v/>
      </c>
      <c r="H524" s="85" t="str">
        <f>IF($B524="","",IF(IFERROR(INDEX('RAID Log'!$1:$1048576,$B524,MATCH("Initial Probability",'RAID Log'!$1:$1,0)),"")="","",IFERROR(INDEX('RAID Log'!$1:$1048576,$B524,MATCH("Initial Probability",'RAID Log'!$1:$1,0)),"")))</f>
        <v/>
      </c>
      <c r="I524" s="86" t="str">
        <f t="shared" si="24"/>
        <v/>
      </c>
      <c r="J524" s="85" t="str">
        <f t="shared" si="25"/>
        <v/>
      </c>
      <c r="K524" s="86" t="str">
        <f t="shared" si="26"/>
        <v/>
      </c>
      <c r="L524" s="85" t="str">
        <f>IF($B524="","",IF(IFERROR(INDEX('RAID Log'!$1:$1048576,$B524,MATCH("Status",'RAID Log'!$1:$1,0)),"")="","",IFERROR(INDEX('RAID Log'!$1:$1048576,$B524,MATCH("Status",'RAID Log'!$1:$1,0)),"")))</f>
        <v/>
      </c>
      <c r="M524" s="85" t="str">
        <f>IF($B524="","",IF(IFERROR(INDEX('RAID Log'!$1:$1048576,$B524,MATCH("RAID Owner",'RAID Log'!$1:$1,0)),"")="","",IFERROR(INDEX('RAID Log'!$1:$1048576,$B524,MATCH("RAID Owner",'RAID Log'!$1:$1,0)),"")))</f>
        <v/>
      </c>
      <c r="N524" s="87" t="str">
        <f>IF($B524="","",IF(IFERROR(INDEX('RAID Log'!$1:$1048576,$B524,MATCH("Date Raised",'RAID Log'!$1:$1,0)),"")="","",IFERROR(INDEX('RAID Log'!$1:$1048576,$B524,MATCH("Date Raised",'RAID Log'!$1:$1,0)),"")))</f>
        <v/>
      </c>
      <c r="O524" s="87" t="str">
        <f>IF($B524="","",IF(IFERROR(INDEX('RAID Log'!$1:$1048576,$B524,MATCH("Closed Date",'RAID Log'!$1:$1,0)),"")="","",IFERROR(INDEX('RAID Log'!$1:$1048576,$B524,MATCH("Closed Date",'RAID Log'!$1:$1,0)),"")))</f>
        <v/>
      </c>
      <c r="P524" s="85" t="str">
        <f>IF($B524="","",IF(IFERROR(INDEX('RAID Log'!$1:$1048576,$B524,MATCH("Mitigation Strategy",'RAID Log'!$1:$1,0)),"")="","",IFERROR(INDEX('RAID Log'!$1:$1048576,$B524,MATCH("Mitigation Strategy",'RAID Log'!$1:$1,0)),"")))</f>
        <v/>
      </c>
      <c r="Q524" s="88" t="str">
        <f>IF($B524="","",IF(IFERROR(INDEX('RAID Log'!$1:$1048576,$B524,MATCH("RAID Response/Plan",'RAID Log'!$1:$1,0)),"")="","",IFERROR(INDEX('RAID Log'!$1:$1048576,$B524,MATCH("RAID Response/Plan",'RAID Log'!$1:$1,0)),"")))</f>
        <v/>
      </c>
    </row>
    <row r="525" spans="1:17" ht="14.25" customHeight="1">
      <c r="A525" s="82" t="str">
        <f>IF($B525="","",IF(IFERROR(INDEX('RAID Log'!$1:$1048576,$B525,MATCH("RAID ID",'RAID Log'!$1:$1,0)),"")="","",IFERROR(INDEX('RAID Log'!$1:$1048576,$B525,MATCH("RAID ID",'RAID Log'!$1:$1,0)),"")))</f>
        <v/>
      </c>
      <c r="B525" s="83" t="str">
        <f>IFERROR(MATCH(ROW()-1,'RAID Log'!$S:$S,0),"")</f>
        <v/>
      </c>
      <c r="C525" s="84" t="str">
        <f>IF($B525="","",IF(IFERROR(INDEX('RAID Log'!$1:$1048576,$B525,MATCH("Description",'RAID Log'!$1:$1,0)),"")="","",IFERROR(INDEX('RAID Log'!$1:$1048576,$B525,MATCH("Description",'RAID Log'!$1:$1,0)),"")))</f>
        <v/>
      </c>
      <c r="D525" s="84" t="str">
        <f>IF($B525="","",IF(IFERROR(INDEX('RAID Log'!$1:$1048576,$B525,MATCH("Impact/Effect of the RAID",'RAID Log'!$1:$1,0)),"")="","",IFERROR(INDEX('RAID Log'!$1:$1048576,$B525,MATCH("Impact/Effect of the RAID",'RAID Log'!$1:$1,0)),"")))</f>
        <v/>
      </c>
      <c r="E525" s="85" t="str">
        <f>IF($B525="","",IF(IFERROR(INDEX('RAID Log'!$1:$1048576,$B525,MATCH("Impact Area",'RAID Log'!$1:$1,0)),"")="","",IFERROR(INDEX('RAID Log'!$1:$1048576,$B525,MATCH("Impact Area",'RAID Log'!$1:$1,0)),"")))</f>
        <v/>
      </c>
      <c r="F525" s="85" t="str">
        <f>IF($B525="","",IF(IFERROR(INDEX('RAID Log'!$1:$1048576,$B525,MATCH("Impact Area",'RAID Log'!$1:$1,0)),"")="","",IFERROR(INDEX('RAID Log'!$1:$1048576,$B525,MATCH("Impact Area",'RAID Log'!$1:$1,0)),"")))</f>
        <v/>
      </c>
      <c r="G525" s="85" t="str">
        <f>IF($B525="","",IF(IFERROR(INDEX('RAID Log'!$1:$1048576,$B525,MATCH("Impact Rating",'RAID Log'!$1:$1,0)),"")="","",IFERROR(INDEX('RAID Log'!$1:$1048576,$B525,MATCH("Impact Rating",'RAID Log'!$1:$1,0)),"")))</f>
        <v/>
      </c>
      <c r="H525" s="85" t="str">
        <f>IF($B525="","",IF(IFERROR(INDEX('RAID Log'!$1:$1048576,$B525,MATCH("Initial Probability",'RAID Log'!$1:$1,0)),"")="","",IFERROR(INDEX('RAID Log'!$1:$1048576,$B525,MATCH("Initial Probability",'RAID Log'!$1:$1,0)),"")))</f>
        <v/>
      </c>
      <c r="I525" s="86" t="str">
        <f t="shared" si="24"/>
        <v/>
      </c>
      <c r="J525" s="85" t="str">
        <f t="shared" si="25"/>
        <v/>
      </c>
      <c r="K525" s="86" t="str">
        <f t="shared" si="26"/>
        <v/>
      </c>
      <c r="L525" s="85" t="str">
        <f>IF($B525="","",IF(IFERROR(INDEX('RAID Log'!$1:$1048576,$B525,MATCH("Status",'RAID Log'!$1:$1,0)),"")="","",IFERROR(INDEX('RAID Log'!$1:$1048576,$B525,MATCH("Status",'RAID Log'!$1:$1,0)),"")))</f>
        <v/>
      </c>
      <c r="M525" s="85" t="str">
        <f>IF($B525="","",IF(IFERROR(INDEX('RAID Log'!$1:$1048576,$B525,MATCH("RAID Owner",'RAID Log'!$1:$1,0)),"")="","",IFERROR(INDEX('RAID Log'!$1:$1048576,$B525,MATCH("RAID Owner",'RAID Log'!$1:$1,0)),"")))</f>
        <v/>
      </c>
      <c r="N525" s="87" t="str">
        <f>IF($B525="","",IF(IFERROR(INDEX('RAID Log'!$1:$1048576,$B525,MATCH("Date Raised",'RAID Log'!$1:$1,0)),"")="","",IFERROR(INDEX('RAID Log'!$1:$1048576,$B525,MATCH("Date Raised",'RAID Log'!$1:$1,0)),"")))</f>
        <v/>
      </c>
      <c r="O525" s="87" t="str">
        <f>IF($B525="","",IF(IFERROR(INDEX('RAID Log'!$1:$1048576,$B525,MATCH("Closed Date",'RAID Log'!$1:$1,0)),"")="","",IFERROR(INDEX('RAID Log'!$1:$1048576,$B525,MATCH("Closed Date",'RAID Log'!$1:$1,0)),"")))</f>
        <v/>
      </c>
      <c r="P525" s="85" t="str">
        <f>IF($B525="","",IF(IFERROR(INDEX('RAID Log'!$1:$1048576,$B525,MATCH("Mitigation Strategy",'RAID Log'!$1:$1,0)),"")="","",IFERROR(INDEX('RAID Log'!$1:$1048576,$B525,MATCH("Mitigation Strategy",'RAID Log'!$1:$1,0)),"")))</f>
        <v/>
      </c>
      <c r="Q525" s="88" t="str">
        <f>IF($B525="","",IF(IFERROR(INDEX('RAID Log'!$1:$1048576,$B525,MATCH("RAID Response/Plan",'RAID Log'!$1:$1,0)),"")="","",IFERROR(INDEX('RAID Log'!$1:$1048576,$B525,MATCH("RAID Response/Plan",'RAID Log'!$1:$1,0)),"")))</f>
        <v/>
      </c>
    </row>
    <row r="526" spans="1:17" ht="14.25" customHeight="1">
      <c r="A526" s="82" t="str">
        <f>IF($B526="","",IF(IFERROR(INDEX('RAID Log'!$1:$1048576,$B526,MATCH("RAID ID",'RAID Log'!$1:$1,0)),"")="","",IFERROR(INDEX('RAID Log'!$1:$1048576,$B526,MATCH("RAID ID",'RAID Log'!$1:$1,0)),"")))</f>
        <v/>
      </c>
      <c r="B526" s="83" t="str">
        <f>IFERROR(MATCH(ROW()-1,'RAID Log'!$S:$S,0),"")</f>
        <v/>
      </c>
      <c r="C526" s="84" t="str">
        <f>IF($B526="","",IF(IFERROR(INDEX('RAID Log'!$1:$1048576,$B526,MATCH("Description",'RAID Log'!$1:$1,0)),"")="","",IFERROR(INDEX('RAID Log'!$1:$1048576,$B526,MATCH("Description",'RAID Log'!$1:$1,0)),"")))</f>
        <v/>
      </c>
      <c r="D526" s="84" t="str">
        <f>IF($B526="","",IF(IFERROR(INDEX('RAID Log'!$1:$1048576,$B526,MATCH("Impact/Effect of the RAID",'RAID Log'!$1:$1,0)),"")="","",IFERROR(INDEX('RAID Log'!$1:$1048576,$B526,MATCH("Impact/Effect of the RAID",'RAID Log'!$1:$1,0)),"")))</f>
        <v/>
      </c>
      <c r="E526" s="85" t="str">
        <f>IF($B526="","",IF(IFERROR(INDEX('RAID Log'!$1:$1048576,$B526,MATCH("Impact Area",'RAID Log'!$1:$1,0)),"")="","",IFERROR(INDEX('RAID Log'!$1:$1048576,$B526,MATCH("Impact Area",'RAID Log'!$1:$1,0)),"")))</f>
        <v/>
      </c>
      <c r="F526" s="85" t="str">
        <f>IF($B526="","",IF(IFERROR(INDEX('RAID Log'!$1:$1048576,$B526,MATCH("Impact Area",'RAID Log'!$1:$1,0)),"")="","",IFERROR(INDEX('RAID Log'!$1:$1048576,$B526,MATCH("Impact Area",'RAID Log'!$1:$1,0)),"")))</f>
        <v/>
      </c>
      <c r="G526" s="85" t="str">
        <f>IF($B526="","",IF(IFERROR(INDEX('RAID Log'!$1:$1048576,$B526,MATCH("Impact Rating",'RAID Log'!$1:$1,0)),"")="","",IFERROR(INDEX('RAID Log'!$1:$1048576,$B526,MATCH("Impact Rating",'RAID Log'!$1:$1,0)),"")))</f>
        <v/>
      </c>
      <c r="H526" s="85" t="str">
        <f>IF($B526="","",IF(IFERROR(INDEX('RAID Log'!$1:$1048576,$B526,MATCH("Initial Probability",'RAID Log'!$1:$1,0)),"")="","",IFERROR(INDEX('RAID Log'!$1:$1048576,$B526,MATCH("Initial Probability",'RAID Log'!$1:$1,0)),"")))</f>
        <v/>
      </c>
      <c r="I526" s="86" t="str">
        <f t="shared" si="24"/>
        <v/>
      </c>
      <c r="J526" s="85" t="str">
        <f t="shared" si="25"/>
        <v/>
      </c>
      <c r="K526" s="86" t="str">
        <f t="shared" si="26"/>
        <v/>
      </c>
      <c r="L526" s="85" t="str">
        <f>IF($B526="","",IF(IFERROR(INDEX('RAID Log'!$1:$1048576,$B526,MATCH("Status",'RAID Log'!$1:$1,0)),"")="","",IFERROR(INDEX('RAID Log'!$1:$1048576,$B526,MATCH("Status",'RAID Log'!$1:$1,0)),"")))</f>
        <v/>
      </c>
      <c r="M526" s="85" t="str">
        <f>IF($B526="","",IF(IFERROR(INDEX('RAID Log'!$1:$1048576,$B526,MATCH("RAID Owner",'RAID Log'!$1:$1,0)),"")="","",IFERROR(INDEX('RAID Log'!$1:$1048576,$B526,MATCH("RAID Owner",'RAID Log'!$1:$1,0)),"")))</f>
        <v/>
      </c>
      <c r="N526" s="87" t="str">
        <f>IF($B526="","",IF(IFERROR(INDEX('RAID Log'!$1:$1048576,$B526,MATCH("Date Raised",'RAID Log'!$1:$1,0)),"")="","",IFERROR(INDEX('RAID Log'!$1:$1048576,$B526,MATCH("Date Raised",'RAID Log'!$1:$1,0)),"")))</f>
        <v/>
      </c>
      <c r="O526" s="87" t="str">
        <f>IF($B526="","",IF(IFERROR(INDEX('RAID Log'!$1:$1048576,$B526,MATCH("Closed Date",'RAID Log'!$1:$1,0)),"")="","",IFERROR(INDEX('RAID Log'!$1:$1048576,$B526,MATCH("Closed Date",'RAID Log'!$1:$1,0)),"")))</f>
        <v/>
      </c>
      <c r="P526" s="85" t="str">
        <f>IF($B526="","",IF(IFERROR(INDEX('RAID Log'!$1:$1048576,$B526,MATCH("Mitigation Strategy",'RAID Log'!$1:$1,0)),"")="","",IFERROR(INDEX('RAID Log'!$1:$1048576,$B526,MATCH("Mitigation Strategy",'RAID Log'!$1:$1,0)),"")))</f>
        <v/>
      </c>
      <c r="Q526" s="88" t="str">
        <f>IF($B526="","",IF(IFERROR(INDEX('RAID Log'!$1:$1048576,$B526,MATCH("RAID Response/Plan",'RAID Log'!$1:$1,0)),"")="","",IFERROR(INDEX('RAID Log'!$1:$1048576,$B526,MATCH("RAID Response/Plan",'RAID Log'!$1:$1,0)),"")))</f>
        <v/>
      </c>
    </row>
    <row r="527" spans="1:17" ht="14.25" customHeight="1">
      <c r="A527" s="82" t="str">
        <f>IF($B527="","",IF(IFERROR(INDEX('RAID Log'!$1:$1048576,$B527,MATCH("RAID ID",'RAID Log'!$1:$1,0)),"")="","",IFERROR(INDEX('RAID Log'!$1:$1048576,$B527,MATCH("RAID ID",'RAID Log'!$1:$1,0)),"")))</f>
        <v/>
      </c>
      <c r="B527" s="83" t="str">
        <f>IFERROR(MATCH(ROW()-1,'RAID Log'!$S:$S,0),"")</f>
        <v/>
      </c>
      <c r="C527" s="84" t="str">
        <f>IF($B527="","",IF(IFERROR(INDEX('RAID Log'!$1:$1048576,$B527,MATCH("Description",'RAID Log'!$1:$1,0)),"")="","",IFERROR(INDEX('RAID Log'!$1:$1048576,$B527,MATCH("Description",'RAID Log'!$1:$1,0)),"")))</f>
        <v/>
      </c>
      <c r="D527" s="84" t="str">
        <f>IF($B527="","",IF(IFERROR(INDEX('RAID Log'!$1:$1048576,$B527,MATCH("Impact/Effect of the RAID",'RAID Log'!$1:$1,0)),"")="","",IFERROR(INDEX('RAID Log'!$1:$1048576,$B527,MATCH("Impact/Effect of the RAID",'RAID Log'!$1:$1,0)),"")))</f>
        <v/>
      </c>
      <c r="E527" s="85" t="str">
        <f>IF($B527="","",IF(IFERROR(INDEX('RAID Log'!$1:$1048576,$B527,MATCH("Impact Area",'RAID Log'!$1:$1,0)),"")="","",IFERROR(INDEX('RAID Log'!$1:$1048576,$B527,MATCH("Impact Area",'RAID Log'!$1:$1,0)),"")))</f>
        <v/>
      </c>
      <c r="F527" s="85" t="str">
        <f>IF($B527="","",IF(IFERROR(INDEX('RAID Log'!$1:$1048576,$B527,MATCH("Impact Area",'RAID Log'!$1:$1,0)),"")="","",IFERROR(INDEX('RAID Log'!$1:$1048576,$B527,MATCH("Impact Area",'RAID Log'!$1:$1,0)),"")))</f>
        <v/>
      </c>
      <c r="G527" s="85" t="str">
        <f>IF($B527="","",IF(IFERROR(INDEX('RAID Log'!$1:$1048576,$B527,MATCH("Impact Rating",'RAID Log'!$1:$1,0)),"")="","",IFERROR(INDEX('RAID Log'!$1:$1048576,$B527,MATCH("Impact Rating",'RAID Log'!$1:$1,0)),"")))</f>
        <v/>
      </c>
      <c r="H527" s="85" t="str">
        <f>IF($B527="","",IF(IFERROR(INDEX('RAID Log'!$1:$1048576,$B527,MATCH("Initial Probability",'RAID Log'!$1:$1,0)),"")="","",IFERROR(INDEX('RAID Log'!$1:$1048576,$B527,MATCH("Initial Probability",'RAID Log'!$1:$1,0)),"")))</f>
        <v/>
      </c>
      <c r="I527" s="86" t="str">
        <f t="shared" si="24"/>
        <v/>
      </c>
      <c r="J527" s="85" t="str">
        <f t="shared" si="25"/>
        <v/>
      </c>
      <c r="K527" s="86" t="str">
        <f t="shared" si="26"/>
        <v/>
      </c>
      <c r="L527" s="85" t="str">
        <f>IF($B527="","",IF(IFERROR(INDEX('RAID Log'!$1:$1048576,$B527,MATCH("Status",'RAID Log'!$1:$1,0)),"")="","",IFERROR(INDEX('RAID Log'!$1:$1048576,$B527,MATCH("Status",'RAID Log'!$1:$1,0)),"")))</f>
        <v/>
      </c>
      <c r="M527" s="85" t="str">
        <f>IF($B527="","",IF(IFERROR(INDEX('RAID Log'!$1:$1048576,$B527,MATCH("RAID Owner",'RAID Log'!$1:$1,0)),"")="","",IFERROR(INDEX('RAID Log'!$1:$1048576,$B527,MATCH("RAID Owner",'RAID Log'!$1:$1,0)),"")))</f>
        <v/>
      </c>
      <c r="N527" s="87" t="str">
        <f>IF($B527="","",IF(IFERROR(INDEX('RAID Log'!$1:$1048576,$B527,MATCH("Date Raised",'RAID Log'!$1:$1,0)),"")="","",IFERROR(INDEX('RAID Log'!$1:$1048576,$B527,MATCH("Date Raised",'RAID Log'!$1:$1,0)),"")))</f>
        <v/>
      </c>
      <c r="O527" s="87" t="str">
        <f>IF($B527="","",IF(IFERROR(INDEX('RAID Log'!$1:$1048576,$B527,MATCH("Closed Date",'RAID Log'!$1:$1,0)),"")="","",IFERROR(INDEX('RAID Log'!$1:$1048576,$B527,MATCH("Closed Date",'RAID Log'!$1:$1,0)),"")))</f>
        <v/>
      </c>
      <c r="P527" s="85" t="str">
        <f>IF($B527="","",IF(IFERROR(INDEX('RAID Log'!$1:$1048576,$B527,MATCH("Mitigation Strategy",'RAID Log'!$1:$1,0)),"")="","",IFERROR(INDEX('RAID Log'!$1:$1048576,$B527,MATCH("Mitigation Strategy",'RAID Log'!$1:$1,0)),"")))</f>
        <v/>
      </c>
      <c r="Q527" s="88" t="str">
        <f>IF($B527="","",IF(IFERROR(INDEX('RAID Log'!$1:$1048576,$B527,MATCH("RAID Response/Plan",'RAID Log'!$1:$1,0)),"")="","",IFERROR(INDEX('RAID Log'!$1:$1048576,$B527,MATCH("RAID Response/Plan",'RAID Log'!$1:$1,0)),"")))</f>
        <v/>
      </c>
    </row>
    <row r="528" spans="1:17" ht="14.25" customHeight="1">
      <c r="A528" s="82" t="str">
        <f>IF($B528="","",IF(IFERROR(INDEX('RAID Log'!$1:$1048576,$B528,MATCH("RAID ID",'RAID Log'!$1:$1,0)),"")="","",IFERROR(INDEX('RAID Log'!$1:$1048576,$B528,MATCH("RAID ID",'RAID Log'!$1:$1,0)),"")))</f>
        <v/>
      </c>
      <c r="B528" s="83" t="str">
        <f>IFERROR(MATCH(ROW()-1,'RAID Log'!$S:$S,0),"")</f>
        <v/>
      </c>
      <c r="C528" s="84" t="str">
        <f>IF($B528="","",IF(IFERROR(INDEX('RAID Log'!$1:$1048576,$B528,MATCH("Description",'RAID Log'!$1:$1,0)),"")="","",IFERROR(INDEX('RAID Log'!$1:$1048576,$B528,MATCH("Description",'RAID Log'!$1:$1,0)),"")))</f>
        <v/>
      </c>
      <c r="D528" s="84" t="str">
        <f>IF($B528="","",IF(IFERROR(INDEX('RAID Log'!$1:$1048576,$B528,MATCH("Impact/Effect of the RAID",'RAID Log'!$1:$1,0)),"")="","",IFERROR(INDEX('RAID Log'!$1:$1048576,$B528,MATCH("Impact/Effect of the RAID",'RAID Log'!$1:$1,0)),"")))</f>
        <v/>
      </c>
      <c r="E528" s="85" t="str">
        <f>IF($B528="","",IF(IFERROR(INDEX('RAID Log'!$1:$1048576,$B528,MATCH("Impact Area",'RAID Log'!$1:$1,0)),"")="","",IFERROR(INDEX('RAID Log'!$1:$1048576,$B528,MATCH("Impact Area",'RAID Log'!$1:$1,0)),"")))</f>
        <v/>
      </c>
      <c r="F528" s="85" t="str">
        <f>IF($B528="","",IF(IFERROR(INDEX('RAID Log'!$1:$1048576,$B528,MATCH("Impact Area",'RAID Log'!$1:$1,0)),"")="","",IFERROR(INDEX('RAID Log'!$1:$1048576,$B528,MATCH("Impact Area",'RAID Log'!$1:$1,0)),"")))</f>
        <v/>
      </c>
      <c r="G528" s="85" t="str">
        <f>IF($B528="","",IF(IFERROR(INDEX('RAID Log'!$1:$1048576,$B528,MATCH("Impact Rating",'RAID Log'!$1:$1,0)),"")="","",IFERROR(INDEX('RAID Log'!$1:$1048576,$B528,MATCH("Impact Rating",'RAID Log'!$1:$1,0)),"")))</f>
        <v/>
      </c>
      <c r="H528" s="85" t="str">
        <f>IF($B528="","",IF(IFERROR(INDEX('RAID Log'!$1:$1048576,$B528,MATCH("Initial Probability",'RAID Log'!$1:$1,0)),"")="","",IFERROR(INDEX('RAID Log'!$1:$1048576,$B528,MATCH("Initial Probability",'RAID Log'!$1:$1,0)),"")))</f>
        <v/>
      </c>
      <c r="I528" s="86" t="str">
        <f t="shared" si="24"/>
        <v/>
      </c>
      <c r="J528" s="85" t="str">
        <f t="shared" si="25"/>
        <v/>
      </c>
      <c r="K528" s="86" t="str">
        <f t="shared" si="26"/>
        <v/>
      </c>
      <c r="L528" s="85" t="str">
        <f>IF($B528="","",IF(IFERROR(INDEX('RAID Log'!$1:$1048576,$B528,MATCH("Status",'RAID Log'!$1:$1,0)),"")="","",IFERROR(INDEX('RAID Log'!$1:$1048576,$B528,MATCH("Status",'RAID Log'!$1:$1,0)),"")))</f>
        <v/>
      </c>
      <c r="M528" s="85" t="str">
        <f>IF($B528="","",IF(IFERROR(INDEX('RAID Log'!$1:$1048576,$B528,MATCH("RAID Owner",'RAID Log'!$1:$1,0)),"")="","",IFERROR(INDEX('RAID Log'!$1:$1048576,$B528,MATCH("RAID Owner",'RAID Log'!$1:$1,0)),"")))</f>
        <v/>
      </c>
      <c r="N528" s="87" t="str">
        <f>IF($B528="","",IF(IFERROR(INDEX('RAID Log'!$1:$1048576,$B528,MATCH("Date Raised",'RAID Log'!$1:$1,0)),"")="","",IFERROR(INDEX('RAID Log'!$1:$1048576,$B528,MATCH("Date Raised",'RAID Log'!$1:$1,0)),"")))</f>
        <v/>
      </c>
      <c r="O528" s="87" t="str">
        <f>IF($B528="","",IF(IFERROR(INDEX('RAID Log'!$1:$1048576,$B528,MATCH("Closed Date",'RAID Log'!$1:$1,0)),"")="","",IFERROR(INDEX('RAID Log'!$1:$1048576,$B528,MATCH("Closed Date",'RAID Log'!$1:$1,0)),"")))</f>
        <v/>
      </c>
      <c r="P528" s="85" t="str">
        <f>IF($B528="","",IF(IFERROR(INDEX('RAID Log'!$1:$1048576,$B528,MATCH("Mitigation Strategy",'RAID Log'!$1:$1,0)),"")="","",IFERROR(INDEX('RAID Log'!$1:$1048576,$B528,MATCH("Mitigation Strategy",'RAID Log'!$1:$1,0)),"")))</f>
        <v/>
      </c>
      <c r="Q528" s="88" t="str">
        <f>IF($B528="","",IF(IFERROR(INDEX('RAID Log'!$1:$1048576,$B528,MATCH("RAID Response/Plan",'RAID Log'!$1:$1,0)),"")="","",IFERROR(INDEX('RAID Log'!$1:$1048576,$B528,MATCH("RAID Response/Plan",'RAID Log'!$1:$1,0)),"")))</f>
        <v/>
      </c>
    </row>
    <row r="529" spans="1:17" ht="14.25" customHeight="1">
      <c r="A529" s="82" t="str">
        <f>IF($B529="","",IF(IFERROR(INDEX('RAID Log'!$1:$1048576,$B529,MATCH("RAID ID",'RAID Log'!$1:$1,0)),"")="","",IFERROR(INDEX('RAID Log'!$1:$1048576,$B529,MATCH("RAID ID",'RAID Log'!$1:$1,0)),"")))</f>
        <v/>
      </c>
      <c r="B529" s="83" t="str">
        <f>IFERROR(MATCH(ROW()-1,'RAID Log'!$S:$S,0),"")</f>
        <v/>
      </c>
      <c r="C529" s="84" t="str">
        <f>IF($B529="","",IF(IFERROR(INDEX('RAID Log'!$1:$1048576,$B529,MATCH("Description",'RAID Log'!$1:$1,0)),"")="","",IFERROR(INDEX('RAID Log'!$1:$1048576,$B529,MATCH("Description",'RAID Log'!$1:$1,0)),"")))</f>
        <v/>
      </c>
      <c r="D529" s="84" t="str">
        <f>IF($B529="","",IF(IFERROR(INDEX('RAID Log'!$1:$1048576,$B529,MATCH("Impact/Effect of the RAID",'RAID Log'!$1:$1,0)),"")="","",IFERROR(INDEX('RAID Log'!$1:$1048576,$B529,MATCH("Impact/Effect of the RAID",'RAID Log'!$1:$1,0)),"")))</f>
        <v/>
      </c>
      <c r="E529" s="85" t="str">
        <f>IF($B529="","",IF(IFERROR(INDEX('RAID Log'!$1:$1048576,$B529,MATCH("Impact Area",'RAID Log'!$1:$1,0)),"")="","",IFERROR(INDEX('RAID Log'!$1:$1048576,$B529,MATCH("Impact Area",'RAID Log'!$1:$1,0)),"")))</f>
        <v/>
      </c>
      <c r="F529" s="85" t="str">
        <f>IF($B529="","",IF(IFERROR(INDEX('RAID Log'!$1:$1048576,$B529,MATCH("Impact Area",'RAID Log'!$1:$1,0)),"")="","",IFERROR(INDEX('RAID Log'!$1:$1048576,$B529,MATCH("Impact Area",'RAID Log'!$1:$1,0)),"")))</f>
        <v/>
      </c>
      <c r="G529" s="85" t="str">
        <f>IF($B529="","",IF(IFERROR(INDEX('RAID Log'!$1:$1048576,$B529,MATCH("Impact Rating",'RAID Log'!$1:$1,0)),"")="","",IFERROR(INDEX('RAID Log'!$1:$1048576,$B529,MATCH("Impact Rating",'RAID Log'!$1:$1,0)),"")))</f>
        <v/>
      </c>
      <c r="H529" s="85" t="str">
        <f>IF($B529="","",IF(IFERROR(INDEX('RAID Log'!$1:$1048576,$B529,MATCH("Initial Probability",'RAID Log'!$1:$1,0)),"")="","",IFERROR(INDEX('RAID Log'!$1:$1048576,$B529,MATCH("Initial Probability",'RAID Log'!$1:$1,0)),"")))</f>
        <v/>
      </c>
      <c r="I529" s="86" t="str">
        <f t="shared" si="24"/>
        <v/>
      </c>
      <c r="J529" s="85" t="str">
        <f t="shared" si="25"/>
        <v/>
      </c>
      <c r="K529" s="86" t="str">
        <f t="shared" si="26"/>
        <v/>
      </c>
      <c r="L529" s="85" t="str">
        <f>IF($B529="","",IF(IFERROR(INDEX('RAID Log'!$1:$1048576,$B529,MATCH("Status",'RAID Log'!$1:$1,0)),"")="","",IFERROR(INDEX('RAID Log'!$1:$1048576,$B529,MATCH("Status",'RAID Log'!$1:$1,0)),"")))</f>
        <v/>
      </c>
      <c r="M529" s="85" t="str">
        <f>IF($B529="","",IF(IFERROR(INDEX('RAID Log'!$1:$1048576,$B529,MATCH("RAID Owner",'RAID Log'!$1:$1,0)),"")="","",IFERROR(INDEX('RAID Log'!$1:$1048576,$B529,MATCH("RAID Owner",'RAID Log'!$1:$1,0)),"")))</f>
        <v/>
      </c>
      <c r="N529" s="87" t="str">
        <f>IF($B529="","",IF(IFERROR(INDEX('RAID Log'!$1:$1048576,$B529,MATCH("Date Raised",'RAID Log'!$1:$1,0)),"")="","",IFERROR(INDEX('RAID Log'!$1:$1048576,$B529,MATCH("Date Raised",'RAID Log'!$1:$1,0)),"")))</f>
        <v/>
      </c>
      <c r="O529" s="87" t="str">
        <f>IF($B529="","",IF(IFERROR(INDEX('RAID Log'!$1:$1048576,$B529,MATCH("Closed Date",'RAID Log'!$1:$1,0)),"")="","",IFERROR(INDEX('RAID Log'!$1:$1048576,$B529,MATCH("Closed Date",'RAID Log'!$1:$1,0)),"")))</f>
        <v/>
      </c>
      <c r="P529" s="85" t="str">
        <f>IF($B529="","",IF(IFERROR(INDEX('RAID Log'!$1:$1048576,$B529,MATCH("Mitigation Strategy",'RAID Log'!$1:$1,0)),"")="","",IFERROR(INDEX('RAID Log'!$1:$1048576,$B529,MATCH("Mitigation Strategy",'RAID Log'!$1:$1,0)),"")))</f>
        <v/>
      </c>
      <c r="Q529" s="88" t="str">
        <f>IF($B529="","",IF(IFERROR(INDEX('RAID Log'!$1:$1048576,$B529,MATCH("RAID Response/Plan",'RAID Log'!$1:$1,0)),"")="","",IFERROR(INDEX('RAID Log'!$1:$1048576,$B529,MATCH("RAID Response/Plan",'RAID Log'!$1:$1,0)),"")))</f>
        <v/>
      </c>
    </row>
    <row r="530" spans="1:17" ht="14.25" customHeight="1">
      <c r="A530" s="82" t="str">
        <f>IF($B530="","",IF(IFERROR(INDEX('RAID Log'!$1:$1048576,$B530,MATCH("RAID ID",'RAID Log'!$1:$1,0)),"")="","",IFERROR(INDEX('RAID Log'!$1:$1048576,$B530,MATCH("RAID ID",'RAID Log'!$1:$1,0)),"")))</f>
        <v/>
      </c>
      <c r="B530" s="83" t="str">
        <f>IFERROR(MATCH(ROW()-1,'RAID Log'!$S:$S,0),"")</f>
        <v/>
      </c>
      <c r="C530" s="84" t="str">
        <f>IF($B530="","",IF(IFERROR(INDEX('RAID Log'!$1:$1048576,$B530,MATCH("Description",'RAID Log'!$1:$1,0)),"")="","",IFERROR(INDEX('RAID Log'!$1:$1048576,$B530,MATCH("Description",'RAID Log'!$1:$1,0)),"")))</f>
        <v/>
      </c>
      <c r="D530" s="84" t="str">
        <f>IF($B530="","",IF(IFERROR(INDEX('RAID Log'!$1:$1048576,$B530,MATCH("Impact/Effect of the RAID",'RAID Log'!$1:$1,0)),"")="","",IFERROR(INDEX('RAID Log'!$1:$1048576,$B530,MATCH("Impact/Effect of the RAID",'RAID Log'!$1:$1,0)),"")))</f>
        <v/>
      </c>
      <c r="E530" s="85" t="str">
        <f>IF($B530="","",IF(IFERROR(INDEX('RAID Log'!$1:$1048576,$B530,MATCH("Impact Area",'RAID Log'!$1:$1,0)),"")="","",IFERROR(INDEX('RAID Log'!$1:$1048576,$B530,MATCH("Impact Area",'RAID Log'!$1:$1,0)),"")))</f>
        <v/>
      </c>
      <c r="F530" s="85" t="str">
        <f>IF($B530="","",IF(IFERROR(INDEX('RAID Log'!$1:$1048576,$B530,MATCH("Impact Area",'RAID Log'!$1:$1,0)),"")="","",IFERROR(INDEX('RAID Log'!$1:$1048576,$B530,MATCH("Impact Area",'RAID Log'!$1:$1,0)),"")))</f>
        <v/>
      </c>
      <c r="G530" s="85" t="str">
        <f>IF($B530="","",IF(IFERROR(INDEX('RAID Log'!$1:$1048576,$B530,MATCH("Impact Rating",'RAID Log'!$1:$1,0)),"")="","",IFERROR(INDEX('RAID Log'!$1:$1048576,$B530,MATCH("Impact Rating",'RAID Log'!$1:$1,0)),"")))</f>
        <v/>
      </c>
      <c r="H530" s="85" t="str">
        <f>IF($B530="","",IF(IFERROR(INDEX('RAID Log'!$1:$1048576,$B530,MATCH("Initial Probability",'RAID Log'!$1:$1,0)),"")="","",IFERROR(INDEX('RAID Log'!$1:$1048576,$B530,MATCH("Initial Probability",'RAID Log'!$1:$1,0)),"")))</f>
        <v/>
      </c>
      <c r="I530" s="86" t="str">
        <f t="shared" si="24"/>
        <v/>
      </c>
      <c r="J530" s="85" t="str">
        <f t="shared" si="25"/>
        <v/>
      </c>
      <c r="K530" s="86" t="str">
        <f t="shared" si="26"/>
        <v/>
      </c>
      <c r="L530" s="85" t="str">
        <f>IF($B530="","",IF(IFERROR(INDEX('RAID Log'!$1:$1048576,$B530,MATCH("Status",'RAID Log'!$1:$1,0)),"")="","",IFERROR(INDEX('RAID Log'!$1:$1048576,$B530,MATCH("Status",'RAID Log'!$1:$1,0)),"")))</f>
        <v/>
      </c>
      <c r="M530" s="85" t="str">
        <f>IF($B530="","",IF(IFERROR(INDEX('RAID Log'!$1:$1048576,$B530,MATCH("RAID Owner",'RAID Log'!$1:$1,0)),"")="","",IFERROR(INDEX('RAID Log'!$1:$1048576,$B530,MATCH("RAID Owner",'RAID Log'!$1:$1,0)),"")))</f>
        <v/>
      </c>
      <c r="N530" s="87" t="str">
        <f>IF($B530="","",IF(IFERROR(INDEX('RAID Log'!$1:$1048576,$B530,MATCH("Date Raised",'RAID Log'!$1:$1,0)),"")="","",IFERROR(INDEX('RAID Log'!$1:$1048576,$B530,MATCH("Date Raised",'RAID Log'!$1:$1,0)),"")))</f>
        <v/>
      </c>
      <c r="O530" s="87" t="str">
        <f>IF($B530="","",IF(IFERROR(INDEX('RAID Log'!$1:$1048576,$B530,MATCH("Closed Date",'RAID Log'!$1:$1,0)),"")="","",IFERROR(INDEX('RAID Log'!$1:$1048576,$B530,MATCH("Closed Date",'RAID Log'!$1:$1,0)),"")))</f>
        <v/>
      </c>
      <c r="P530" s="85" t="str">
        <f>IF($B530="","",IF(IFERROR(INDEX('RAID Log'!$1:$1048576,$B530,MATCH("Mitigation Strategy",'RAID Log'!$1:$1,0)),"")="","",IFERROR(INDEX('RAID Log'!$1:$1048576,$B530,MATCH("Mitigation Strategy",'RAID Log'!$1:$1,0)),"")))</f>
        <v/>
      </c>
      <c r="Q530" s="88" t="str">
        <f>IF($B530="","",IF(IFERROR(INDEX('RAID Log'!$1:$1048576,$B530,MATCH("RAID Response/Plan",'RAID Log'!$1:$1,0)),"")="","",IFERROR(INDEX('RAID Log'!$1:$1048576,$B530,MATCH("RAID Response/Plan",'RAID Log'!$1:$1,0)),"")))</f>
        <v/>
      </c>
    </row>
    <row r="531" spans="1:17" ht="14.25" customHeight="1">
      <c r="A531" s="82" t="str">
        <f>IF($B531="","",IF(IFERROR(INDEX('RAID Log'!$1:$1048576,$B531,MATCH("RAID ID",'RAID Log'!$1:$1,0)),"")="","",IFERROR(INDEX('RAID Log'!$1:$1048576,$B531,MATCH("RAID ID",'RAID Log'!$1:$1,0)),"")))</f>
        <v/>
      </c>
      <c r="B531" s="83" t="str">
        <f>IFERROR(MATCH(ROW()-1,'RAID Log'!$S:$S,0),"")</f>
        <v/>
      </c>
      <c r="C531" s="84" t="str">
        <f>IF($B531="","",IF(IFERROR(INDEX('RAID Log'!$1:$1048576,$B531,MATCH("Description",'RAID Log'!$1:$1,0)),"")="","",IFERROR(INDEX('RAID Log'!$1:$1048576,$B531,MATCH("Description",'RAID Log'!$1:$1,0)),"")))</f>
        <v/>
      </c>
      <c r="D531" s="84" t="str">
        <f>IF($B531="","",IF(IFERROR(INDEX('RAID Log'!$1:$1048576,$B531,MATCH("Impact/Effect of the RAID",'RAID Log'!$1:$1,0)),"")="","",IFERROR(INDEX('RAID Log'!$1:$1048576,$B531,MATCH("Impact/Effect of the RAID",'RAID Log'!$1:$1,0)),"")))</f>
        <v/>
      </c>
      <c r="E531" s="85" t="str">
        <f>IF($B531="","",IF(IFERROR(INDEX('RAID Log'!$1:$1048576,$B531,MATCH("Impact Area",'RAID Log'!$1:$1,0)),"")="","",IFERROR(INDEX('RAID Log'!$1:$1048576,$B531,MATCH("Impact Area",'RAID Log'!$1:$1,0)),"")))</f>
        <v/>
      </c>
      <c r="F531" s="85" t="str">
        <f>IF($B531="","",IF(IFERROR(INDEX('RAID Log'!$1:$1048576,$B531,MATCH("Impact Area",'RAID Log'!$1:$1,0)),"")="","",IFERROR(INDEX('RAID Log'!$1:$1048576,$B531,MATCH("Impact Area",'RAID Log'!$1:$1,0)),"")))</f>
        <v/>
      </c>
      <c r="G531" s="85" t="str">
        <f>IF($B531="","",IF(IFERROR(INDEX('RAID Log'!$1:$1048576,$B531,MATCH("Impact Rating",'RAID Log'!$1:$1,0)),"")="","",IFERROR(INDEX('RAID Log'!$1:$1048576,$B531,MATCH("Impact Rating",'RAID Log'!$1:$1,0)),"")))</f>
        <v/>
      </c>
      <c r="H531" s="85" t="str">
        <f>IF($B531="","",IF(IFERROR(INDEX('RAID Log'!$1:$1048576,$B531,MATCH("Initial Probability",'RAID Log'!$1:$1,0)),"")="","",IFERROR(INDEX('RAID Log'!$1:$1048576,$B531,MATCH("Initial Probability",'RAID Log'!$1:$1,0)),"")))</f>
        <v/>
      </c>
      <c r="I531" s="86" t="str">
        <f t="shared" si="24"/>
        <v/>
      </c>
      <c r="J531" s="85" t="str">
        <f t="shared" si="25"/>
        <v/>
      </c>
      <c r="K531" s="86" t="str">
        <f t="shared" si="26"/>
        <v/>
      </c>
      <c r="L531" s="85" t="str">
        <f>IF($B531="","",IF(IFERROR(INDEX('RAID Log'!$1:$1048576,$B531,MATCH("Status",'RAID Log'!$1:$1,0)),"")="","",IFERROR(INDEX('RAID Log'!$1:$1048576,$B531,MATCH("Status",'RAID Log'!$1:$1,0)),"")))</f>
        <v/>
      </c>
      <c r="M531" s="85" t="str">
        <f>IF($B531="","",IF(IFERROR(INDEX('RAID Log'!$1:$1048576,$B531,MATCH("RAID Owner",'RAID Log'!$1:$1,0)),"")="","",IFERROR(INDEX('RAID Log'!$1:$1048576,$B531,MATCH("RAID Owner",'RAID Log'!$1:$1,0)),"")))</f>
        <v/>
      </c>
      <c r="N531" s="87" t="str">
        <f>IF($B531="","",IF(IFERROR(INDEX('RAID Log'!$1:$1048576,$B531,MATCH("Date Raised",'RAID Log'!$1:$1,0)),"")="","",IFERROR(INDEX('RAID Log'!$1:$1048576,$B531,MATCH("Date Raised",'RAID Log'!$1:$1,0)),"")))</f>
        <v/>
      </c>
      <c r="O531" s="87" t="str">
        <f>IF($B531="","",IF(IFERROR(INDEX('RAID Log'!$1:$1048576,$B531,MATCH("Closed Date",'RAID Log'!$1:$1,0)),"")="","",IFERROR(INDEX('RAID Log'!$1:$1048576,$B531,MATCH("Closed Date",'RAID Log'!$1:$1,0)),"")))</f>
        <v/>
      </c>
      <c r="P531" s="85" t="str">
        <f>IF($B531="","",IF(IFERROR(INDEX('RAID Log'!$1:$1048576,$B531,MATCH("Mitigation Strategy",'RAID Log'!$1:$1,0)),"")="","",IFERROR(INDEX('RAID Log'!$1:$1048576,$B531,MATCH("Mitigation Strategy",'RAID Log'!$1:$1,0)),"")))</f>
        <v/>
      </c>
      <c r="Q531" s="88" t="str">
        <f>IF($B531="","",IF(IFERROR(INDEX('RAID Log'!$1:$1048576,$B531,MATCH("RAID Response/Plan",'RAID Log'!$1:$1,0)),"")="","",IFERROR(INDEX('RAID Log'!$1:$1048576,$B531,MATCH("RAID Response/Plan",'RAID Log'!$1:$1,0)),"")))</f>
        <v/>
      </c>
    </row>
    <row r="532" spans="1:17" ht="14.25" customHeight="1">
      <c r="A532" s="82" t="str">
        <f>IF($B532="","",IF(IFERROR(INDEX('RAID Log'!$1:$1048576,$B532,MATCH("RAID ID",'RAID Log'!$1:$1,0)),"")="","",IFERROR(INDEX('RAID Log'!$1:$1048576,$B532,MATCH("RAID ID",'RAID Log'!$1:$1,0)),"")))</f>
        <v/>
      </c>
      <c r="B532" s="83" t="str">
        <f>IFERROR(MATCH(ROW()-1,'RAID Log'!$S:$S,0),"")</f>
        <v/>
      </c>
      <c r="C532" s="84" t="str">
        <f>IF($B532="","",IF(IFERROR(INDEX('RAID Log'!$1:$1048576,$B532,MATCH("Description",'RAID Log'!$1:$1,0)),"")="","",IFERROR(INDEX('RAID Log'!$1:$1048576,$B532,MATCH("Description",'RAID Log'!$1:$1,0)),"")))</f>
        <v/>
      </c>
      <c r="D532" s="84" t="str">
        <f>IF($B532="","",IF(IFERROR(INDEX('RAID Log'!$1:$1048576,$B532,MATCH("Impact/Effect of the RAID",'RAID Log'!$1:$1,0)),"")="","",IFERROR(INDEX('RAID Log'!$1:$1048576,$B532,MATCH("Impact/Effect of the RAID",'RAID Log'!$1:$1,0)),"")))</f>
        <v/>
      </c>
      <c r="E532" s="85" t="str">
        <f>IF($B532="","",IF(IFERROR(INDEX('RAID Log'!$1:$1048576,$B532,MATCH("Impact Area",'RAID Log'!$1:$1,0)),"")="","",IFERROR(INDEX('RAID Log'!$1:$1048576,$B532,MATCH("Impact Area",'RAID Log'!$1:$1,0)),"")))</f>
        <v/>
      </c>
      <c r="F532" s="85" t="str">
        <f>IF($B532="","",IF(IFERROR(INDEX('RAID Log'!$1:$1048576,$B532,MATCH("Impact Area",'RAID Log'!$1:$1,0)),"")="","",IFERROR(INDEX('RAID Log'!$1:$1048576,$B532,MATCH("Impact Area",'RAID Log'!$1:$1,0)),"")))</f>
        <v/>
      </c>
      <c r="G532" s="85" t="str">
        <f>IF($B532="","",IF(IFERROR(INDEX('RAID Log'!$1:$1048576,$B532,MATCH("Impact Rating",'RAID Log'!$1:$1,0)),"")="","",IFERROR(INDEX('RAID Log'!$1:$1048576,$B532,MATCH("Impact Rating",'RAID Log'!$1:$1,0)),"")))</f>
        <v/>
      </c>
      <c r="H532" s="85" t="str">
        <f>IF($B532="","",IF(IFERROR(INDEX('RAID Log'!$1:$1048576,$B532,MATCH("Initial Probability",'RAID Log'!$1:$1,0)),"")="","",IFERROR(INDEX('RAID Log'!$1:$1048576,$B532,MATCH("Initial Probability",'RAID Log'!$1:$1,0)),"")))</f>
        <v/>
      </c>
      <c r="I532" s="86" t="str">
        <f t="shared" si="24"/>
        <v/>
      </c>
      <c r="J532" s="85" t="str">
        <f t="shared" si="25"/>
        <v/>
      </c>
      <c r="K532" s="86" t="str">
        <f t="shared" si="26"/>
        <v/>
      </c>
      <c r="L532" s="85" t="str">
        <f>IF($B532="","",IF(IFERROR(INDEX('RAID Log'!$1:$1048576,$B532,MATCH("Status",'RAID Log'!$1:$1,0)),"")="","",IFERROR(INDEX('RAID Log'!$1:$1048576,$B532,MATCH("Status",'RAID Log'!$1:$1,0)),"")))</f>
        <v/>
      </c>
      <c r="M532" s="85" t="str">
        <f>IF($B532="","",IF(IFERROR(INDEX('RAID Log'!$1:$1048576,$B532,MATCH("RAID Owner",'RAID Log'!$1:$1,0)),"")="","",IFERROR(INDEX('RAID Log'!$1:$1048576,$B532,MATCH("RAID Owner",'RAID Log'!$1:$1,0)),"")))</f>
        <v/>
      </c>
      <c r="N532" s="87" t="str">
        <f>IF($B532="","",IF(IFERROR(INDEX('RAID Log'!$1:$1048576,$B532,MATCH("Date Raised",'RAID Log'!$1:$1,0)),"")="","",IFERROR(INDEX('RAID Log'!$1:$1048576,$B532,MATCH("Date Raised",'RAID Log'!$1:$1,0)),"")))</f>
        <v/>
      </c>
      <c r="O532" s="87" t="str">
        <f>IF($B532="","",IF(IFERROR(INDEX('RAID Log'!$1:$1048576,$B532,MATCH("Closed Date",'RAID Log'!$1:$1,0)),"")="","",IFERROR(INDEX('RAID Log'!$1:$1048576,$B532,MATCH("Closed Date",'RAID Log'!$1:$1,0)),"")))</f>
        <v/>
      </c>
      <c r="P532" s="85" t="str">
        <f>IF($B532="","",IF(IFERROR(INDEX('RAID Log'!$1:$1048576,$B532,MATCH("Mitigation Strategy",'RAID Log'!$1:$1,0)),"")="","",IFERROR(INDEX('RAID Log'!$1:$1048576,$B532,MATCH("Mitigation Strategy",'RAID Log'!$1:$1,0)),"")))</f>
        <v/>
      </c>
      <c r="Q532" s="88" t="str">
        <f>IF($B532="","",IF(IFERROR(INDEX('RAID Log'!$1:$1048576,$B532,MATCH("RAID Response/Plan",'RAID Log'!$1:$1,0)),"")="","",IFERROR(INDEX('RAID Log'!$1:$1048576,$B532,MATCH("RAID Response/Plan",'RAID Log'!$1:$1,0)),"")))</f>
        <v/>
      </c>
    </row>
    <row r="533" spans="1:17" ht="14.25" customHeight="1">
      <c r="A533" s="82" t="str">
        <f>IF($B533="","",IF(IFERROR(INDEX('RAID Log'!$1:$1048576,$B533,MATCH("RAID ID",'RAID Log'!$1:$1,0)),"")="","",IFERROR(INDEX('RAID Log'!$1:$1048576,$B533,MATCH("RAID ID",'RAID Log'!$1:$1,0)),"")))</f>
        <v/>
      </c>
      <c r="B533" s="83" t="str">
        <f>IFERROR(MATCH(ROW()-1,'RAID Log'!$S:$S,0),"")</f>
        <v/>
      </c>
      <c r="C533" s="84" t="str">
        <f>IF($B533="","",IF(IFERROR(INDEX('RAID Log'!$1:$1048576,$B533,MATCH("Description",'RAID Log'!$1:$1,0)),"")="","",IFERROR(INDEX('RAID Log'!$1:$1048576,$B533,MATCH("Description",'RAID Log'!$1:$1,0)),"")))</f>
        <v/>
      </c>
      <c r="D533" s="84" t="str">
        <f>IF($B533="","",IF(IFERROR(INDEX('RAID Log'!$1:$1048576,$B533,MATCH("Impact/Effect of the RAID",'RAID Log'!$1:$1,0)),"")="","",IFERROR(INDEX('RAID Log'!$1:$1048576,$B533,MATCH("Impact/Effect of the RAID",'RAID Log'!$1:$1,0)),"")))</f>
        <v/>
      </c>
      <c r="E533" s="85" t="str">
        <f>IF($B533="","",IF(IFERROR(INDEX('RAID Log'!$1:$1048576,$B533,MATCH("Impact Area",'RAID Log'!$1:$1,0)),"")="","",IFERROR(INDEX('RAID Log'!$1:$1048576,$B533,MATCH("Impact Area",'RAID Log'!$1:$1,0)),"")))</f>
        <v/>
      </c>
      <c r="F533" s="85" t="str">
        <f>IF($B533="","",IF(IFERROR(INDEX('RAID Log'!$1:$1048576,$B533,MATCH("Impact Area",'RAID Log'!$1:$1,0)),"")="","",IFERROR(INDEX('RAID Log'!$1:$1048576,$B533,MATCH("Impact Area",'RAID Log'!$1:$1,0)),"")))</f>
        <v/>
      </c>
      <c r="G533" s="85" t="str">
        <f>IF($B533="","",IF(IFERROR(INDEX('RAID Log'!$1:$1048576,$B533,MATCH("Impact Rating",'RAID Log'!$1:$1,0)),"")="","",IFERROR(INDEX('RAID Log'!$1:$1048576,$B533,MATCH("Impact Rating",'RAID Log'!$1:$1,0)),"")))</f>
        <v/>
      </c>
      <c r="H533" s="85" t="str">
        <f>IF($B533="","",IF(IFERROR(INDEX('RAID Log'!$1:$1048576,$B533,MATCH("Initial Probability",'RAID Log'!$1:$1,0)),"")="","",IFERROR(INDEX('RAID Log'!$1:$1048576,$B533,MATCH("Initial Probability",'RAID Log'!$1:$1,0)),"")))</f>
        <v/>
      </c>
      <c r="I533" s="86" t="str">
        <f t="shared" si="24"/>
        <v/>
      </c>
      <c r="J533" s="85" t="str">
        <f t="shared" si="25"/>
        <v/>
      </c>
      <c r="K533" s="86" t="str">
        <f t="shared" si="26"/>
        <v/>
      </c>
      <c r="L533" s="85" t="str">
        <f>IF($B533="","",IF(IFERROR(INDEX('RAID Log'!$1:$1048576,$B533,MATCH("Status",'RAID Log'!$1:$1,0)),"")="","",IFERROR(INDEX('RAID Log'!$1:$1048576,$B533,MATCH("Status",'RAID Log'!$1:$1,0)),"")))</f>
        <v/>
      </c>
      <c r="M533" s="85" t="str">
        <f>IF($B533="","",IF(IFERROR(INDEX('RAID Log'!$1:$1048576,$B533,MATCH("RAID Owner",'RAID Log'!$1:$1,0)),"")="","",IFERROR(INDEX('RAID Log'!$1:$1048576,$B533,MATCH("RAID Owner",'RAID Log'!$1:$1,0)),"")))</f>
        <v/>
      </c>
      <c r="N533" s="87" t="str">
        <f>IF($B533="","",IF(IFERROR(INDEX('RAID Log'!$1:$1048576,$B533,MATCH("Date Raised",'RAID Log'!$1:$1,0)),"")="","",IFERROR(INDEX('RAID Log'!$1:$1048576,$B533,MATCH("Date Raised",'RAID Log'!$1:$1,0)),"")))</f>
        <v/>
      </c>
      <c r="O533" s="87" t="str">
        <f>IF($B533="","",IF(IFERROR(INDEX('RAID Log'!$1:$1048576,$B533,MATCH("Closed Date",'RAID Log'!$1:$1,0)),"")="","",IFERROR(INDEX('RAID Log'!$1:$1048576,$B533,MATCH("Closed Date",'RAID Log'!$1:$1,0)),"")))</f>
        <v/>
      </c>
      <c r="P533" s="85" t="str">
        <f>IF($B533="","",IF(IFERROR(INDEX('RAID Log'!$1:$1048576,$B533,MATCH("Mitigation Strategy",'RAID Log'!$1:$1,0)),"")="","",IFERROR(INDEX('RAID Log'!$1:$1048576,$B533,MATCH("Mitigation Strategy",'RAID Log'!$1:$1,0)),"")))</f>
        <v/>
      </c>
      <c r="Q533" s="88" t="str">
        <f>IF($B533="","",IF(IFERROR(INDEX('RAID Log'!$1:$1048576,$B533,MATCH("RAID Response/Plan",'RAID Log'!$1:$1,0)),"")="","",IFERROR(INDEX('RAID Log'!$1:$1048576,$B533,MATCH("RAID Response/Plan",'RAID Log'!$1:$1,0)),"")))</f>
        <v/>
      </c>
    </row>
    <row r="534" spans="1:17" ht="14.25" customHeight="1">
      <c r="A534" s="82" t="str">
        <f>IF($B534="","",IF(IFERROR(INDEX('RAID Log'!$1:$1048576,$B534,MATCH("RAID ID",'RAID Log'!$1:$1,0)),"")="","",IFERROR(INDEX('RAID Log'!$1:$1048576,$B534,MATCH("RAID ID",'RAID Log'!$1:$1,0)),"")))</f>
        <v/>
      </c>
      <c r="B534" s="83" t="str">
        <f>IFERROR(MATCH(ROW()-1,'RAID Log'!$S:$S,0),"")</f>
        <v/>
      </c>
      <c r="C534" s="84" t="str">
        <f>IF($B534="","",IF(IFERROR(INDEX('RAID Log'!$1:$1048576,$B534,MATCH("Description",'RAID Log'!$1:$1,0)),"")="","",IFERROR(INDEX('RAID Log'!$1:$1048576,$B534,MATCH("Description",'RAID Log'!$1:$1,0)),"")))</f>
        <v/>
      </c>
      <c r="D534" s="84" t="str">
        <f>IF($B534="","",IF(IFERROR(INDEX('RAID Log'!$1:$1048576,$B534,MATCH("Impact/Effect of the RAID",'RAID Log'!$1:$1,0)),"")="","",IFERROR(INDEX('RAID Log'!$1:$1048576,$B534,MATCH("Impact/Effect of the RAID",'RAID Log'!$1:$1,0)),"")))</f>
        <v/>
      </c>
      <c r="E534" s="85" t="str">
        <f>IF($B534="","",IF(IFERROR(INDEX('RAID Log'!$1:$1048576,$B534,MATCH("Impact Area",'RAID Log'!$1:$1,0)),"")="","",IFERROR(INDEX('RAID Log'!$1:$1048576,$B534,MATCH("Impact Area",'RAID Log'!$1:$1,0)),"")))</f>
        <v/>
      </c>
      <c r="F534" s="85" t="str">
        <f>IF($B534="","",IF(IFERROR(INDEX('RAID Log'!$1:$1048576,$B534,MATCH("Impact Area",'RAID Log'!$1:$1,0)),"")="","",IFERROR(INDEX('RAID Log'!$1:$1048576,$B534,MATCH("Impact Area",'RAID Log'!$1:$1,0)),"")))</f>
        <v/>
      </c>
      <c r="G534" s="85" t="str">
        <f>IF($B534="","",IF(IFERROR(INDEX('RAID Log'!$1:$1048576,$B534,MATCH("Impact Rating",'RAID Log'!$1:$1,0)),"")="","",IFERROR(INDEX('RAID Log'!$1:$1048576,$B534,MATCH("Impact Rating",'RAID Log'!$1:$1,0)),"")))</f>
        <v/>
      </c>
      <c r="H534" s="85" t="str">
        <f>IF($B534="","",IF(IFERROR(INDEX('RAID Log'!$1:$1048576,$B534,MATCH("Initial Probability",'RAID Log'!$1:$1,0)),"")="","",IFERROR(INDEX('RAID Log'!$1:$1048576,$B534,MATCH("Initial Probability",'RAID Log'!$1:$1,0)),"")))</f>
        <v/>
      </c>
      <c r="I534" s="86" t="str">
        <f t="shared" si="24"/>
        <v/>
      </c>
      <c r="J534" s="85" t="str">
        <f t="shared" si="25"/>
        <v/>
      </c>
      <c r="K534" s="86" t="str">
        <f t="shared" si="26"/>
        <v/>
      </c>
      <c r="L534" s="85" t="str">
        <f>IF($B534="","",IF(IFERROR(INDEX('RAID Log'!$1:$1048576,$B534,MATCH("Status",'RAID Log'!$1:$1,0)),"")="","",IFERROR(INDEX('RAID Log'!$1:$1048576,$B534,MATCH("Status",'RAID Log'!$1:$1,0)),"")))</f>
        <v/>
      </c>
      <c r="M534" s="85" t="str">
        <f>IF($B534="","",IF(IFERROR(INDEX('RAID Log'!$1:$1048576,$B534,MATCH("RAID Owner",'RAID Log'!$1:$1,0)),"")="","",IFERROR(INDEX('RAID Log'!$1:$1048576,$B534,MATCH("RAID Owner",'RAID Log'!$1:$1,0)),"")))</f>
        <v/>
      </c>
      <c r="N534" s="87" t="str">
        <f>IF($B534="","",IF(IFERROR(INDEX('RAID Log'!$1:$1048576,$B534,MATCH("Date Raised",'RAID Log'!$1:$1,0)),"")="","",IFERROR(INDEX('RAID Log'!$1:$1048576,$B534,MATCH("Date Raised",'RAID Log'!$1:$1,0)),"")))</f>
        <v/>
      </c>
      <c r="O534" s="87" t="str">
        <f>IF($B534="","",IF(IFERROR(INDEX('RAID Log'!$1:$1048576,$B534,MATCH("Closed Date",'RAID Log'!$1:$1,0)),"")="","",IFERROR(INDEX('RAID Log'!$1:$1048576,$B534,MATCH("Closed Date",'RAID Log'!$1:$1,0)),"")))</f>
        <v/>
      </c>
      <c r="P534" s="85" t="str">
        <f>IF($B534="","",IF(IFERROR(INDEX('RAID Log'!$1:$1048576,$B534,MATCH("Mitigation Strategy",'RAID Log'!$1:$1,0)),"")="","",IFERROR(INDEX('RAID Log'!$1:$1048576,$B534,MATCH("Mitigation Strategy",'RAID Log'!$1:$1,0)),"")))</f>
        <v/>
      </c>
      <c r="Q534" s="88" t="str">
        <f>IF($B534="","",IF(IFERROR(INDEX('RAID Log'!$1:$1048576,$B534,MATCH("RAID Response/Plan",'RAID Log'!$1:$1,0)),"")="","",IFERROR(INDEX('RAID Log'!$1:$1048576,$B534,MATCH("RAID Response/Plan",'RAID Log'!$1:$1,0)),"")))</f>
        <v/>
      </c>
    </row>
    <row r="535" spans="1:17" ht="14.25" customHeight="1">
      <c r="A535" s="82" t="str">
        <f>IF($B535="","",IF(IFERROR(INDEX('RAID Log'!$1:$1048576,$B535,MATCH("RAID ID",'RAID Log'!$1:$1,0)),"")="","",IFERROR(INDEX('RAID Log'!$1:$1048576,$B535,MATCH("RAID ID",'RAID Log'!$1:$1,0)),"")))</f>
        <v/>
      </c>
      <c r="B535" s="83" t="str">
        <f>IFERROR(MATCH(ROW()-1,'RAID Log'!$S:$S,0),"")</f>
        <v/>
      </c>
      <c r="C535" s="84" t="str">
        <f>IF($B535="","",IF(IFERROR(INDEX('RAID Log'!$1:$1048576,$B535,MATCH("Description",'RAID Log'!$1:$1,0)),"")="","",IFERROR(INDEX('RAID Log'!$1:$1048576,$B535,MATCH("Description",'RAID Log'!$1:$1,0)),"")))</f>
        <v/>
      </c>
      <c r="D535" s="84" t="str">
        <f>IF($B535="","",IF(IFERROR(INDEX('RAID Log'!$1:$1048576,$B535,MATCH("Impact/Effect of the RAID",'RAID Log'!$1:$1,0)),"")="","",IFERROR(INDEX('RAID Log'!$1:$1048576,$B535,MATCH("Impact/Effect of the RAID",'RAID Log'!$1:$1,0)),"")))</f>
        <v/>
      </c>
      <c r="E535" s="85" t="str">
        <f>IF($B535="","",IF(IFERROR(INDEX('RAID Log'!$1:$1048576,$B535,MATCH("Impact Area",'RAID Log'!$1:$1,0)),"")="","",IFERROR(INDEX('RAID Log'!$1:$1048576,$B535,MATCH("Impact Area",'RAID Log'!$1:$1,0)),"")))</f>
        <v/>
      </c>
      <c r="F535" s="85" t="str">
        <f>IF($B535="","",IF(IFERROR(INDEX('RAID Log'!$1:$1048576,$B535,MATCH("Impact Area",'RAID Log'!$1:$1,0)),"")="","",IFERROR(INDEX('RAID Log'!$1:$1048576,$B535,MATCH("Impact Area",'RAID Log'!$1:$1,0)),"")))</f>
        <v/>
      </c>
      <c r="G535" s="85" t="str">
        <f>IF($B535="","",IF(IFERROR(INDEX('RAID Log'!$1:$1048576,$B535,MATCH("Impact Rating",'RAID Log'!$1:$1,0)),"")="","",IFERROR(INDEX('RAID Log'!$1:$1048576,$B535,MATCH("Impact Rating",'RAID Log'!$1:$1,0)),"")))</f>
        <v/>
      </c>
      <c r="H535" s="85" t="str">
        <f>IF($B535="","",IF(IFERROR(INDEX('RAID Log'!$1:$1048576,$B535,MATCH("Initial Probability",'RAID Log'!$1:$1,0)),"")="","",IFERROR(INDEX('RAID Log'!$1:$1048576,$B535,MATCH("Initial Probability",'RAID Log'!$1:$1,0)),"")))</f>
        <v/>
      </c>
      <c r="I535" s="86" t="str">
        <f t="shared" si="24"/>
        <v/>
      </c>
      <c r="J535" s="85" t="str">
        <f t="shared" si="25"/>
        <v/>
      </c>
      <c r="K535" s="86" t="str">
        <f t="shared" si="26"/>
        <v/>
      </c>
      <c r="L535" s="85" t="str">
        <f>IF($B535="","",IF(IFERROR(INDEX('RAID Log'!$1:$1048576,$B535,MATCH("Status",'RAID Log'!$1:$1,0)),"")="","",IFERROR(INDEX('RAID Log'!$1:$1048576,$B535,MATCH("Status",'RAID Log'!$1:$1,0)),"")))</f>
        <v/>
      </c>
      <c r="M535" s="85" t="str">
        <f>IF($B535="","",IF(IFERROR(INDEX('RAID Log'!$1:$1048576,$B535,MATCH("RAID Owner",'RAID Log'!$1:$1,0)),"")="","",IFERROR(INDEX('RAID Log'!$1:$1048576,$B535,MATCH("RAID Owner",'RAID Log'!$1:$1,0)),"")))</f>
        <v/>
      </c>
      <c r="N535" s="87" t="str">
        <f>IF($B535="","",IF(IFERROR(INDEX('RAID Log'!$1:$1048576,$B535,MATCH("Date Raised",'RAID Log'!$1:$1,0)),"")="","",IFERROR(INDEX('RAID Log'!$1:$1048576,$B535,MATCH("Date Raised",'RAID Log'!$1:$1,0)),"")))</f>
        <v/>
      </c>
      <c r="O535" s="87" t="str">
        <f>IF($B535="","",IF(IFERROR(INDEX('RAID Log'!$1:$1048576,$B535,MATCH("Closed Date",'RAID Log'!$1:$1,0)),"")="","",IFERROR(INDEX('RAID Log'!$1:$1048576,$B535,MATCH("Closed Date",'RAID Log'!$1:$1,0)),"")))</f>
        <v/>
      </c>
      <c r="P535" s="85" t="str">
        <f>IF($B535="","",IF(IFERROR(INDEX('RAID Log'!$1:$1048576,$B535,MATCH("Mitigation Strategy",'RAID Log'!$1:$1,0)),"")="","",IFERROR(INDEX('RAID Log'!$1:$1048576,$B535,MATCH("Mitigation Strategy",'RAID Log'!$1:$1,0)),"")))</f>
        <v/>
      </c>
      <c r="Q535" s="88" t="str">
        <f>IF($B535="","",IF(IFERROR(INDEX('RAID Log'!$1:$1048576,$B535,MATCH("RAID Response/Plan",'RAID Log'!$1:$1,0)),"")="","",IFERROR(INDEX('RAID Log'!$1:$1048576,$B535,MATCH("RAID Response/Plan",'RAID Log'!$1:$1,0)),"")))</f>
        <v/>
      </c>
    </row>
    <row r="536" spans="1:17" ht="14.25" customHeight="1">
      <c r="A536" s="82" t="str">
        <f>IF($B536="","",IF(IFERROR(INDEX('RAID Log'!$1:$1048576,$B536,MATCH("RAID ID",'RAID Log'!$1:$1,0)),"")="","",IFERROR(INDEX('RAID Log'!$1:$1048576,$B536,MATCH("RAID ID",'RAID Log'!$1:$1,0)),"")))</f>
        <v/>
      </c>
      <c r="B536" s="83" t="str">
        <f>IFERROR(MATCH(ROW()-1,'RAID Log'!$S:$S,0),"")</f>
        <v/>
      </c>
      <c r="C536" s="84" t="str">
        <f>IF($B536="","",IF(IFERROR(INDEX('RAID Log'!$1:$1048576,$B536,MATCH("Description",'RAID Log'!$1:$1,0)),"")="","",IFERROR(INDEX('RAID Log'!$1:$1048576,$B536,MATCH("Description",'RAID Log'!$1:$1,0)),"")))</f>
        <v/>
      </c>
      <c r="D536" s="84" t="str">
        <f>IF($B536="","",IF(IFERROR(INDEX('RAID Log'!$1:$1048576,$B536,MATCH("Impact/Effect of the RAID",'RAID Log'!$1:$1,0)),"")="","",IFERROR(INDEX('RAID Log'!$1:$1048576,$B536,MATCH("Impact/Effect of the RAID",'RAID Log'!$1:$1,0)),"")))</f>
        <v/>
      </c>
      <c r="E536" s="85" t="str">
        <f>IF($B536="","",IF(IFERROR(INDEX('RAID Log'!$1:$1048576,$B536,MATCH("Impact Area",'RAID Log'!$1:$1,0)),"")="","",IFERROR(INDEX('RAID Log'!$1:$1048576,$B536,MATCH("Impact Area",'RAID Log'!$1:$1,0)),"")))</f>
        <v/>
      </c>
      <c r="F536" s="85" t="str">
        <f>IF($B536="","",IF(IFERROR(INDEX('RAID Log'!$1:$1048576,$B536,MATCH("Impact Area",'RAID Log'!$1:$1,0)),"")="","",IFERROR(INDEX('RAID Log'!$1:$1048576,$B536,MATCH("Impact Area",'RAID Log'!$1:$1,0)),"")))</f>
        <v/>
      </c>
      <c r="G536" s="85" t="str">
        <f>IF($B536="","",IF(IFERROR(INDEX('RAID Log'!$1:$1048576,$B536,MATCH("Impact Rating",'RAID Log'!$1:$1,0)),"")="","",IFERROR(INDEX('RAID Log'!$1:$1048576,$B536,MATCH("Impact Rating",'RAID Log'!$1:$1,0)),"")))</f>
        <v/>
      </c>
      <c r="H536" s="85" t="str">
        <f>IF($B536="","",IF(IFERROR(INDEX('RAID Log'!$1:$1048576,$B536,MATCH("Initial Probability",'RAID Log'!$1:$1,0)),"")="","",IFERROR(INDEX('RAID Log'!$1:$1048576,$B536,MATCH("Initial Probability",'RAID Log'!$1:$1,0)),"")))</f>
        <v/>
      </c>
      <c r="I536" s="86" t="str">
        <f t="shared" si="24"/>
        <v/>
      </c>
      <c r="J536" s="85" t="str">
        <f t="shared" si="25"/>
        <v/>
      </c>
      <c r="K536" s="86" t="str">
        <f t="shared" si="26"/>
        <v/>
      </c>
      <c r="L536" s="85" t="str">
        <f>IF($B536="","",IF(IFERROR(INDEX('RAID Log'!$1:$1048576,$B536,MATCH("Status",'RAID Log'!$1:$1,0)),"")="","",IFERROR(INDEX('RAID Log'!$1:$1048576,$B536,MATCH("Status",'RAID Log'!$1:$1,0)),"")))</f>
        <v/>
      </c>
      <c r="M536" s="85" t="str">
        <f>IF($B536="","",IF(IFERROR(INDEX('RAID Log'!$1:$1048576,$B536,MATCH("RAID Owner",'RAID Log'!$1:$1,0)),"")="","",IFERROR(INDEX('RAID Log'!$1:$1048576,$B536,MATCH("RAID Owner",'RAID Log'!$1:$1,0)),"")))</f>
        <v/>
      </c>
      <c r="N536" s="87" t="str">
        <f>IF($B536="","",IF(IFERROR(INDEX('RAID Log'!$1:$1048576,$B536,MATCH("Date Raised",'RAID Log'!$1:$1,0)),"")="","",IFERROR(INDEX('RAID Log'!$1:$1048576,$B536,MATCH("Date Raised",'RAID Log'!$1:$1,0)),"")))</f>
        <v/>
      </c>
      <c r="O536" s="87" t="str">
        <f>IF($B536="","",IF(IFERROR(INDEX('RAID Log'!$1:$1048576,$B536,MATCH("Closed Date",'RAID Log'!$1:$1,0)),"")="","",IFERROR(INDEX('RAID Log'!$1:$1048576,$B536,MATCH("Closed Date",'RAID Log'!$1:$1,0)),"")))</f>
        <v/>
      </c>
      <c r="P536" s="85" t="str">
        <f>IF($B536="","",IF(IFERROR(INDEX('RAID Log'!$1:$1048576,$B536,MATCH("Mitigation Strategy",'RAID Log'!$1:$1,0)),"")="","",IFERROR(INDEX('RAID Log'!$1:$1048576,$B536,MATCH("Mitigation Strategy",'RAID Log'!$1:$1,0)),"")))</f>
        <v/>
      </c>
      <c r="Q536" s="88" t="str">
        <f>IF($B536="","",IF(IFERROR(INDEX('RAID Log'!$1:$1048576,$B536,MATCH("RAID Response/Plan",'RAID Log'!$1:$1,0)),"")="","",IFERROR(INDEX('RAID Log'!$1:$1048576,$B536,MATCH("RAID Response/Plan",'RAID Log'!$1:$1,0)),"")))</f>
        <v/>
      </c>
    </row>
    <row r="537" spans="1:17" ht="14.25" customHeight="1">
      <c r="A537" s="82" t="str">
        <f>IF($B537="","",IF(IFERROR(INDEX('RAID Log'!$1:$1048576,$B537,MATCH("RAID ID",'RAID Log'!$1:$1,0)),"")="","",IFERROR(INDEX('RAID Log'!$1:$1048576,$B537,MATCH("RAID ID",'RAID Log'!$1:$1,0)),"")))</f>
        <v/>
      </c>
      <c r="B537" s="83" t="str">
        <f>IFERROR(MATCH(ROW()-1,'RAID Log'!$S:$S,0),"")</f>
        <v/>
      </c>
      <c r="C537" s="84" t="str">
        <f>IF($B537="","",IF(IFERROR(INDEX('RAID Log'!$1:$1048576,$B537,MATCH("Description",'RAID Log'!$1:$1,0)),"")="","",IFERROR(INDEX('RAID Log'!$1:$1048576,$B537,MATCH("Description",'RAID Log'!$1:$1,0)),"")))</f>
        <v/>
      </c>
      <c r="D537" s="84" t="str">
        <f>IF($B537="","",IF(IFERROR(INDEX('RAID Log'!$1:$1048576,$B537,MATCH("Impact/Effect of the RAID",'RAID Log'!$1:$1,0)),"")="","",IFERROR(INDEX('RAID Log'!$1:$1048576,$B537,MATCH("Impact/Effect of the RAID",'RAID Log'!$1:$1,0)),"")))</f>
        <v/>
      </c>
      <c r="E537" s="85" t="str">
        <f>IF($B537="","",IF(IFERROR(INDEX('RAID Log'!$1:$1048576,$B537,MATCH("Impact Area",'RAID Log'!$1:$1,0)),"")="","",IFERROR(INDEX('RAID Log'!$1:$1048576,$B537,MATCH("Impact Area",'RAID Log'!$1:$1,0)),"")))</f>
        <v/>
      </c>
      <c r="F537" s="85" t="str">
        <f>IF($B537="","",IF(IFERROR(INDEX('RAID Log'!$1:$1048576,$B537,MATCH("Impact Area",'RAID Log'!$1:$1,0)),"")="","",IFERROR(INDEX('RAID Log'!$1:$1048576,$B537,MATCH("Impact Area",'RAID Log'!$1:$1,0)),"")))</f>
        <v/>
      </c>
      <c r="G537" s="85" t="str">
        <f>IF($B537="","",IF(IFERROR(INDEX('RAID Log'!$1:$1048576,$B537,MATCH("Impact Rating",'RAID Log'!$1:$1,0)),"")="","",IFERROR(INDEX('RAID Log'!$1:$1048576,$B537,MATCH("Impact Rating",'RAID Log'!$1:$1,0)),"")))</f>
        <v/>
      </c>
      <c r="H537" s="85" t="str">
        <f>IF($B537="","",IF(IFERROR(INDEX('RAID Log'!$1:$1048576,$B537,MATCH("Initial Probability",'RAID Log'!$1:$1,0)),"")="","",IFERROR(INDEX('RAID Log'!$1:$1048576,$B537,MATCH("Initial Probability",'RAID Log'!$1:$1,0)),"")))</f>
        <v/>
      </c>
      <c r="I537" s="86" t="str">
        <f t="shared" si="24"/>
        <v/>
      </c>
      <c r="J537" s="85" t="str">
        <f t="shared" si="25"/>
        <v/>
      </c>
      <c r="K537" s="86" t="str">
        <f t="shared" si="26"/>
        <v/>
      </c>
      <c r="L537" s="85" t="str">
        <f>IF($B537="","",IF(IFERROR(INDEX('RAID Log'!$1:$1048576,$B537,MATCH("Status",'RAID Log'!$1:$1,0)),"")="","",IFERROR(INDEX('RAID Log'!$1:$1048576,$B537,MATCH("Status",'RAID Log'!$1:$1,0)),"")))</f>
        <v/>
      </c>
      <c r="M537" s="85" t="str">
        <f>IF($B537="","",IF(IFERROR(INDEX('RAID Log'!$1:$1048576,$B537,MATCH("RAID Owner",'RAID Log'!$1:$1,0)),"")="","",IFERROR(INDEX('RAID Log'!$1:$1048576,$B537,MATCH("RAID Owner",'RAID Log'!$1:$1,0)),"")))</f>
        <v/>
      </c>
      <c r="N537" s="87" t="str">
        <f>IF($B537="","",IF(IFERROR(INDEX('RAID Log'!$1:$1048576,$B537,MATCH("Date Raised",'RAID Log'!$1:$1,0)),"")="","",IFERROR(INDEX('RAID Log'!$1:$1048576,$B537,MATCH("Date Raised",'RAID Log'!$1:$1,0)),"")))</f>
        <v/>
      </c>
      <c r="O537" s="87" t="str">
        <f>IF($B537="","",IF(IFERROR(INDEX('RAID Log'!$1:$1048576,$B537,MATCH("Closed Date",'RAID Log'!$1:$1,0)),"")="","",IFERROR(INDEX('RAID Log'!$1:$1048576,$B537,MATCH("Closed Date",'RAID Log'!$1:$1,0)),"")))</f>
        <v/>
      </c>
      <c r="P537" s="85" t="str">
        <f>IF($B537="","",IF(IFERROR(INDEX('RAID Log'!$1:$1048576,$B537,MATCH("Mitigation Strategy",'RAID Log'!$1:$1,0)),"")="","",IFERROR(INDEX('RAID Log'!$1:$1048576,$B537,MATCH("Mitigation Strategy",'RAID Log'!$1:$1,0)),"")))</f>
        <v/>
      </c>
      <c r="Q537" s="88" t="str">
        <f>IF($B537="","",IF(IFERROR(INDEX('RAID Log'!$1:$1048576,$B537,MATCH("RAID Response/Plan",'RAID Log'!$1:$1,0)),"")="","",IFERROR(INDEX('RAID Log'!$1:$1048576,$B537,MATCH("RAID Response/Plan",'RAID Log'!$1:$1,0)),"")))</f>
        <v/>
      </c>
    </row>
    <row r="538" spans="1:17" ht="14.25" customHeight="1">
      <c r="A538" s="82" t="str">
        <f>IF($B538="","",IF(IFERROR(INDEX('RAID Log'!$1:$1048576,$B538,MATCH("RAID ID",'RAID Log'!$1:$1,0)),"")="","",IFERROR(INDEX('RAID Log'!$1:$1048576,$B538,MATCH("RAID ID",'RAID Log'!$1:$1,0)),"")))</f>
        <v/>
      </c>
      <c r="B538" s="83" t="str">
        <f>IFERROR(MATCH(ROW()-1,'RAID Log'!$S:$S,0),"")</f>
        <v/>
      </c>
      <c r="C538" s="84" t="str">
        <f>IF($B538="","",IF(IFERROR(INDEX('RAID Log'!$1:$1048576,$B538,MATCH("Description",'RAID Log'!$1:$1,0)),"")="","",IFERROR(INDEX('RAID Log'!$1:$1048576,$B538,MATCH("Description",'RAID Log'!$1:$1,0)),"")))</f>
        <v/>
      </c>
      <c r="D538" s="84" t="str">
        <f>IF($B538="","",IF(IFERROR(INDEX('RAID Log'!$1:$1048576,$B538,MATCH("Impact/Effect of the RAID",'RAID Log'!$1:$1,0)),"")="","",IFERROR(INDEX('RAID Log'!$1:$1048576,$B538,MATCH("Impact/Effect of the RAID",'RAID Log'!$1:$1,0)),"")))</f>
        <v/>
      </c>
      <c r="E538" s="85" t="str">
        <f>IF($B538="","",IF(IFERROR(INDEX('RAID Log'!$1:$1048576,$B538,MATCH("Impact Area",'RAID Log'!$1:$1,0)),"")="","",IFERROR(INDEX('RAID Log'!$1:$1048576,$B538,MATCH("Impact Area",'RAID Log'!$1:$1,0)),"")))</f>
        <v/>
      </c>
      <c r="F538" s="85" t="str">
        <f>IF($B538="","",IF(IFERROR(INDEX('RAID Log'!$1:$1048576,$B538,MATCH("Impact Area",'RAID Log'!$1:$1,0)),"")="","",IFERROR(INDEX('RAID Log'!$1:$1048576,$B538,MATCH("Impact Area",'RAID Log'!$1:$1,0)),"")))</f>
        <v/>
      </c>
      <c r="G538" s="85" t="str">
        <f>IF($B538="","",IF(IFERROR(INDEX('RAID Log'!$1:$1048576,$B538,MATCH("Impact Rating",'RAID Log'!$1:$1,0)),"")="","",IFERROR(INDEX('RAID Log'!$1:$1048576,$B538,MATCH("Impact Rating",'RAID Log'!$1:$1,0)),"")))</f>
        <v/>
      </c>
      <c r="H538" s="85" t="str">
        <f>IF($B538="","",IF(IFERROR(INDEX('RAID Log'!$1:$1048576,$B538,MATCH("Initial Probability",'RAID Log'!$1:$1,0)),"")="","",IFERROR(INDEX('RAID Log'!$1:$1048576,$B538,MATCH("Initial Probability",'RAID Log'!$1:$1,0)),"")))</f>
        <v/>
      </c>
      <c r="I538" s="86" t="str">
        <f t="shared" si="24"/>
        <v/>
      </c>
      <c r="J538" s="85" t="str">
        <f t="shared" si="25"/>
        <v/>
      </c>
      <c r="K538" s="86" t="str">
        <f t="shared" si="26"/>
        <v/>
      </c>
      <c r="L538" s="85" t="str">
        <f>IF($B538="","",IF(IFERROR(INDEX('RAID Log'!$1:$1048576,$B538,MATCH("Status",'RAID Log'!$1:$1,0)),"")="","",IFERROR(INDEX('RAID Log'!$1:$1048576,$B538,MATCH("Status",'RAID Log'!$1:$1,0)),"")))</f>
        <v/>
      </c>
      <c r="M538" s="85" t="str">
        <f>IF($B538="","",IF(IFERROR(INDEX('RAID Log'!$1:$1048576,$B538,MATCH("RAID Owner",'RAID Log'!$1:$1,0)),"")="","",IFERROR(INDEX('RAID Log'!$1:$1048576,$B538,MATCH("RAID Owner",'RAID Log'!$1:$1,0)),"")))</f>
        <v/>
      </c>
      <c r="N538" s="87" t="str">
        <f>IF($B538="","",IF(IFERROR(INDEX('RAID Log'!$1:$1048576,$B538,MATCH("Date Raised",'RAID Log'!$1:$1,0)),"")="","",IFERROR(INDEX('RAID Log'!$1:$1048576,$B538,MATCH("Date Raised",'RAID Log'!$1:$1,0)),"")))</f>
        <v/>
      </c>
      <c r="O538" s="87" t="str">
        <f>IF($B538="","",IF(IFERROR(INDEX('RAID Log'!$1:$1048576,$B538,MATCH("Closed Date",'RAID Log'!$1:$1,0)),"")="","",IFERROR(INDEX('RAID Log'!$1:$1048576,$B538,MATCH("Closed Date",'RAID Log'!$1:$1,0)),"")))</f>
        <v/>
      </c>
      <c r="P538" s="85" t="str">
        <f>IF($B538="","",IF(IFERROR(INDEX('RAID Log'!$1:$1048576,$B538,MATCH("Mitigation Strategy",'RAID Log'!$1:$1,0)),"")="","",IFERROR(INDEX('RAID Log'!$1:$1048576,$B538,MATCH("Mitigation Strategy",'RAID Log'!$1:$1,0)),"")))</f>
        <v/>
      </c>
      <c r="Q538" s="88" t="str">
        <f>IF($B538="","",IF(IFERROR(INDEX('RAID Log'!$1:$1048576,$B538,MATCH("RAID Response/Plan",'RAID Log'!$1:$1,0)),"")="","",IFERROR(INDEX('RAID Log'!$1:$1048576,$B538,MATCH("RAID Response/Plan",'RAID Log'!$1:$1,0)),"")))</f>
        <v/>
      </c>
    </row>
    <row r="539" spans="1:17" ht="14.25" customHeight="1">
      <c r="A539" s="82" t="str">
        <f>IF($B539="","",IF(IFERROR(INDEX('RAID Log'!$1:$1048576,$B539,MATCH("RAID ID",'RAID Log'!$1:$1,0)),"")="","",IFERROR(INDEX('RAID Log'!$1:$1048576,$B539,MATCH("RAID ID",'RAID Log'!$1:$1,0)),"")))</f>
        <v/>
      </c>
      <c r="B539" s="83" t="str">
        <f>IFERROR(MATCH(ROW()-1,'RAID Log'!$S:$S,0),"")</f>
        <v/>
      </c>
      <c r="C539" s="84" t="str">
        <f>IF($B539="","",IF(IFERROR(INDEX('RAID Log'!$1:$1048576,$B539,MATCH("Description",'RAID Log'!$1:$1,0)),"")="","",IFERROR(INDEX('RAID Log'!$1:$1048576,$B539,MATCH("Description",'RAID Log'!$1:$1,0)),"")))</f>
        <v/>
      </c>
      <c r="D539" s="84" t="str">
        <f>IF($B539="","",IF(IFERROR(INDEX('RAID Log'!$1:$1048576,$B539,MATCH("Impact/Effect of the RAID",'RAID Log'!$1:$1,0)),"")="","",IFERROR(INDEX('RAID Log'!$1:$1048576,$B539,MATCH("Impact/Effect of the RAID",'RAID Log'!$1:$1,0)),"")))</f>
        <v/>
      </c>
      <c r="E539" s="85" t="str">
        <f>IF($B539="","",IF(IFERROR(INDEX('RAID Log'!$1:$1048576,$B539,MATCH("Impact Area",'RAID Log'!$1:$1,0)),"")="","",IFERROR(INDEX('RAID Log'!$1:$1048576,$B539,MATCH("Impact Area",'RAID Log'!$1:$1,0)),"")))</f>
        <v/>
      </c>
      <c r="F539" s="85" t="str">
        <f>IF($B539="","",IF(IFERROR(INDEX('RAID Log'!$1:$1048576,$B539,MATCH("Impact Area",'RAID Log'!$1:$1,0)),"")="","",IFERROR(INDEX('RAID Log'!$1:$1048576,$B539,MATCH("Impact Area",'RAID Log'!$1:$1,0)),"")))</f>
        <v/>
      </c>
      <c r="G539" s="85" t="str">
        <f>IF($B539="","",IF(IFERROR(INDEX('RAID Log'!$1:$1048576,$B539,MATCH("Impact Rating",'RAID Log'!$1:$1,0)),"")="","",IFERROR(INDEX('RAID Log'!$1:$1048576,$B539,MATCH("Impact Rating",'RAID Log'!$1:$1,0)),"")))</f>
        <v/>
      </c>
      <c r="H539" s="85" t="str">
        <f>IF($B539="","",IF(IFERROR(INDEX('RAID Log'!$1:$1048576,$B539,MATCH("Initial Probability",'RAID Log'!$1:$1,0)),"")="","",IFERROR(INDEX('RAID Log'!$1:$1048576,$B539,MATCH("Initial Probability",'RAID Log'!$1:$1,0)),"")))</f>
        <v/>
      </c>
      <c r="I539" s="86" t="str">
        <f t="shared" si="24"/>
        <v/>
      </c>
      <c r="J539" s="85" t="str">
        <f t="shared" si="25"/>
        <v/>
      </c>
      <c r="K539" s="86" t="str">
        <f t="shared" si="26"/>
        <v/>
      </c>
      <c r="L539" s="85" t="str">
        <f>IF($B539="","",IF(IFERROR(INDEX('RAID Log'!$1:$1048576,$B539,MATCH("Status",'RAID Log'!$1:$1,0)),"")="","",IFERROR(INDEX('RAID Log'!$1:$1048576,$B539,MATCH("Status",'RAID Log'!$1:$1,0)),"")))</f>
        <v/>
      </c>
      <c r="M539" s="85" t="str">
        <f>IF($B539="","",IF(IFERROR(INDEX('RAID Log'!$1:$1048576,$B539,MATCH("RAID Owner",'RAID Log'!$1:$1,0)),"")="","",IFERROR(INDEX('RAID Log'!$1:$1048576,$B539,MATCH("RAID Owner",'RAID Log'!$1:$1,0)),"")))</f>
        <v/>
      </c>
      <c r="N539" s="87" t="str">
        <f>IF($B539="","",IF(IFERROR(INDEX('RAID Log'!$1:$1048576,$B539,MATCH("Date Raised",'RAID Log'!$1:$1,0)),"")="","",IFERROR(INDEX('RAID Log'!$1:$1048576,$B539,MATCH("Date Raised",'RAID Log'!$1:$1,0)),"")))</f>
        <v/>
      </c>
      <c r="O539" s="87" t="str">
        <f>IF($B539="","",IF(IFERROR(INDEX('RAID Log'!$1:$1048576,$B539,MATCH("Closed Date",'RAID Log'!$1:$1,0)),"")="","",IFERROR(INDEX('RAID Log'!$1:$1048576,$B539,MATCH("Closed Date",'RAID Log'!$1:$1,0)),"")))</f>
        <v/>
      </c>
      <c r="P539" s="85" t="str">
        <f>IF($B539="","",IF(IFERROR(INDEX('RAID Log'!$1:$1048576,$B539,MATCH("Mitigation Strategy",'RAID Log'!$1:$1,0)),"")="","",IFERROR(INDEX('RAID Log'!$1:$1048576,$B539,MATCH("Mitigation Strategy",'RAID Log'!$1:$1,0)),"")))</f>
        <v/>
      </c>
      <c r="Q539" s="88" t="str">
        <f>IF($B539="","",IF(IFERROR(INDEX('RAID Log'!$1:$1048576,$B539,MATCH("RAID Response/Plan",'RAID Log'!$1:$1,0)),"")="","",IFERROR(INDEX('RAID Log'!$1:$1048576,$B539,MATCH("RAID Response/Plan",'RAID Log'!$1:$1,0)),"")))</f>
        <v/>
      </c>
    </row>
    <row r="540" spans="1:17" ht="14.25" customHeight="1">
      <c r="A540" s="82" t="str">
        <f>IF($B540="","",IF(IFERROR(INDEX('RAID Log'!$1:$1048576,$B540,MATCH("RAID ID",'RAID Log'!$1:$1,0)),"")="","",IFERROR(INDEX('RAID Log'!$1:$1048576,$B540,MATCH("RAID ID",'RAID Log'!$1:$1,0)),"")))</f>
        <v/>
      </c>
      <c r="B540" s="83" t="str">
        <f>IFERROR(MATCH(ROW()-1,'RAID Log'!$S:$S,0),"")</f>
        <v/>
      </c>
      <c r="C540" s="84" t="str">
        <f>IF($B540="","",IF(IFERROR(INDEX('RAID Log'!$1:$1048576,$B540,MATCH("Description",'RAID Log'!$1:$1,0)),"")="","",IFERROR(INDEX('RAID Log'!$1:$1048576,$B540,MATCH("Description",'RAID Log'!$1:$1,0)),"")))</f>
        <v/>
      </c>
      <c r="D540" s="84" t="str">
        <f>IF($B540="","",IF(IFERROR(INDEX('RAID Log'!$1:$1048576,$B540,MATCH("Impact/Effect of the RAID",'RAID Log'!$1:$1,0)),"")="","",IFERROR(INDEX('RAID Log'!$1:$1048576,$B540,MATCH("Impact/Effect of the RAID",'RAID Log'!$1:$1,0)),"")))</f>
        <v/>
      </c>
      <c r="E540" s="85" t="str">
        <f>IF($B540="","",IF(IFERROR(INDEX('RAID Log'!$1:$1048576,$B540,MATCH("Impact Area",'RAID Log'!$1:$1,0)),"")="","",IFERROR(INDEX('RAID Log'!$1:$1048576,$B540,MATCH("Impact Area",'RAID Log'!$1:$1,0)),"")))</f>
        <v/>
      </c>
      <c r="F540" s="85" t="str">
        <f>IF($B540="","",IF(IFERROR(INDEX('RAID Log'!$1:$1048576,$B540,MATCH("Impact Area",'RAID Log'!$1:$1,0)),"")="","",IFERROR(INDEX('RAID Log'!$1:$1048576,$B540,MATCH("Impact Area",'RAID Log'!$1:$1,0)),"")))</f>
        <v/>
      </c>
      <c r="G540" s="85" t="str">
        <f>IF($B540="","",IF(IFERROR(INDEX('RAID Log'!$1:$1048576,$B540,MATCH("Impact Rating",'RAID Log'!$1:$1,0)),"")="","",IFERROR(INDEX('RAID Log'!$1:$1048576,$B540,MATCH("Impact Rating",'RAID Log'!$1:$1,0)),"")))</f>
        <v/>
      </c>
      <c r="H540" s="85" t="str">
        <f>IF($B540="","",IF(IFERROR(INDEX('RAID Log'!$1:$1048576,$B540,MATCH("Initial Probability",'RAID Log'!$1:$1,0)),"")="","",IFERROR(INDEX('RAID Log'!$1:$1048576,$B540,MATCH("Initial Probability",'RAID Log'!$1:$1,0)),"")))</f>
        <v/>
      </c>
      <c r="I540" s="86" t="str">
        <f t="shared" si="24"/>
        <v/>
      </c>
      <c r="J540" s="85" t="str">
        <f t="shared" si="25"/>
        <v/>
      </c>
      <c r="K540" s="86" t="str">
        <f t="shared" si="26"/>
        <v/>
      </c>
      <c r="L540" s="85" t="str">
        <f>IF($B540="","",IF(IFERROR(INDEX('RAID Log'!$1:$1048576,$B540,MATCH("Status",'RAID Log'!$1:$1,0)),"")="","",IFERROR(INDEX('RAID Log'!$1:$1048576,$B540,MATCH("Status",'RAID Log'!$1:$1,0)),"")))</f>
        <v/>
      </c>
      <c r="M540" s="85" t="str">
        <f>IF($B540="","",IF(IFERROR(INDEX('RAID Log'!$1:$1048576,$B540,MATCH("RAID Owner",'RAID Log'!$1:$1,0)),"")="","",IFERROR(INDEX('RAID Log'!$1:$1048576,$B540,MATCH("RAID Owner",'RAID Log'!$1:$1,0)),"")))</f>
        <v/>
      </c>
      <c r="N540" s="87" t="str">
        <f>IF($B540="","",IF(IFERROR(INDEX('RAID Log'!$1:$1048576,$B540,MATCH("Date Raised",'RAID Log'!$1:$1,0)),"")="","",IFERROR(INDEX('RAID Log'!$1:$1048576,$B540,MATCH("Date Raised",'RAID Log'!$1:$1,0)),"")))</f>
        <v/>
      </c>
      <c r="O540" s="87" t="str">
        <f>IF($B540="","",IF(IFERROR(INDEX('RAID Log'!$1:$1048576,$B540,MATCH("Closed Date",'RAID Log'!$1:$1,0)),"")="","",IFERROR(INDEX('RAID Log'!$1:$1048576,$B540,MATCH("Closed Date",'RAID Log'!$1:$1,0)),"")))</f>
        <v/>
      </c>
      <c r="P540" s="85" t="str">
        <f>IF($B540="","",IF(IFERROR(INDEX('RAID Log'!$1:$1048576,$B540,MATCH("Mitigation Strategy",'RAID Log'!$1:$1,0)),"")="","",IFERROR(INDEX('RAID Log'!$1:$1048576,$B540,MATCH("Mitigation Strategy",'RAID Log'!$1:$1,0)),"")))</f>
        <v/>
      </c>
      <c r="Q540" s="88" t="str">
        <f>IF($B540="","",IF(IFERROR(INDEX('RAID Log'!$1:$1048576,$B540,MATCH("RAID Response/Plan",'RAID Log'!$1:$1,0)),"")="","",IFERROR(INDEX('RAID Log'!$1:$1048576,$B540,MATCH("RAID Response/Plan",'RAID Log'!$1:$1,0)),"")))</f>
        <v/>
      </c>
    </row>
    <row r="541" spans="1:17" ht="14.25" customHeight="1">
      <c r="A541" s="82" t="str">
        <f>IF($B541="","",IF(IFERROR(INDEX('RAID Log'!$1:$1048576,$B541,MATCH("RAID ID",'RAID Log'!$1:$1,0)),"")="","",IFERROR(INDEX('RAID Log'!$1:$1048576,$B541,MATCH("RAID ID",'RAID Log'!$1:$1,0)),"")))</f>
        <v/>
      </c>
      <c r="B541" s="83" t="str">
        <f>IFERROR(MATCH(ROW()-1,'RAID Log'!$S:$S,0),"")</f>
        <v/>
      </c>
      <c r="C541" s="84" t="str">
        <f>IF($B541="","",IF(IFERROR(INDEX('RAID Log'!$1:$1048576,$B541,MATCH("Description",'RAID Log'!$1:$1,0)),"")="","",IFERROR(INDEX('RAID Log'!$1:$1048576,$B541,MATCH("Description",'RAID Log'!$1:$1,0)),"")))</f>
        <v/>
      </c>
      <c r="D541" s="84" t="str">
        <f>IF($B541="","",IF(IFERROR(INDEX('RAID Log'!$1:$1048576,$B541,MATCH("Impact/Effect of the RAID",'RAID Log'!$1:$1,0)),"")="","",IFERROR(INDEX('RAID Log'!$1:$1048576,$B541,MATCH("Impact/Effect of the RAID",'RAID Log'!$1:$1,0)),"")))</f>
        <v/>
      </c>
      <c r="E541" s="85" t="str">
        <f>IF($B541="","",IF(IFERROR(INDEX('RAID Log'!$1:$1048576,$B541,MATCH("Impact Area",'RAID Log'!$1:$1,0)),"")="","",IFERROR(INDEX('RAID Log'!$1:$1048576,$B541,MATCH("Impact Area",'RAID Log'!$1:$1,0)),"")))</f>
        <v/>
      </c>
      <c r="F541" s="85" t="str">
        <f>IF($B541="","",IF(IFERROR(INDEX('RAID Log'!$1:$1048576,$B541,MATCH("Impact Area",'RAID Log'!$1:$1,0)),"")="","",IFERROR(INDEX('RAID Log'!$1:$1048576,$B541,MATCH("Impact Area",'RAID Log'!$1:$1,0)),"")))</f>
        <v/>
      </c>
      <c r="G541" s="85" t="str">
        <f>IF($B541="","",IF(IFERROR(INDEX('RAID Log'!$1:$1048576,$B541,MATCH("Impact Rating",'RAID Log'!$1:$1,0)),"")="","",IFERROR(INDEX('RAID Log'!$1:$1048576,$B541,MATCH("Impact Rating",'RAID Log'!$1:$1,0)),"")))</f>
        <v/>
      </c>
      <c r="H541" s="85" t="str">
        <f>IF($B541="","",IF(IFERROR(INDEX('RAID Log'!$1:$1048576,$B541,MATCH("Initial Probability",'RAID Log'!$1:$1,0)),"")="","",IFERROR(INDEX('RAID Log'!$1:$1048576,$B541,MATCH("Initial Probability",'RAID Log'!$1:$1,0)),"")))</f>
        <v/>
      </c>
      <c r="I541" s="86" t="str">
        <f t="shared" si="24"/>
        <v/>
      </c>
      <c r="J541" s="85" t="str">
        <f t="shared" si="25"/>
        <v/>
      </c>
      <c r="K541" s="86" t="str">
        <f t="shared" si="26"/>
        <v/>
      </c>
      <c r="L541" s="85" t="str">
        <f>IF($B541="","",IF(IFERROR(INDEX('RAID Log'!$1:$1048576,$B541,MATCH("Status",'RAID Log'!$1:$1,0)),"")="","",IFERROR(INDEX('RAID Log'!$1:$1048576,$B541,MATCH("Status",'RAID Log'!$1:$1,0)),"")))</f>
        <v/>
      </c>
      <c r="M541" s="85" t="str">
        <f>IF($B541="","",IF(IFERROR(INDEX('RAID Log'!$1:$1048576,$B541,MATCH("RAID Owner",'RAID Log'!$1:$1,0)),"")="","",IFERROR(INDEX('RAID Log'!$1:$1048576,$B541,MATCH("RAID Owner",'RAID Log'!$1:$1,0)),"")))</f>
        <v/>
      </c>
      <c r="N541" s="87" t="str">
        <f>IF($B541="","",IF(IFERROR(INDEX('RAID Log'!$1:$1048576,$B541,MATCH("Date Raised",'RAID Log'!$1:$1,0)),"")="","",IFERROR(INDEX('RAID Log'!$1:$1048576,$B541,MATCH("Date Raised",'RAID Log'!$1:$1,0)),"")))</f>
        <v/>
      </c>
      <c r="O541" s="87" t="str">
        <f>IF($B541="","",IF(IFERROR(INDEX('RAID Log'!$1:$1048576,$B541,MATCH("Closed Date",'RAID Log'!$1:$1,0)),"")="","",IFERROR(INDEX('RAID Log'!$1:$1048576,$B541,MATCH("Closed Date",'RAID Log'!$1:$1,0)),"")))</f>
        <v/>
      </c>
      <c r="P541" s="85" t="str">
        <f>IF($B541="","",IF(IFERROR(INDEX('RAID Log'!$1:$1048576,$B541,MATCH("Mitigation Strategy",'RAID Log'!$1:$1,0)),"")="","",IFERROR(INDEX('RAID Log'!$1:$1048576,$B541,MATCH("Mitigation Strategy",'RAID Log'!$1:$1,0)),"")))</f>
        <v/>
      </c>
      <c r="Q541" s="88" t="str">
        <f>IF($B541="","",IF(IFERROR(INDEX('RAID Log'!$1:$1048576,$B541,MATCH("RAID Response/Plan",'RAID Log'!$1:$1,0)),"")="","",IFERROR(INDEX('RAID Log'!$1:$1048576,$B541,MATCH("RAID Response/Plan",'RAID Log'!$1:$1,0)),"")))</f>
        <v/>
      </c>
    </row>
    <row r="542" spans="1:17" ht="14.25" customHeight="1">
      <c r="A542" s="82" t="str">
        <f>IF($B542="","",IF(IFERROR(INDEX('RAID Log'!$1:$1048576,$B542,MATCH("RAID ID",'RAID Log'!$1:$1,0)),"")="","",IFERROR(INDEX('RAID Log'!$1:$1048576,$B542,MATCH("RAID ID",'RAID Log'!$1:$1,0)),"")))</f>
        <v/>
      </c>
      <c r="B542" s="83" t="str">
        <f>IFERROR(MATCH(ROW()-1,'RAID Log'!$S:$S,0),"")</f>
        <v/>
      </c>
      <c r="C542" s="84" t="str">
        <f>IF($B542="","",IF(IFERROR(INDEX('RAID Log'!$1:$1048576,$B542,MATCH("Description",'RAID Log'!$1:$1,0)),"")="","",IFERROR(INDEX('RAID Log'!$1:$1048576,$B542,MATCH("Description",'RAID Log'!$1:$1,0)),"")))</f>
        <v/>
      </c>
      <c r="D542" s="84" t="str">
        <f>IF($B542="","",IF(IFERROR(INDEX('RAID Log'!$1:$1048576,$B542,MATCH("Impact/Effect of the RAID",'RAID Log'!$1:$1,0)),"")="","",IFERROR(INDEX('RAID Log'!$1:$1048576,$B542,MATCH("Impact/Effect of the RAID",'RAID Log'!$1:$1,0)),"")))</f>
        <v/>
      </c>
      <c r="E542" s="85" t="str">
        <f>IF($B542="","",IF(IFERROR(INDEX('RAID Log'!$1:$1048576,$B542,MATCH("Impact Area",'RAID Log'!$1:$1,0)),"")="","",IFERROR(INDEX('RAID Log'!$1:$1048576,$B542,MATCH("Impact Area",'RAID Log'!$1:$1,0)),"")))</f>
        <v/>
      </c>
      <c r="F542" s="85" t="str">
        <f>IF($B542="","",IF(IFERROR(INDEX('RAID Log'!$1:$1048576,$B542,MATCH("Impact Area",'RAID Log'!$1:$1,0)),"")="","",IFERROR(INDEX('RAID Log'!$1:$1048576,$B542,MATCH("Impact Area",'RAID Log'!$1:$1,0)),"")))</f>
        <v/>
      </c>
      <c r="G542" s="85" t="str">
        <f>IF($B542="","",IF(IFERROR(INDEX('RAID Log'!$1:$1048576,$B542,MATCH("Impact Rating",'RAID Log'!$1:$1,0)),"")="","",IFERROR(INDEX('RAID Log'!$1:$1048576,$B542,MATCH("Impact Rating",'RAID Log'!$1:$1,0)),"")))</f>
        <v/>
      </c>
      <c r="H542" s="85" t="str">
        <f>IF($B542="","",IF(IFERROR(INDEX('RAID Log'!$1:$1048576,$B542,MATCH("Initial Probability",'RAID Log'!$1:$1,0)),"")="","",IFERROR(INDEX('RAID Log'!$1:$1048576,$B542,MATCH("Initial Probability",'RAID Log'!$1:$1,0)),"")))</f>
        <v/>
      </c>
      <c r="I542" s="86" t="str">
        <f t="shared" si="24"/>
        <v/>
      </c>
      <c r="J542" s="85" t="str">
        <f t="shared" si="25"/>
        <v/>
      </c>
      <c r="K542" s="86" t="str">
        <f t="shared" si="26"/>
        <v/>
      </c>
      <c r="L542" s="85" t="str">
        <f>IF($B542="","",IF(IFERROR(INDEX('RAID Log'!$1:$1048576,$B542,MATCH("Status",'RAID Log'!$1:$1,0)),"")="","",IFERROR(INDEX('RAID Log'!$1:$1048576,$B542,MATCH("Status",'RAID Log'!$1:$1,0)),"")))</f>
        <v/>
      </c>
      <c r="M542" s="85" t="str">
        <f>IF($B542="","",IF(IFERROR(INDEX('RAID Log'!$1:$1048576,$B542,MATCH("RAID Owner",'RAID Log'!$1:$1,0)),"")="","",IFERROR(INDEX('RAID Log'!$1:$1048576,$B542,MATCH("RAID Owner",'RAID Log'!$1:$1,0)),"")))</f>
        <v/>
      </c>
      <c r="N542" s="87" t="str">
        <f>IF($B542="","",IF(IFERROR(INDEX('RAID Log'!$1:$1048576,$B542,MATCH("Date Raised",'RAID Log'!$1:$1,0)),"")="","",IFERROR(INDEX('RAID Log'!$1:$1048576,$B542,MATCH("Date Raised",'RAID Log'!$1:$1,0)),"")))</f>
        <v/>
      </c>
      <c r="O542" s="87" t="str">
        <f>IF($B542="","",IF(IFERROR(INDEX('RAID Log'!$1:$1048576,$B542,MATCH("Closed Date",'RAID Log'!$1:$1,0)),"")="","",IFERROR(INDEX('RAID Log'!$1:$1048576,$B542,MATCH("Closed Date",'RAID Log'!$1:$1,0)),"")))</f>
        <v/>
      </c>
      <c r="P542" s="85" t="str">
        <f>IF($B542="","",IF(IFERROR(INDEX('RAID Log'!$1:$1048576,$B542,MATCH("Mitigation Strategy",'RAID Log'!$1:$1,0)),"")="","",IFERROR(INDEX('RAID Log'!$1:$1048576,$B542,MATCH("Mitigation Strategy",'RAID Log'!$1:$1,0)),"")))</f>
        <v/>
      </c>
      <c r="Q542" s="88" t="str">
        <f>IF($B542="","",IF(IFERROR(INDEX('RAID Log'!$1:$1048576,$B542,MATCH("RAID Response/Plan",'RAID Log'!$1:$1,0)),"")="","",IFERROR(INDEX('RAID Log'!$1:$1048576,$B542,MATCH("RAID Response/Plan",'RAID Log'!$1:$1,0)),"")))</f>
        <v/>
      </c>
    </row>
    <row r="543" spans="1:17" ht="14.25" customHeight="1">
      <c r="A543" s="82" t="str">
        <f>IF($B543="","",IF(IFERROR(INDEX('RAID Log'!$1:$1048576,$B543,MATCH("RAID ID",'RAID Log'!$1:$1,0)),"")="","",IFERROR(INDEX('RAID Log'!$1:$1048576,$B543,MATCH("RAID ID",'RAID Log'!$1:$1,0)),"")))</f>
        <v/>
      </c>
      <c r="B543" s="83" t="str">
        <f>IFERROR(MATCH(ROW()-1,'RAID Log'!$S:$S,0),"")</f>
        <v/>
      </c>
      <c r="C543" s="84" t="str">
        <f>IF($B543="","",IF(IFERROR(INDEX('RAID Log'!$1:$1048576,$B543,MATCH("Description",'RAID Log'!$1:$1,0)),"")="","",IFERROR(INDEX('RAID Log'!$1:$1048576,$B543,MATCH("Description",'RAID Log'!$1:$1,0)),"")))</f>
        <v/>
      </c>
      <c r="D543" s="84" t="str">
        <f>IF($B543="","",IF(IFERROR(INDEX('RAID Log'!$1:$1048576,$B543,MATCH("Impact/Effect of the RAID",'RAID Log'!$1:$1,0)),"")="","",IFERROR(INDEX('RAID Log'!$1:$1048576,$B543,MATCH("Impact/Effect of the RAID",'RAID Log'!$1:$1,0)),"")))</f>
        <v/>
      </c>
      <c r="E543" s="85" t="str">
        <f>IF($B543="","",IF(IFERROR(INDEX('RAID Log'!$1:$1048576,$B543,MATCH("Impact Area",'RAID Log'!$1:$1,0)),"")="","",IFERROR(INDEX('RAID Log'!$1:$1048576,$B543,MATCH("Impact Area",'RAID Log'!$1:$1,0)),"")))</f>
        <v/>
      </c>
      <c r="F543" s="85" t="str">
        <f>IF($B543="","",IF(IFERROR(INDEX('RAID Log'!$1:$1048576,$B543,MATCH("Impact Area",'RAID Log'!$1:$1,0)),"")="","",IFERROR(INDEX('RAID Log'!$1:$1048576,$B543,MATCH("Impact Area",'RAID Log'!$1:$1,0)),"")))</f>
        <v/>
      </c>
      <c r="G543" s="85" t="str">
        <f>IF($B543="","",IF(IFERROR(INDEX('RAID Log'!$1:$1048576,$B543,MATCH("Impact Rating",'RAID Log'!$1:$1,0)),"")="","",IFERROR(INDEX('RAID Log'!$1:$1048576,$B543,MATCH("Impact Rating",'RAID Log'!$1:$1,0)),"")))</f>
        <v/>
      </c>
      <c r="H543" s="85" t="str">
        <f>IF($B543="","",IF(IFERROR(INDEX('RAID Log'!$1:$1048576,$B543,MATCH("Initial Probability",'RAID Log'!$1:$1,0)),"")="","",IFERROR(INDEX('RAID Log'!$1:$1048576,$B543,MATCH("Initial Probability",'RAID Log'!$1:$1,0)),"")))</f>
        <v/>
      </c>
      <c r="I543" s="86" t="str">
        <f t="shared" si="24"/>
        <v/>
      </c>
      <c r="J543" s="85" t="str">
        <f t="shared" si="25"/>
        <v/>
      </c>
      <c r="K543" s="86" t="str">
        <f t="shared" si="26"/>
        <v/>
      </c>
      <c r="L543" s="85" t="str">
        <f>IF($B543="","",IF(IFERROR(INDEX('RAID Log'!$1:$1048576,$B543,MATCH("Status",'RAID Log'!$1:$1,0)),"")="","",IFERROR(INDEX('RAID Log'!$1:$1048576,$B543,MATCH("Status",'RAID Log'!$1:$1,0)),"")))</f>
        <v/>
      </c>
      <c r="M543" s="85" t="str">
        <f>IF($B543="","",IF(IFERROR(INDEX('RAID Log'!$1:$1048576,$B543,MATCH("RAID Owner",'RAID Log'!$1:$1,0)),"")="","",IFERROR(INDEX('RAID Log'!$1:$1048576,$B543,MATCH("RAID Owner",'RAID Log'!$1:$1,0)),"")))</f>
        <v/>
      </c>
      <c r="N543" s="87" t="str">
        <f>IF($B543="","",IF(IFERROR(INDEX('RAID Log'!$1:$1048576,$B543,MATCH("Date Raised",'RAID Log'!$1:$1,0)),"")="","",IFERROR(INDEX('RAID Log'!$1:$1048576,$B543,MATCH("Date Raised",'RAID Log'!$1:$1,0)),"")))</f>
        <v/>
      </c>
      <c r="O543" s="87" t="str">
        <f>IF($B543="","",IF(IFERROR(INDEX('RAID Log'!$1:$1048576,$B543,MATCH("Closed Date",'RAID Log'!$1:$1,0)),"")="","",IFERROR(INDEX('RAID Log'!$1:$1048576,$B543,MATCH("Closed Date",'RAID Log'!$1:$1,0)),"")))</f>
        <v/>
      </c>
      <c r="P543" s="85" t="str">
        <f>IF($B543="","",IF(IFERROR(INDEX('RAID Log'!$1:$1048576,$B543,MATCH("Mitigation Strategy",'RAID Log'!$1:$1,0)),"")="","",IFERROR(INDEX('RAID Log'!$1:$1048576,$B543,MATCH("Mitigation Strategy",'RAID Log'!$1:$1,0)),"")))</f>
        <v/>
      </c>
      <c r="Q543" s="88" t="str">
        <f>IF($B543="","",IF(IFERROR(INDEX('RAID Log'!$1:$1048576,$B543,MATCH("RAID Response/Plan",'RAID Log'!$1:$1,0)),"")="","",IFERROR(INDEX('RAID Log'!$1:$1048576,$B543,MATCH("RAID Response/Plan",'RAID Log'!$1:$1,0)),"")))</f>
        <v/>
      </c>
    </row>
    <row r="544" spans="1:17" ht="14.25" customHeight="1">
      <c r="A544" s="82" t="str">
        <f>IF($B544="","",IF(IFERROR(INDEX('RAID Log'!$1:$1048576,$B544,MATCH("RAID ID",'RAID Log'!$1:$1,0)),"")="","",IFERROR(INDEX('RAID Log'!$1:$1048576,$B544,MATCH("RAID ID",'RAID Log'!$1:$1,0)),"")))</f>
        <v/>
      </c>
      <c r="B544" s="83" t="str">
        <f>IFERROR(MATCH(ROW()-1,'RAID Log'!$S:$S,0),"")</f>
        <v/>
      </c>
      <c r="C544" s="84" t="str">
        <f>IF($B544="","",IF(IFERROR(INDEX('RAID Log'!$1:$1048576,$B544,MATCH("Description",'RAID Log'!$1:$1,0)),"")="","",IFERROR(INDEX('RAID Log'!$1:$1048576,$B544,MATCH("Description",'RAID Log'!$1:$1,0)),"")))</f>
        <v/>
      </c>
      <c r="D544" s="84" t="str">
        <f>IF($B544="","",IF(IFERROR(INDEX('RAID Log'!$1:$1048576,$B544,MATCH("Impact/Effect of the RAID",'RAID Log'!$1:$1,0)),"")="","",IFERROR(INDEX('RAID Log'!$1:$1048576,$B544,MATCH("Impact/Effect of the RAID",'RAID Log'!$1:$1,0)),"")))</f>
        <v/>
      </c>
      <c r="E544" s="85" t="str">
        <f>IF($B544="","",IF(IFERROR(INDEX('RAID Log'!$1:$1048576,$B544,MATCH("Impact Area",'RAID Log'!$1:$1,0)),"")="","",IFERROR(INDEX('RAID Log'!$1:$1048576,$B544,MATCH("Impact Area",'RAID Log'!$1:$1,0)),"")))</f>
        <v/>
      </c>
      <c r="F544" s="85" t="str">
        <f>IF($B544="","",IF(IFERROR(INDEX('RAID Log'!$1:$1048576,$B544,MATCH("Impact Area",'RAID Log'!$1:$1,0)),"")="","",IFERROR(INDEX('RAID Log'!$1:$1048576,$B544,MATCH("Impact Area",'RAID Log'!$1:$1,0)),"")))</f>
        <v/>
      </c>
      <c r="G544" s="85" t="str">
        <f>IF($B544="","",IF(IFERROR(INDEX('RAID Log'!$1:$1048576,$B544,MATCH("Impact Rating",'RAID Log'!$1:$1,0)),"")="","",IFERROR(INDEX('RAID Log'!$1:$1048576,$B544,MATCH("Impact Rating",'RAID Log'!$1:$1,0)),"")))</f>
        <v/>
      </c>
      <c r="H544" s="85" t="str">
        <f>IF($B544="","",IF(IFERROR(INDEX('RAID Log'!$1:$1048576,$B544,MATCH("Initial Probability",'RAID Log'!$1:$1,0)),"")="","",IFERROR(INDEX('RAID Log'!$1:$1048576,$B544,MATCH("Initial Probability",'RAID Log'!$1:$1,0)),"")))</f>
        <v/>
      </c>
      <c r="I544" s="86" t="str">
        <f t="shared" si="24"/>
        <v/>
      </c>
      <c r="J544" s="85" t="str">
        <f t="shared" si="25"/>
        <v/>
      </c>
      <c r="K544" s="86" t="str">
        <f t="shared" si="26"/>
        <v/>
      </c>
      <c r="L544" s="85" t="str">
        <f>IF($B544="","",IF(IFERROR(INDEX('RAID Log'!$1:$1048576,$B544,MATCH("Status",'RAID Log'!$1:$1,0)),"")="","",IFERROR(INDEX('RAID Log'!$1:$1048576,$B544,MATCH("Status",'RAID Log'!$1:$1,0)),"")))</f>
        <v/>
      </c>
      <c r="M544" s="85" t="str">
        <f>IF($B544="","",IF(IFERROR(INDEX('RAID Log'!$1:$1048576,$B544,MATCH("RAID Owner",'RAID Log'!$1:$1,0)),"")="","",IFERROR(INDEX('RAID Log'!$1:$1048576,$B544,MATCH("RAID Owner",'RAID Log'!$1:$1,0)),"")))</f>
        <v/>
      </c>
      <c r="N544" s="87" t="str">
        <f>IF($B544="","",IF(IFERROR(INDEX('RAID Log'!$1:$1048576,$B544,MATCH("Date Raised",'RAID Log'!$1:$1,0)),"")="","",IFERROR(INDEX('RAID Log'!$1:$1048576,$B544,MATCH("Date Raised",'RAID Log'!$1:$1,0)),"")))</f>
        <v/>
      </c>
      <c r="O544" s="87" t="str">
        <f>IF($B544="","",IF(IFERROR(INDEX('RAID Log'!$1:$1048576,$B544,MATCH("Closed Date",'RAID Log'!$1:$1,0)),"")="","",IFERROR(INDEX('RAID Log'!$1:$1048576,$B544,MATCH("Closed Date",'RAID Log'!$1:$1,0)),"")))</f>
        <v/>
      </c>
      <c r="P544" s="85" t="str">
        <f>IF($B544="","",IF(IFERROR(INDEX('RAID Log'!$1:$1048576,$B544,MATCH("Mitigation Strategy",'RAID Log'!$1:$1,0)),"")="","",IFERROR(INDEX('RAID Log'!$1:$1048576,$B544,MATCH("Mitigation Strategy",'RAID Log'!$1:$1,0)),"")))</f>
        <v/>
      </c>
      <c r="Q544" s="88" t="str">
        <f>IF($B544="","",IF(IFERROR(INDEX('RAID Log'!$1:$1048576,$B544,MATCH("RAID Response/Plan",'RAID Log'!$1:$1,0)),"")="","",IFERROR(INDEX('RAID Log'!$1:$1048576,$B544,MATCH("RAID Response/Plan",'RAID Log'!$1:$1,0)),"")))</f>
        <v/>
      </c>
    </row>
    <row r="545" spans="1:17" ht="14.25" customHeight="1">
      <c r="A545" s="82" t="str">
        <f>IF($B545="","",IF(IFERROR(INDEX('RAID Log'!$1:$1048576,$B545,MATCH("RAID ID",'RAID Log'!$1:$1,0)),"")="","",IFERROR(INDEX('RAID Log'!$1:$1048576,$B545,MATCH("RAID ID",'RAID Log'!$1:$1,0)),"")))</f>
        <v/>
      </c>
      <c r="B545" s="83" t="str">
        <f>IFERROR(MATCH(ROW()-1,'RAID Log'!$S:$S,0),"")</f>
        <v/>
      </c>
      <c r="C545" s="84" t="str">
        <f>IF($B545="","",IF(IFERROR(INDEX('RAID Log'!$1:$1048576,$B545,MATCH("Description",'RAID Log'!$1:$1,0)),"")="","",IFERROR(INDEX('RAID Log'!$1:$1048576,$B545,MATCH("Description",'RAID Log'!$1:$1,0)),"")))</f>
        <v/>
      </c>
      <c r="D545" s="84" t="str">
        <f>IF($B545="","",IF(IFERROR(INDEX('RAID Log'!$1:$1048576,$B545,MATCH("Impact/Effect of the RAID",'RAID Log'!$1:$1,0)),"")="","",IFERROR(INDEX('RAID Log'!$1:$1048576,$B545,MATCH("Impact/Effect of the RAID",'RAID Log'!$1:$1,0)),"")))</f>
        <v/>
      </c>
      <c r="E545" s="85" t="str">
        <f>IF($B545="","",IF(IFERROR(INDEX('RAID Log'!$1:$1048576,$B545,MATCH("Impact Area",'RAID Log'!$1:$1,0)),"")="","",IFERROR(INDEX('RAID Log'!$1:$1048576,$B545,MATCH("Impact Area",'RAID Log'!$1:$1,0)),"")))</f>
        <v/>
      </c>
      <c r="F545" s="85" t="str">
        <f>IF($B545="","",IF(IFERROR(INDEX('RAID Log'!$1:$1048576,$B545,MATCH("Impact Area",'RAID Log'!$1:$1,0)),"")="","",IFERROR(INDEX('RAID Log'!$1:$1048576,$B545,MATCH("Impact Area",'RAID Log'!$1:$1,0)),"")))</f>
        <v/>
      </c>
      <c r="G545" s="85" t="str">
        <f>IF($B545="","",IF(IFERROR(INDEX('RAID Log'!$1:$1048576,$B545,MATCH("Impact Rating",'RAID Log'!$1:$1,0)),"")="","",IFERROR(INDEX('RAID Log'!$1:$1048576,$B545,MATCH("Impact Rating",'RAID Log'!$1:$1,0)),"")))</f>
        <v/>
      </c>
      <c r="H545" s="85" t="str">
        <f>IF($B545="","",IF(IFERROR(INDEX('RAID Log'!$1:$1048576,$B545,MATCH("Initial Probability",'RAID Log'!$1:$1,0)),"")="","",IFERROR(INDEX('RAID Log'!$1:$1048576,$B545,MATCH("Initial Probability",'RAID Log'!$1:$1,0)),"")))</f>
        <v/>
      </c>
      <c r="I545" s="86" t="str">
        <f t="shared" si="24"/>
        <v/>
      </c>
      <c r="J545" s="85" t="str">
        <f t="shared" si="25"/>
        <v/>
      </c>
      <c r="K545" s="86" t="str">
        <f t="shared" si="26"/>
        <v/>
      </c>
      <c r="L545" s="85" t="str">
        <f>IF($B545="","",IF(IFERROR(INDEX('RAID Log'!$1:$1048576,$B545,MATCH("Status",'RAID Log'!$1:$1,0)),"")="","",IFERROR(INDEX('RAID Log'!$1:$1048576,$B545,MATCH("Status",'RAID Log'!$1:$1,0)),"")))</f>
        <v/>
      </c>
      <c r="M545" s="85" t="str">
        <f>IF($B545="","",IF(IFERROR(INDEX('RAID Log'!$1:$1048576,$B545,MATCH("RAID Owner",'RAID Log'!$1:$1,0)),"")="","",IFERROR(INDEX('RAID Log'!$1:$1048576,$B545,MATCH("RAID Owner",'RAID Log'!$1:$1,0)),"")))</f>
        <v/>
      </c>
      <c r="N545" s="87" t="str">
        <f>IF($B545="","",IF(IFERROR(INDEX('RAID Log'!$1:$1048576,$B545,MATCH("Date Raised",'RAID Log'!$1:$1,0)),"")="","",IFERROR(INDEX('RAID Log'!$1:$1048576,$B545,MATCH("Date Raised",'RAID Log'!$1:$1,0)),"")))</f>
        <v/>
      </c>
      <c r="O545" s="87" t="str">
        <f>IF($B545="","",IF(IFERROR(INDEX('RAID Log'!$1:$1048576,$B545,MATCH("Closed Date",'RAID Log'!$1:$1,0)),"")="","",IFERROR(INDEX('RAID Log'!$1:$1048576,$B545,MATCH("Closed Date",'RAID Log'!$1:$1,0)),"")))</f>
        <v/>
      </c>
      <c r="P545" s="85" t="str">
        <f>IF($B545="","",IF(IFERROR(INDEX('RAID Log'!$1:$1048576,$B545,MATCH("Mitigation Strategy",'RAID Log'!$1:$1,0)),"")="","",IFERROR(INDEX('RAID Log'!$1:$1048576,$B545,MATCH("Mitigation Strategy",'RAID Log'!$1:$1,0)),"")))</f>
        <v/>
      </c>
      <c r="Q545" s="88" t="str">
        <f>IF($B545="","",IF(IFERROR(INDEX('RAID Log'!$1:$1048576,$B545,MATCH("RAID Response/Plan",'RAID Log'!$1:$1,0)),"")="","",IFERROR(INDEX('RAID Log'!$1:$1048576,$B545,MATCH("RAID Response/Plan",'RAID Log'!$1:$1,0)),"")))</f>
        <v/>
      </c>
    </row>
    <row r="546" spans="1:17" ht="14.25" customHeight="1">
      <c r="A546" s="82" t="str">
        <f>IF($B546="","",IF(IFERROR(INDEX('RAID Log'!$1:$1048576,$B546,MATCH("RAID ID",'RAID Log'!$1:$1,0)),"")="","",IFERROR(INDEX('RAID Log'!$1:$1048576,$B546,MATCH("RAID ID",'RAID Log'!$1:$1,0)),"")))</f>
        <v/>
      </c>
      <c r="B546" s="83" t="str">
        <f>IFERROR(MATCH(ROW()-1,'RAID Log'!$S:$S,0),"")</f>
        <v/>
      </c>
      <c r="C546" s="84" t="str">
        <f>IF($B546="","",IF(IFERROR(INDEX('RAID Log'!$1:$1048576,$B546,MATCH("Description",'RAID Log'!$1:$1,0)),"")="","",IFERROR(INDEX('RAID Log'!$1:$1048576,$B546,MATCH("Description",'RAID Log'!$1:$1,0)),"")))</f>
        <v/>
      </c>
      <c r="D546" s="84" t="str">
        <f>IF($B546="","",IF(IFERROR(INDEX('RAID Log'!$1:$1048576,$B546,MATCH("Impact/Effect of the RAID",'RAID Log'!$1:$1,0)),"")="","",IFERROR(INDEX('RAID Log'!$1:$1048576,$B546,MATCH("Impact/Effect of the RAID",'RAID Log'!$1:$1,0)),"")))</f>
        <v/>
      </c>
      <c r="E546" s="85" t="str">
        <f>IF($B546="","",IF(IFERROR(INDEX('RAID Log'!$1:$1048576,$B546,MATCH("Impact Area",'RAID Log'!$1:$1,0)),"")="","",IFERROR(INDEX('RAID Log'!$1:$1048576,$B546,MATCH("Impact Area",'RAID Log'!$1:$1,0)),"")))</f>
        <v/>
      </c>
      <c r="F546" s="85" t="str">
        <f>IF($B546="","",IF(IFERROR(INDEX('RAID Log'!$1:$1048576,$B546,MATCH("Impact Area",'RAID Log'!$1:$1,0)),"")="","",IFERROR(INDEX('RAID Log'!$1:$1048576,$B546,MATCH("Impact Area",'RAID Log'!$1:$1,0)),"")))</f>
        <v/>
      </c>
      <c r="G546" s="85" t="str">
        <f>IF($B546="","",IF(IFERROR(INDEX('RAID Log'!$1:$1048576,$B546,MATCH("Impact Rating",'RAID Log'!$1:$1,0)),"")="","",IFERROR(INDEX('RAID Log'!$1:$1048576,$B546,MATCH("Impact Rating",'RAID Log'!$1:$1,0)),"")))</f>
        <v/>
      </c>
      <c r="H546" s="85" t="str">
        <f>IF($B546="","",IF(IFERROR(INDEX('RAID Log'!$1:$1048576,$B546,MATCH("Initial Probability",'RAID Log'!$1:$1,0)),"")="","",IFERROR(INDEX('RAID Log'!$1:$1048576,$B546,MATCH("Initial Probability",'RAID Log'!$1:$1,0)),"")))</f>
        <v/>
      </c>
      <c r="I546" s="86" t="str">
        <f t="shared" si="24"/>
        <v/>
      </c>
      <c r="J546" s="85" t="str">
        <f t="shared" si="25"/>
        <v/>
      </c>
      <c r="K546" s="86" t="str">
        <f t="shared" si="26"/>
        <v/>
      </c>
      <c r="L546" s="85" t="str">
        <f>IF($B546="","",IF(IFERROR(INDEX('RAID Log'!$1:$1048576,$B546,MATCH("Status",'RAID Log'!$1:$1,0)),"")="","",IFERROR(INDEX('RAID Log'!$1:$1048576,$B546,MATCH("Status",'RAID Log'!$1:$1,0)),"")))</f>
        <v/>
      </c>
      <c r="M546" s="85" t="str">
        <f>IF($B546="","",IF(IFERROR(INDEX('RAID Log'!$1:$1048576,$B546,MATCH("RAID Owner",'RAID Log'!$1:$1,0)),"")="","",IFERROR(INDEX('RAID Log'!$1:$1048576,$B546,MATCH("RAID Owner",'RAID Log'!$1:$1,0)),"")))</f>
        <v/>
      </c>
      <c r="N546" s="87" t="str">
        <f>IF($B546="","",IF(IFERROR(INDEX('RAID Log'!$1:$1048576,$B546,MATCH("Date Raised",'RAID Log'!$1:$1,0)),"")="","",IFERROR(INDEX('RAID Log'!$1:$1048576,$B546,MATCH("Date Raised",'RAID Log'!$1:$1,0)),"")))</f>
        <v/>
      </c>
      <c r="O546" s="87" t="str">
        <f>IF($B546="","",IF(IFERROR(INDEX('RAID Log'!$1:$1048576,$B546,MATCH("Closed Date",'RAID Log'!$1:$1,0)),"")="","",IFERROR(INDEX('RAID Log'!$1:$1048576,$B546,MATCH("Closed Date",'RAID Log'!$1:$1,0)),"")))</f>
        <v/>
      </c>
      <c r="P546" s="85" t="str">
        <f>IF($B546="","",IF(IFERROR(INDEX('RAID Log'!$1:$1048576,$B546,MATCH("Mitigation Strategy",'RAID Log'!$1:$1,0)),"")="","",IFERROR(INDEX('RAID Log'!$1:$1048576,$B546,MATCH("Mitigation Strategy",'RAID Log'!$1:$1,0)),"")))</f>
        <v/>
      </c>
      <c r="Q546" s="88" t="str">
        <f>IF($B546="","",IF(IFERROR(INDEX('RAID Log'!$1:$1048576,$B546,MATCH("RAID Response/Plan",'RAID Log'!$1:$1,0)),"")="","",IFERROR(INDEX('RAID Log'!$1:$1048576,$B546,MATCH("RAID Response/Plan",'RAID Log'!$1:$1,0)),"")))</f>
        <v/>
      </c>
    </row>
    <row r="547" spans="1:17" ht="14.25" customHeight="1">
      <c r="A547" s="82" t="str">
        <f>IF($B547="","",IF(IFERROR(INDEX('RAID Log'!$1:$1048576,$B547,MATCH("RAID ID",'RAID Log'!$1:$1,0)),"")="","",IFERROR(INDEX('RAID Log'!$1:$1048576,$B547,MATCH("RAID ID",'RAID Log'!$1:$1,0)),"")))</f>
        <v/>
      </c>
      <c r="B547" s="83" t="str">
        <f>IFERROR(MATCH(ROW()-1,'RAID Log'!$S:$S,0),"")</f>
        <v/>
      </c>
      <c r="C547" s="84" t="str">
        <f>IF($B547="","",IF(IFERROR(INDEX('RAID Log'!$1:$1048576,$B547,MATCH("Description",'RAID Log'!$1:$1,0)),"")="","",IFERROR(INDEX('RAID Log'!$1:$1048576,$B547,MATCH("Description",'RAID Log'!$1:$1,0)),"")))</f>
        <v/>
      </c>
      <c r="D547" s="84" t="str">
        <f>IF($B547="","",IF(IFERROR(INDEX('RAID Log'!$1:$1048576,$B547,MATCH("Impact/Effect of the RAID",'RAID Log'!$1:$1,0)),"")="","",IFERROR(INDEX('RAID Log'!$1:$1048576,$B547,MATCH("Impact/Effect of the RAID",'RAID Log'!$1:$1,0)),"")))</f>
        <v/>
      </c>
      <c r="E547" s="85" t="str">
        <f>IF($B547="","",IF(IFERROR(INDEX('RAID Log'!$1:$1048576,$B547,MATCH("Impact Area",'RAID Log'!$1:$1,0)),"")="","",IFERROR(INDEX('RAID Log'!$1:$1048576,$B547,MATCH("Impact Area",'RAID Log'!$1:$1,0)),"")))</f>
        <v/>
      </c>
      <c r="F547" s="85" t="str">
        <f>IF($B547="","",IF(IFERROR(INDEX('RAID Log'!$1:$1048576,$B547,MATCH("Impact Area",'RAID Log'!$1:$1,0)),"")="","",IFERROR(INDEX('RAID Log'!$1:$1048576,$B547,MATCH("Impact Area",'RAID Log'!$1:$1,0)),"")))</f>
        <v/>
      </c>
      <c r="G547" s="85" t="str">
        <f>IF($B547="","",IF(IFERROR(INDEX('RAID Log'!$1:$1048576,$B547,MATCH("Impact Rating",'RAID Log'!$1:$1,0)),"")="","",IFERROR(INDEX('RAID Log'!$1:$1048576,$B547,MATCH("Impact Rating",'RAID Log'!$1:$1,0)),"")))</f>
        <v/>
      </c>
      <c r="H547" s="85" t="str">
        <f>IF($B547="","",IF(IFERROR(INDEX('RAID Log'!$1:$1048576,$B547,MATCH("Initial Probability",'RAID Log'!$1:$1,0)),"")="","",IFERROR(INDEX('RAID Log'!$1:$1048576,$B547,MATCH("Initial Probability",'RAID Log'!$1:$1,0)),"")))</f>
        <v/>
      </c>
      <c r="I547" s="86" t="str">
        <f t="shared" si="24"/>
        <v/>
      </c>
      <c r="J547" s="85" t="str">
        <f t="shared" si="25"/>
        <v/>
      </c>
      <c r="K547" s="86" t="str">
        <f t="shared" si="26"/>
        <v/>
      </c>
      <c r="L547" s="85" t="str">
        <f>IF($B547="","",IF(IFERROR(INDEX('RAID Log'!$1:$1048576,$B547,MATCH("Status",'RAID Log'!$1:$1,0)),"")="","",IFERROR(INDEX('RAID Log'!$1:$1048576,$B547,MATCH("Status",'RAID Log'!$1:$1,0)),"")))</f>
        <v/>
      </c>
      <c r="M547" s="85" t="str">
        <f>IF($B547="","",IF(IFERROR(INDEX('RAID Log'!$1:$1048576,$B547,MATCH("RAID Owner",'RAID Log'!$1:$1,0)),"")="","",IFERROR(INDEX('RAID Log'!$1:$1048576,$B547,MATCH("RAID Owner",'RAID Log'!$1:$1,0)),"")))</f>
        <v/>
      </c>
      <c r="N547" s="87" t="str">
        <f>IF($B547="","",IF(IFERROR(INDEX('RAID Log'!$1:$1048576,$B547,MATCH("Date Raised",'RAID Log'!$1:$1,0)),"")="","",IFERROR(INDEX('RAID Log'!$1:$1048576,$B547,MATCH("Date Raised",'RAID Log'!$1:$1,0)),"")))</f>
        <v/>
      </c>
      <c r="O547" s="87" t="str">
        <f>IF($B547="","",IF(IFERROR(INDEX('RAID Log'!$1:$1048576,$B547,MATCH("Closed Date",'RAID Log'!$1:$1,0)),"")="","",IFERROR(INDEX('RAID Log'!$1:$1048576,$B547,MATCH("Closed Date",'RAID Log'!$1:$1,0)),"")))</f>
        <v/>
      </c>
      <c r="P547" s="85" t="str">
        <f>IF($B547="","",IF(IFERROR(INDEX('RAID Log'!$1:$1048576,$B547,MATCH("Mitigation Strategy",'RAID Log'!$1:$1,0)),"")="","",IFERROR(INDEX('RAID Log'!$1:$1048576,$B547,MATCH("Mitigation Strategy",'RAID Log'!$1:$1,0)),"")))</f>
        <v/>
      </c>
      <c r="Q547" s="88" t="str">
        <f>IF($B547="","",IF(IFERROR(INDEX('RAID Log'!$1:$1048576,$B547,MATCH("RAID Response/Plan",'RAID Log'!$1:$1,0)),"")="","",IFERROR(INDEX('RAID Log'!$1:$1048576,$B547,MATCH("RAID Response/Plan",'RAID Log'!$1:$1,0)),"")))</f>
        <v/>
      </c>
    </row>
    <row r="548" spans="1:17" ht="14.25" customHeight="1">
      <c r="A548" s="82" t="str">
        <f>IF($B548="","",IF(IFERROR(INDEX('RAID Log'!$1:$1048576,$B548,MATCH("RAID ID",'RAID Log'!$1:$1,0)),"")="","",IFERROR(INDEX('RAID Log'!$1:$1048576,$B548,MATCH("RAID ID",'RAID Log'!$1:$1,0)),"")))</f>
        <v/>
      </c>
      <c r="B548" s="83" t="str">
        <f>IFERROR(MATCH(ROW()-1,'RAID Log'!$S:$S,0),"")</f>
        <v/>
      </c>
      <c r="C548" s="84" t="str">
        <f>IF($B548="","",IF(IFERROR(INDEX('RAID Log'!$1:$1048576,$B548,MATCH("Description",'RAID Log'!$1:$1,0)),"")="","",IFERROR(INDEX('RAID Log'!$1:$1048576,$B548,MATCH("Description",'RAID Log'!$1:$1,0)),"")))</f>
        <v/>
      </c>
      <c r="D548" s="84" t="str">
        <f>IF($B548="","",IF(IFERROR(INDEX('RAID Log'!$1:$1048576,$B548,MATCH("Impact/Effect of the RAID",'RAID Log'!$1:$1,0)),"")="","",IFERROR(INDEX('RAID Log'!$1:$1048576,$B548,MATCH("Impact/Effect of the RAID",'RAID Log'!$1:$1,0)),"")))</f>
        <v/>
      </c>
      <c r="E548" s="85" t="str">
        <f>IF($B548="","",IF(IFERROR(INDEX('RAID Log'!$1:$1048576,$B548,MATCH("Impact Area",'RAID Log'!$1:$1,0)),"")="","",IFERROR(INDEX('RAID Log'!$1:$1048576,$B548,MATCH("Impact Area",'RAID Log'!$1:$1,0)),"")))</f>
        <v/>
      </c>
      <c r="F548" s="85" t="str">
        <f>IF($B548="","",IF(IFERROR(INDEX('RAID Log'!$1:$1048576,$B548,MATCH("Impact Area",'RAID Log'!$1:$1,0)),"")="","",IFERROR(INDEX('RAID Log'!$1:$1048576,$B548,MATCH("Impact Area",'RAID Log'!$1:$1,0)),"")))</f>
        <v/>
      </c>
      <c r="G548" s="85" t="str">
        <f>IF($B548="","",IF(IFERROR(INDEX('RAID Log'!$1:$1048576,$B548,MATCH("Impact Rating",'RAID Log'!$1:$1,0)),"")="","",IFERROR(INDEX('RAID Log'!$1:$1048576,$B548,MATCH("Impact Rating",'RAID Log'!$1:$1,0)),"")))</f>
        <v/>
      </c>
      <c r="H548" s="85" t="str">
        <f>IF($B548="","",IF(IFERROR(INDEX('RAID Log'!$1:$1048576,$B548,MATCH("Initial Probability",'RAID Log'!$1:$1,0)),"")="","",IFERROR(INDEX('RAID Log'!$1:$1048576,$B548,MATCH("Initial Probability",'RAID Log'!$1:$1,0)),"")))</f>
        <v/>
      </c>
      <c r="I548" s="86" t="str">
        <f t="shared" si="24"/>
        <v/>
      </c>
      <c r="J548" s="85" t="str">
        <f t="shared" si="25"/>
        <v/>
      </c>
      <c r="K548" s="86" t="str">
        <f t="shared" si="26"/>
        <v/>
      </c>
      <c r="L548" s="85" t="str">
        <f>IF($B548="","",IF(IFERROR(INDEX('RAID Log'!$1:$1048576,$B548,MATCH("Status",'RAID Log'!$1:$1,0)),"")="","",IFERROR(INDEX('RAID Log'!$1:$1048576,$B548,MATCH("Status",'RAID Log'!$1:$1,0)),"")))</f>
        <v/>
      </c>
      <c r="M548" s="85" t="str">
        <f>IF($B548="","",IF(IFERROR(INDEX('RAID Log'!$1:$1048576,$B548,MATCH("RAID Owner",'RAID Log'!$1:$1,0)),"")="","",IFERROR(INDEX('RAID Log'!$1:$1048576,$B548,MATCH("RAID Owner",'RAID Log'!$1:$1,0)),"")))</f>
        <v/>
      </c>
      <c r="N548" s="87" t="str">
        <f>IF($B548="","",IF(IFERROR(INDEX('RAID Log'!$1:$1048576,$B548,MATCH("Date Raised",'RAID Log'!$1:$1,0)),"")="","",IFERROR(INDEX('RAID Log'!$1:$1048576,$B548,MATCH("Date Raised",'RAID Log'!$1:$1,0)),"")))</f>
        <v/>
      </c>
      <c r="O548" s="87" t="str">
        <f>IF($B548="","",IF(IFERROR(INDEX('RAID Log'!$1:$1048576,$B548,MATCH("Closed Date",'RAID Log'!$1:$1,0)),"")="","",IFERROR(INDEX('RAID Log'!$1:$1048576,$B548,MATCH("Closed Date",'RAID Log'!$1:$1,0)),"")))</f>
        <v/>
      </c>
      <c r="P548" s="85" t="str">
        <f>IF($B548="","",IF(IFERROR(INDEX('RAID Log'!$1:$1048576,$B548,MATCH("Mitigation Strategy",'RAID Log'!$1:$1,0)),"")="","",IFERROR(INDEX('RAID Log'!$1:$1048576,$B548,MATCH("Mitigation Strategy",'RAID Log'!$1:$1,0)),"")))</f>
        <v/>
      </c>
      <c r="Q548" s="88" t="str">
        <f>IF($B548="","",IF(IFERROR(INDEX('RAID Log'!$1:$1048576,$B548,MATCH("RAID Response/Plan",'RAID Log'!$1:$1,0)),"")="","",IFERROR(INDEX('RAID Log'!$1:$1048576,$B548,MATCH("RAID Response/Plan",'RAID Log'!$1:$1,0)),"")))</f>
        <v/>
      </c>
    </row>
    <row r="549" spans="1:17" ht="14.25" customHeight="1">
      <c r="A549" s="82" t="str">
        <f>IF($B549="","",IF(IFERROR(INDEX('RAID Log'!$1:$1048576,$B549,MATCH("RAID ID",'RAID Log'!$1:$1,0)),"")="","",IFERROR(INDEX('RAID Log'!$1:$1048576,$B549,MATCH("RAID ID",'RAID Log'!$1:$1,0)),"")))</f>
        <v/>
      </c>
      <c r="B549" s="83" t="str">
        <f>IFERROR(MATCH(ROW()-1,'RAID Log'!$S:$S,0),"")</f>
        <v/>
      </c>
      <c r="C549" s="84" t="str">
        <f>IF($B549="","",IF(IFERROR(INDEX('RAID Log'!$1:$1048576,$B549,MATCH("Description",'RAID Log'!$1:$1,0)),"")="","",IFERROR(INDEX('RAID Log'!$1:$1048576,$B549,MATCH("Description",'RAID Log'!$1:$1,0)),"")))</f>
        <v/>
      </c>
      <c r="D549" s="84" t="str">
        <f>IF($B549="","",IF(IFERROR(INDEX('RAID Log'!$1:$1048576,$B549,MATCH("Impact/Effect of the RAID",'RAID Log'!$1:$1,0)),"")="","",IFERROR(INDEX('RAID Log'!$1:$1048576,$B549,MATCH("Impact/Effect of the RAID",'RAID Log'!$1:$1,0)),"")))</f>
        <v/>
      </c>
      <c r="E549" s="85" t="str">
        <f>IF($B549="","",IF(IFERROR(INDEX('RAID Log'!$1:$1048576,$B549,MATCH("Impact Area",'RAID Log'!$1:$1,0)),"")="","",IFERROR(INDEX('RAID Log'!$1:$1048576,$B549,MATCH("Impact Area",'RAID Log'!$1:$1,0)),"")))</f>
        <v/>
      </c>
      <c r="F549" s="85" t="str">
        <f>IF($B549="","",IF(IFERROR(INDEX('RAID Log'!$1:$1048576,$B549,MATCH("Impact Area",'RAID Log'!$1:$1,0)),"")="","",IFERROR(INDEX('RAID Log'!$1:$1048576,$B549,MATCH("Impact Area",'RAID Log'!$1:$1,0)),"")))</f>
        <v/>
      </c>
      <c r="G549" s="85" t="str">
        <f>IF($B549="","",IF(IFERROR(INDEX('RAID Log'!$1:$1048576,$B549,MATCH("Impact Rating",'RAID Log'!$1:$1,0)),"")="","",IFERROR(INDEX('RAID Log'!$1:$1048576,$B549,MATCH("Impact Rating",'RAID Log'!$1:$1,0)),"")))</f>
        <v/>
      </c>
      <c r="H549" s="85" t="str">
        <f>IF($B549="","",IF(IFERROR(INDEX('RAID Log'!$1:$1048576,$B549,MATCH("Initial Probability",'RAID Log'!$1:$1,0)),"")="","",IFERROR(INDEX('RAID Log'!$1:$1048576,$B549,MATCH("Initial Probability",'RAID Log'!$1:$1,0)),"")))</f>
        <v/>
      </c>
      <c r="I549" s="86" t="str">
        <f t="shared" si="24"/>
        <v/>
      </c>
      <c r="J549" s="85" t="str">
        <f t="shared" si="25"/>
        <v/>
      </c>
      <c r="K549" s="86" t="str">
        <f t="shared" si="26"/>
        <v/>
      </c>
      <c r="L549" s="85" t="str">
        <f>IF($B549="","",IF(IFERROR(INDEX('RAID Log'!$1:$1048576,$B549,MATCH("Status",'RAID Log'!$1:$1,0)),"")="","",IFERROR(INDEX('RAID Log'!$1:$1048576,$B549,MATCH("Status",'RAID Log'!$1:$1,0)),"")))</f>
        <v/>
      </c>
      <c r="M549" s="85" t="str">
        <f>IF($B549="","",IF(IFERROR(INDEX('RAID Log'!$1:$1048576,$B549,MATCH("RAID Owner",'RAID Log'!$1:$1,0)),"")="","",IFERROR(INDEX('RAID Log'!$1:$1048576,$B549,MATCH("RAID Owner",'RAID Log'!$1:$1,0)),"")))</f>
        <v/>
      </c>
      <c r="N549" s="87" t="str">
        <f>IF($B549="","",IF(IFERROR(INDEX('RAID Log'!$1:$1048576,$B549,MATCH("Date Raised",'RAID Log'!$1:$1,0)),"")="","",IFERROR(INDEX('RAID Log'!$1:$1048576,$B549,MATCH("Date Raised",'RAID Log'!$1:$1,0)),"")))</f>
        <v/>
      </c>
      <c r="O549" s="87" t="str">
        <f>IF($B549="","",IF(IFERROR(INDEX('RAID Log'!$1:$1048576,$B549,MATCH("Closed Date",'RAID Log'!$1:$1,0)),"")="","",IFERROR(INDEX('RAID Log'!$1:$1048576,$B549,MATCH("Closed Date",'RAID Log'!$1:$1,0)),"")))</f>
        <v/>
      </c>
      <c r="P549" s="85" t="str">
        <f>IF($B549="","",IF(IFERROR(INDEX('RAID Log'!$1:$1048576,$B549,MATCH("Mitigation Strategy",'RAID Log'!$1:$1,0)),"")="","",IFERROR(INDEX('RAID Log'!$1:$1048576,$B549,MATCH("Mitigation Strategy",'RAID Log'!$1:$1,0)),"")))</f>
        <v/>
      </c>
      <c r="Q549" s="88" t="str">
        <f>IF($B549="","",IF(IFERROR(INDEX('RAID Log'!$1:$1048576,$B549,MATCH("RAID Response/Plan",'RAID Log'!$1:$1,0)),"")="","",IFERROR(INDEX('RAID Log'!$1:$1048576,$B549,MATCH("RAID Response/Plan",'RAID Log'!$1:$1,0)),"")))</f>
        <v/>
      </c>
    </row>
    <row r="550" spans="1:17" ht="14.25" customHeight="1">
      <c r="A550" s="82" t="str">
        <f>IF($B550="","",IF(IFERROR(INDEX('RAID Log'!$1:$1048576,$B550,MATCH("RAID ID",'RAID Log'!$1:$1,0)),"")="","",IFERROR(INDEX('RAID Log'!$1:$1048576,$B550,MATCH("RAID ID",'RAID Log'!$1:$1,0)),"")))</f>
        <v/>
      </c>
      <c r="B550" s="83" t="str">
        <f>IFERROR(MATCH(ROW()-1,'RAID Log'!$S:$S,0),"")</f>
        <v/>
      </c>
      <c r="C550" s="84" t="str">
        <f>IF($B550="","",IF(IFERROR(INDEX('RAID Log'!$1:$1048576,$B550,MATCH("Description",'RAID Log'!$1:$1,0)),"")="","",IFERROR(INDEX('RAID Log'!$1:$1048576,$B550,MATCH("Description",'RAID Log'!$1:$1,0)),"")))</f>
        <v/>
      </c>
      <c r="D550" s="84" t="str">
        <f>IF($B550="","",IF(IFERROR(INDEX('RAID Log'!$1:$1048576,$B550,MATCH("Impact/Effect of the RAID",'RAID Log'!$1:$1,0)),"")="","",IFERROR(INDEX('RAID Log'!$1:$1048576,$B550,MATCH("Impact/Effect of the RAID",'RAID Log'!$1:$1,0)),"")))</f>
        <v/>
      </c>
      <c r="E550" s="85" t="str">
        <f>IF($B550="","",IF(IFERROR(INDEX('RAID Log'!$1:$1048576,$B550,MATCH("Impact Area",'RAID Log'!$1:$1,0)),"")="","",IFERROR(INDEX('RAID Log'!$1:$1048576,$B550,MATCH("Impact Area",'RAID Log'!$1:$1,0)),"")))</f>
        <v/>
      </c>
      <c r="F550" s="85" t="str">
        <f>IF($B550="","",IF(IFERROR(INDEX('RAID Log'!$1:$1048576,$B550,MATCH("Impact Area",'RAID Log'!$1:$1,0)),"")="","",IFERROR(INDEX('RAID Log'!$1:$1048576,$B550,MATCH("Impact Area",'RAID Log'!$1:$1,0)),"")))</f>
        <v/>
      </c>
      <c r="G550" s="85" t="str">
        <f>IF($B550="","",IF(IFERROR(INDEX('RAID Log'!$1:$1048576,$B550,MATCH("Impact Rating",'RAID Log'!$1:$1,0)),"")="","",IFERROR(INDEX('RAID Log'!$1:$1048576,$B550,MATCH("Impact Rating",'RAID Log'!$1:$1,0)),"")))</f>
        <v/>
      </c>
      <c r="H550" s="85" t="str">
        <f>IF($B550="","",IF(IFERROR(INDEX('RAID Log'!$1:$1048576,$B550,MATCH("Initial Probability",'RAID Log'!$1:$1,0)),"")="","",IFERROR(INDEX('RAID Log'!$1:$1048576,$B550,MATCH("Initial Probability",'RAID Log'!$1:$1,0)),"")))</f>
        <v/>
      </c>
      <c r="I550" s="86" t="str">
        <f t="shared" si="24"/>
        <v/>
      </c>
      <c r="J550" s="85" t="str">
        <f t="shared" si="25"/>
        <v/>
      </c>
      <c r="K550" s="86" t="str">
        <f t="shared" si="26"/>
        <v/>
      </c>
      <c r="L550" s="85" t="str">
        <f>IF($B550="","",IF(IFERROR(INDEX('RAID Log'!$1:$1048576,$B550,MATCH("Status",'RAID Log'!$1:$1,0)),"")="","",IFERROR(INDEX('RAID Log'!$1:$1048576,$B550,MATCH("Status",'RAID Log'!$1:$1,0)),"")))</f>
        <v/>
      </c>
      <c r="M550" s="85" t="str">
        <f>IF($B550="","",IF(IFERROR(INDEX('RAID Log'!$1:$1048576,$B550,MATCH("RAID Owner",'RAID Log'!$1:$1,0)),"")="","",IFERROR(INDEX('RAID Log'!$1:$1048576,$B550,MATCH("RAID Owner",'RAID Log'!$1:$1,0)),"")))</f>
        <v/>
      </c>
      <c r="N550" s="87" t="str">
        <f>IF($B550="","",IF(IFERROR(INDEX('RAID Log'!$1:$1048576,$B550,MATCH("Date Raised",'RAID Log'!$1:$1,0)),"")="","",IFERROR(INDEX('RAID Log'!$1:$1048576,$B550,MATCH("Date Raised",'RAID Log'!$1:$1,0)),"")))</f>
        <v/>
      </c>
      <c r="O550" s="87" t="str">
        <f>IF($B550="","",IF(IFERROR(INDEX('RAID Log'!$1:$1048576,$B550,MATCH("Closed Date",'RAID Log'!$1:$1,0)),"")="","",IFERROR(INDEX('RAID Log'!$1:$1048576,$B550,MATCH("Closed Date",'RAID Log'!$1:$1,0)),"")))</f>
        <v/>
      </c>
      <c r="P550" s="85" t="str">
        <f>IF($B550="","",IF(IFERROR(INDEX('RAID Log'!$1:$1048576,$B550,MATCH("Mitigation Strategy",'RAID Log'!$1:$1,0)),"")="","",IFERROR(INDEX('RAID Log'!$1:$1048576,$B550,MATCH("Mitigation Strategy",'RAID Log'!$1:$1,0)),"")))</f>
        <v/>
      </c>
      <c r="Q550" s="88" t="str">
        <f>IF($B550="","",IF(IFERROR(INDEX('RAID Log'!$1:$1048576,$B550,MATCH("RAID Response/Plan",'RAID Log'!$1:$1,0)),"")="","",IFERROR(INDEX('RAID Log'!$1:$1048576,$B550,MATCH("RAID Response/Plan",'RAID Log'!$1:$1,0)),"")))</f>
        <v/>
      </c>
    </row>
    <row r="551" spans="1:17" ht="14.25" customHeight="1">
      <c r="A551" s="82" t="str">
        <f>IF($B551="","",IF(IFERROR(INDEX('RAID Log'!$1:$1048576,$B551,MATCH("RAID ID",'RAID Log'!$1:$1,0)),"")="","",IFERROR(INDEX('RAID Log'!$1:$1048576,$B551,MATCH("RAID ID",'RAID Log'!$1:$1,0)),"")))</f>
        <v/>
      </c>
      <c r="B551" s="83" t="str">
        <f>IFERROR(MATCH(ROW()-1,'RAID Log'!$S:$S,0),"")</f>
        <v/>
      </c>
      <c r="C551" s="84" t="str">
        <f>IF($B551="","",IF(IFERROR(INDEX('RAID Log'!$1:$1048576,$B551,MATCH("Description",'RAID Log'!$1:$1,0)),"")="","",IFERROR(INDEX('RAID Log'!$1:$1048576,$B551,MATCH("Description",'RAID Log'!$1:$1,0)),"")))</f>
        <v/>
      </c>
      <c r="D551" s="84" t="str">
        <f>IF($B551="","",IF(IFERROR(INDEX('RAID Log'!$1:$1048576,$B551,MATCH("Impact/Effect of the RAID",'RAID Log'!$1:$1,0)),"")="","",IFERROR(INDEX('RAID Log'!$1:$1048576,$B551,MATCH("Impact/Effect of the RAID",'RAID Log'!$1:$1,0)),"")))</f>
        <v/>
      </c>
      <c r="E551" s="85" t="str">
        <f>IF($B551="","",IF(IFERROR(INDEX('RAID Log'!$1:$1048576,$B551,MATCH("Impact Area",'RAID Log'!$1:$1,0)),"")="","",IFERROR(INDEX('RAID Log'!$1:$1048576,$B551,MATCH("Impact Area",'RAID Log'!$1:$1,0)),"")))</f>
        <v/>
      </c>
      <c r="F551" s="85" t="str">
        <f>IF($B551="","",IF(IFERROR(INDEX('RAID Log'!$1:$1048576,$B551,MATCH("Impact Area",'RAID Log'!$1:$1,0)),"")="","",IFERROR(INDEX('RAID Log'!$1:$1048576,$B551,MATCH("Impact Area",'RAID Log'!$1:$1,0)),"")))</f>
        <v/>
      </c>
      <c r="G551" s="85" t="str">
        <f>IF($B551="","",IF(IFERROR(INDEX('RAID Log'!$1:$1048576,$B551,MATCH("Impact Rating",'RAID Log'!$1:$1,0)),"")="","",IFERROR(INDEX('RAID Log'!$1:$1048576,$B551,MATCH("Impact Rating",'RAID Log'!$1:$1,0)),"")))</f>
        <v/>
      </c>
      <c r="H551" s="85" t="str">
        <f>IF($B551="","",IF(IFERROR(INDEX('RAID Log'!$1:$1048576,$B551,MATCH("Initial Probability",'RAID Log'!$1:$1,0)),"")="","",IFERROR(INDEX('RAID Log'!$1:$1048576,$B551,MATCH("Initial Probability",'RAID Log'!$1:$1,0)),"")))</f>
        <v/>
      </c>
      <c r="I551" s="86" t="str">
        <f t="shared" si="24"/>
        <v/>
      </c>
      <c r="J551" s="85" t="str">
        <f t="shared" si="25"/>
        <v/>
      </c>
      <c r="K551" s="86" t="str">
        <f t="shared" si="26"/>
        <v/>
      </c>
      <c r="L551" s="85" t="str">
        <f>IF($B551="","",IF(IFERROR(INDEX('RAID Log'!$1:$1048576,$B551,MATCH("Status",'RAID Log'!$1:$1,0)),"")="","",IFERROR(INDEX('RAID Log'!$1:$1048576,$B551,MATCH("Status",'RAID Log'!$1:$1,0)),"")))</f>
        <v/>
      </c>
      <c r="M551" s="85" t="str">
        <f>IF($B551="","",IF(IFERROR(INDEX('RAID Log'!$1:$1048576,$B551,MATCH("RAID Owner",'RAID Log'!$1:$1,0)),"")="","",IFERROR(INDEX('RAID Log'!$1:$1048576,$B551,MATCH("RAID Owner",'RAID Log'!$1:$1,0)),"")))</f>
        <v/>
      </c>
      <c r="N551" s="87" t="str">
        <f>IF($B551="","",IF(IFERROR(INDEX('RAID Log'!$1:$1048576,$B551,MATCH("Date Raised",'RAID Log'!$1:$1,0)),"")="","",IFERROR(INDEX('RAID Log'!$1:$1048576,$B551,MATCH("Date Raised",'RAID Log'!$1:$1,0)),"")))</f>
        <v/>
      </c>
      <c r="O551" s="87" t="str">
        <f>IF($B551="","",IF(IFERROR(INDEX('RAID Log'!$1:$1048576,$B551,MATCH("Closed Date",'RAID Log'!$1:$1,0)),"")="","",IFERROR(INDEX('RAID Log'!$1:$1048576,$B551,MATCH("Closed Date",'RAID Log'!$1:$1,0)),"")))</f>
        <v/>
      </c>
      <c r="P551" s="85" t="str">
        <f>IF($B551="","",IF(IFERROR(INDEX('RAID Log'!$1:$1048576,$B551,MATCH("Mitigation Strategy",'RAID Log'!$1:$1,0)),"")="","",IFERROR(INDEX('RAID Log'!$1:$1048576,$B551,MATCH("Mitigation Strategy",'RAID Log'!$1:$1,0)),"")))</f>
        <v/>
      </c>
      <c r="Q551" s="88" t="str">
        <f>IF($B551="","",IF(IFERROR(INDEX('RAID Log'!$1:$1048576,$B551,MATCH("RAID Response/Plan",'RAID Log'!$1:$1,0)),"")="","",IFERROR(INDEX('RAID Log'!$1:$1048576,$B551,MATCH("RAID Response/Plan",'RAID Log'!$1:$1,0)),"")))</f>
        <v/>
      </c>
    </row>
    <row r="552" spans="1:17" ht="14.25" customHeight="1">
      <c r="A552" s="82" t="str">
        <f>IF($B552="","",IF(IFERROR(INDEX('RAID Log'!$1:$1048576,$B552,MATCH("RAID ID",'RAID Log'!$1:$1,0)),"")="","",IFERROR(INDEX('RAID Log'!$1:$1048576,$B552,MATCH("RAID ID",'RAID Log'!$1:$1,0)),"")))</f>
        <v/>
      </c>
      <c r="B552" s="83" t="str">
        <f>IFERROR(MATCH(ROW()-1,'RAID Log'!$S:$S,0),"")</f>
        <v/>
      </c>
      <c r="C552" s="84" t="str">
        <f>IF($B552="","",IF(IFERROR(INDEX('RAID Log'!$1:$1048576,$B552,MATCH("Description",'RAID Log'!$1:$1,0)),"")="","",IFERROR(INDEX('RAID Log'!$1:$1048576,$B552,MATCH("Description",'RAID Log'!$1:$1,0)),"")))</f>
        <v/>
      </c>
      <c r="D552" s="84" t="str">
        <f>IF($B552="","",IF(IFERROR(INDEX('RAID Log'!$1:$1048576,$B552,MATCH("Impact/Effect of the RAID",'RAID Log'!$1:$1,0)),"")="","",IFERROR(INDEX('RAID Log'!$1:$1048576,$B552,MATCH("Impact/Effect of the RAID",'RAID Log'!$1:$1,0)),"")))</f>
        <v/>
      </c>
      <c r="E552" s="85" t="str">
        <f>IF($B552="","",IF(IFERROR(INDEX('RAID Log'!$1:$1048576,$B552,MATCH("Impact Area",'RAID Log'!$1:$1,0)),"")="","",IFERROR(INDEX('RAID Log'!$1:$1048576,$B552,MATCH("Impact Area",'RAID Log'!$1:$1,0)),"")))</f>
        <v/>
      </c>
      <c r="F552" s="85" t="str">
        <f>IF($B552="","",IF(IFERROR(INDEX('RAID Log'!$1:$1048576,$B552,MATCH("Impact Area",'RAID Log'!$1:$1,0)),"")="","",IFERROR(INDEX('RAID Log'!$1:$1048576,$B552,MATCH("Impact Area",'RAID Log'!$1:$1,0)),"")))</f>
        <v/>
      </c>
      <c r="G552" s="85" t="str">
        <f>IF($B552="","",IF(IFERROR(INDEX('RAID Log'!$1:$1048576,$B552,MATCH("Impact Rating",'RAID Log'!$1:$1,0)),"")="","",IFERROR(INDEX('RAID Log'!$1:$1048576,$B552,MATCH("Impact Rating",'RAID Log'!$1:$1,0)),"")))</f>
        <v/>
      </c>
      <c r="H552" s="85" t="str">
        <f>IF($B552="","",IF(IFERROR(INDEX('RAID Log'!$1:$1048576,$B552,MATCH("Initial Probability",'RAID Log'!$1:$1,0)),"")="","",IFERROR(INDEX('RAID Log'!$1:$1048576,$B552,MATCH("Initial Probability",'RAID Log'!$1:$1,0)),"")))</f>
        <v/>
      </c>
      <c r="I552" s="86" t="str">
        <f t="shared" si="24"/>
        <v/>
      </c>
      <c r="J552" s="85" t="str">
        <f t="shared" si="25"/>
        <v/>
      </c>
      <c r="K552" s="86" t="str">
        <f t="shared" si="26"/>
        <v/>
      </c>
      <c r="L552" s="85" t="str">
        <f>IF($B552="","",IF(IFERROR(INDEX('RAID Log'!$1:$1048576,$B552,MATCH("Status",'RAID Log'!$1:$1,0)),"")="","",IFERROR(INDEX('RAID Log'!$1:$1048576,$B552,MATCH("Status",'RAID Log'!$1:$1,0)),"")))</f>
        <v/>
      </c>
      <c r="M552" s="85" t="str">
        <f>IF($B552="","",IF(IFERROR(INDEX('RAID Log'!$1:$1048576,$B552,MATCH("RAID Owner",'RAID Log'!$1:$1,0)),"")="","",IFERROR(INDEX('RAID Log'!$1:$1048576,$B552,MATCH("RAID Owner",'RAID Log'!$1:$1,0)),"")))</f>
        <v/>
      </c>
      <c r="N552" s="87" t="str">
        <f>IF($B552="","",IF(IFERROR(INDEX('RAID Log'!$1:$1048576,$B552,MATCH("Date Raised",'RAID Log'!$1:$1,0)),"")="","",IFERROR(INDEX('RAID Log'!$1:$1048576,$B552,MATCH("Date Raised",'RAID Log'!$1:$1,0)),"")))</f>
        <v/>
      </c>
      <c r="O552" s="87" t="str">
        <f>IF($B552="","",IF(IFERROR(INDEX('RAID Log'!$1:$1048576,$B552,MATCH("Closed Date",'RAID Log'!$1:$1,0)),"")="","",IFERROR(INDEX('RAID Log'!$1:$1048576,$B552,MATCH("Closed Date",'RAID Log'!$1:$1,0)),"")))</f>
        <v/>
      </c>
      <c r="P552" s="85" t="str">
        <f>IF($B552="","",IF(IFERROR(INDEX('RAID Log'!$1:$1048576,$B552,MATCH("Mitigation Strategy",'RAID Log'!$1:$1,0)),"")="","",IFERROR(INDEX('RAID Log'!$1:$1048576,$B552,MATCH("Mitigation Strategy",'RAID Log'!$1:$1,0)),"")))</f>
        <v/>
      </c>
      <c r="Q552" s="88" t="str">
        <f>IF($B552="","",IF(IFERROR(INDEX('RAID Log'!$1:$1048576,$B552,MATCH("RAID Response/Plan",'RAID Log'!$1:$1,0)),"")="","",IFERROR(INDEX('RAID Log'!$1:$1048576,$B552,MATCH("RAID Response/Plan",'RAID Log'!$1:$1,0)),"")))</f>
        <v/>
      </c>
    </row>
    <row r="553" spans="1:17" ht="14.25" customHeight="1">
      <c r="A553" s="82" t="str">
        <f>IF($B553="","",IF(IFERROR(INDEX('RAID Log'!$1:$1048576,$B553,MATCH("RAID ID",'RAID Log'!$1:$1,0)),"")="","",IFERROR(INDEX('RAID Log'!$1:$1048576,$B553,MATCH("RAID ID",'RAID Log'!$1:$1,0)),"")))</f>
        <v/>
      </c>
      <c r="B553" s="83" t="str">
        <f>IFERROR(MATCH(ROW()-1,'RAID Log'!$S:$S,0),"")</f>
        <v/>
      </c>
      <c r="C553" s="84" t="str">
        <f>IF($B553="","",IF(IFERROR(INDEX('RAID Log'!$1:$1048576,$B553,MATCH("Description",'RAID Log'!$1:$1,0)),"")="","",IFERROR(INDEX('RAID Log'!$1:$1048576,$B553,MATCH("Description",'RAID Log'!$1:$1,0)),"")))</f>
        <v/>
      </c>
      <c r="D553" s="84" t="str">
        <f>IF($B553="","",IF(IFERROR(INDEX('RAID Log'!$1:$1048576,$B553,MATCH("Impact/Effect of the RAID",'RAID Log'!$1:$1,0)),"")="","",IFERROR(INDEX('RAID Log'!$1:$1048576,$B553,MATCH("Impact/Effect of the RAID",'RAID Log'!$1:$1,0)),"")))</f>
        <v/>
      </c>
      <c r="E553" s="85" t="str">
        <f>IF($B553="","",IF(IFERROR(INDEX('RAID Log'!$1:$1048576,$B553,MATCH("Impact Area",'RAID Log'!$1:$1,0)),"")="","",IFERROR(INDEX('RAID Log'!$1:$1048576,$B553,MATCH("Impact Area",'RAID Log'!$1:$1,0)),"")))</f>
        <v/>
      </c>
      <c r="F553" s="85" t="str">
        <f>IF($B553="","",IF(IFERROR(INDEX('RAID Log'!$1:$1048576,$B553,MATCH("Impact Area",'RAID Log'!$1:$1,0)),"")="","",IFERROR(INDEX('RAID Log'!$1:$1048576,$B553,MATCH("Impact Area",'RAID Log'!$1:$1,0)),"")))</f>
        <v/>
      </c>
      <c r="G553" s="85" t="str">
        <f>IF($B553="","",IF(IFERROR(INDEX('RAID Log'!$1:$1048576,$B553,MATCH("Impact Rating",'RAID Log'!$1:$1,0)),"")="","",IFERROR(INDEX('RAID Log'!$1:$1048576,$B553,MATCH("Impact Rating",'RAID Log'!$1:$1,0)),"")))</f>
        <v/>
      </c>
      <c r="H553" s="85" t="str">
        <f>IF($B553="","",IF(IFERROR(INDEX('RAID Log'!$1:$1048576,$B553,MATCH("Initial Probability",'RAID Log'!$1:$1,0)),"")="","",IFERROR(INDEX('RAID Log'!$1:$1048576,$B553,MATCH("Initial Probability",'RAID Log'!$1:$1,0)),"")))</f>
        <v/>
      </c>
      <c r="I553" s="86" t="str">
        <f t="shared" si="24"/>
        <v/>
      </c>
      <c r="J553" s="85" t="str">
        <f t="shared" si="25"/>
        <v/>
      </c>
      <c r="K553" s="86" t="str">
        <f t="shared" si="26"/>
        <v/>
      </c>
      <c r="L553" s="85" t="str">
        <f>IF($B553="","",IF(IFERROR(INDEX('RAID Log'!$1:$1048576,$B553,MATCH("Status",'RAID Log'!$1:$1,0)),"")="","",IFERROR(INDEX('RAID Log'!$1:$1048576,$B553,MATCH("Status",'RAID Log'!$1:$1,0)),"")))</f>
        <v/>
      </c>
      <c r="M553" s="85" t="str">
        <f>IF($B553="","",IF(IFERROR(INDEX('RAID Log'!$1:$1048576,$B553,MATCH("RAID Owner",'RAID Log'!$1:$1,0)),"")="","",IFERROR(INDEX('RAID Log'!$1:$1048576,$B553,MATCH("RAID Owner",'RAID Log'!$1:$1,0)),"")))</f>
        <v/>
      </c>
      <c r="N553" s="87" t="str">
        <f>IF($B553="","",IF(IFERROR(INDEX('RAID Log'!$1:$1048576,$B553,MATCH("Date Raised",'RAID Log'!$1:$1,0)),"")="","",IFERROR(INDEX('RAID Log'!$1:$1048576,$B553,MATCH("Date Raised",'RAID Log'!$1:$1,0)),"")))</f>
        <v/>
      </c>
      <c r="O553" s="87" t="str">
        <f>IF($B553="","",IF(IFERROR(INDEX('RAID Log'!$1:$1048576,$B553,MATCH("Closed Date",'RAID Log'!$1:$1,0)),"")="","",IFERROR(INDEX('RAID Log'!$1:$1048576,$B553,MATCH("Closed Date",'RAID Log'!$1:$1,0)),"")))</f>
        <v/>
      </c>
      <c r="P553" s="85" t="str">
        <f>IF($B553="","",IF(IFERROR(INDEX('RAID Log'!$1:$1048576,$B553,MATCH("Mitigation Strategy",'RAID Log'!$1:$1,0)),"")="","",IFERROR(INDEX('RAID Log'!$1:$1048576,$B553,MATCH("Mitigation Strategy",'RAID Log'!$1:$1,0)),"")))</f>
        <v/>
      </c>
      <c r="Q553" s="88" t="str">
        <f>IF($B553="","",IF(IFERROR(INDEX('RAID Log'!$1:$1048576,$B553,MATCH("RAID Response/Plan",'RAID Log'!$1:$1,0)),"")="","",IFERROR(INDEX('RAID Log'!$1:$1048576,$B553,MATCH("RAID Response/Plan",'RAID Log'!$1:$1,0)),"")))</f>
        <v/>
      </c>
    </row>
    <row r="554" spans="1:17" ht="14.25" customHeight="1">
      <c r="A554" s="82" t="str">
        <f>IF($B554="","",IF(IFERROR(INDEX('RAID Log'!$1:$1048576,$B554,MATCH("RAID ID",'RAID Log'!$1:$1,0)),"")="","",IFERROR(INDEX('RAID Log'!$1:$1048576,$B554,MATCH("RAID ID",'RAID Log'!$1:$1,0)),"")))</f>
        <v/>
      </c>
      <c r="B554" s="83" t="str">
        <f>IFERROR(MATCH(ROW()-1,'RAID Log'!$S:$S,0),"")</f>
        <v/>
      </c>
      <c r="C554" s="84" t="str">
        <f>IF($B554="","",IF(IFERROR(INDEX('RAID Log'!$1:$1048576,$B554,MATCH("Description",'RAID Log'!$1:$1,0)),"")="","",IFERROR(INDEX('RAID Log'!$1:$1048576,$B554,MATCH("Description",'RAID Log'!$1:$1,0)),"")))</f>
        <v/>
      </c>
      <c r="D554" s="84" t="str">
        <f>IF($B554="","",IF(IFERROR(INDEX('RAID Log'!$1:$1048576,$B554,MATCH("Impact/Effect of the RAID",'RAID Log'!$1:$1,0)),"")="","",IFERROR(INDEX('RAID Log'!$1:$1048576,$B554,MATCH("Impact/Effect of the RAID",'RAID Log'!$1:$1,0)),"")))</f>
        <v/>
      </c>
      <c r="E554" s="85" t="str">
        <f>IF($B554="","",IF(IFERROR(INDEX('RAID Log'!$1:$1048576,$B554,MATCH("Impact Area",'RAID Log'!$1:$1,0)),"")="","",IFERROR(INDEX('RAID Log'!$1:$1048576,$B554,MATCH("Impact Area",'RAID Log'!$1:$1,0)),"")))</f>
        <v/>
      </c>
      <c r="F554" s="85" t="str">
        <f>IF($B554="","",IF(IFERROR(INDEX('RAID Log'!$1:$1048576,$B554,MATCH("Impact Area",'RAID Log'!$1:$1,0)),"")="","",IFERROR(INDEX('RAID Log'!$1:$1048576,$B554,MATCH("Impact Area",'RAID Log'!$1:$1,0)),"")))</f>
        <v/>
      </c>
      <c r="G554" s="85" t="str">
        <f>IF($B554="","",IF(IFERROR(INDEX('RAID Log'!$1:$1048576,$B554,MATCH("Impact Rating",'RAID Log'!$1:$1,0)),"")="","",IFERROR(INDEX('RAID Log'!$1:$1048576,$B554,MATCH("Impact Rating",'RAID Log'!$1:$1,0)),"")))</f>
        <v/>
      </c>
      <c r="H554" s="85" t="str">
        <f>IF($B554="","",IF(IFERROR(INDEX('RAID Log'!$1:$1048576,$B554,MATCH("Initial Probability",'RAID Log'!$1:$1,0)),"")="","",IFERROR(INDEX('RAID Log'!$1:$1048576,$B554,MATCH("Initial Probability",'RAID Log'!$1:$1,0)),"")))</f>
        <v/>
      </c>
      <c r="I554" s="86" t="str">
        <f t="shared" si="24"/>
        <v/>
      </c>
      <c r="J554" s="85" t="str">
        <f t="shared" si="25"/>
        <v/>
      </c>
      <c r="K554" s="86" t="str">
        <f t="shared" si="26"/>
        <v/>
      </c>
      <c r="L554" s="85" t="str">
        <f>IF($B554="","",IF(IFERROR(INDEX('RAID Log'!$1:$1048576,$B554,MATCH("Status",'RAID Log'!$1:$1,0)),"")="","",IFERROR(INDEX('RAID Log'!$1:$1048576,$B554,MATCH("Status",'RAID Log'!$1:$1,0)),"")))</f>
        <v/>
      </c>
      <c r="M554" s="85" t="str">
        <f>IF($B554="","",IF(IFERROR(INDEX('RAID Log'!$1:$1048576,$B554,MATCH("RAID Owner",'RAID Log'!$1:$1,0)),"")="","",IFERROR(INDEX('RAID Log'!$1:$1048576,$B554,MATCH("RAID Owner",'RAID Log'!$1:$1,0)),"")))</f>
        <v/>
      </c>
      <c r="N554" s="87" t="str">
        <f>IF($B554="","",IF(IFERROR(INDEX('RAID Log'!$1:$1048576,$B554,MATCH("Date Raised",'RAID Log'!$1:$1,0)),"")="","",IFERROR(INDEX('RAID Log'!$1:$1048576,$B554,MATCH("Date Raised",'RAID Log'!$1:$1,0)),"")))</f>
        <v/>
      </c>
      <c r="O554" s="87" t="str">
        <f>IF($B554="","",IF(IFERROR(INDEX('RAID Log'!$1:$1048576,$B554,MATCH("Closed Date",'RAID Log'!$1:$1,0)),"")="","",IFERROR(INDEX('RAID Log'!$1:$1048576,$B554,MATCH("Closed Date",'RAID Log'!$1:$1,0)),"")))</f>
        <v/>
      </c>
      <c r="P554" s="85" t="str">
        <f>IF($B554="","",IF(IFERROR(INDEX('RAID Log'!$1:$1048576,$B554,MATCH("Mitigation Strategy",'RAID Log'!$1:$1,0)),"")="","",IFERROR(INDEX('RAID Log'!$1:$1048576,$B554,MATCH("Mitigation Strategy",'RAID Log'!$1:$1,0)),"")))</f>
        <v/>
      </c>
      <c r="Q554" s="88" t="str">
        <f>IF($B554="","",IF(IFERROR(INDEX('RAID Log'!$1:$1048576,$B554,MATCH("RAID Response/Plan",'RAID Log'!$1:$1,0)),"")="","",IFERROR(INDEX('RAID Log'!$1:$1048576,$B554,MATCH("RAID Response/Plan",'RAID Log'!$1:$1,0)),"")))</f>
        <v/>
      </c>
    </row>
    <row r="555" spans="1:17" ht="14.25" customHeight="1">
      <c r="A555" s="82" t="str">
        <f>IF($B555="","",IF(IFERROR(INDEX('RAID Log'!$1:$1048576,$B555,MATCH("RAID ID",'RAID Log'!$1:$1,0)),"")="","",IFERROR(INDEX('RAID Log'!$1:$1048576,$B555,MATCH("RAID ID",'RAID Log'!$1:$1,0)),"")))</f>
        <v/>
      </c>
      <c r="B555" s="83" t="str">
        <f>IFERROR(MATCH(ROW()-1,'RAID Log'!$S:$S,0),"")</f>
        <v/>
      </c>
      <c r="C555" s="84" t="str">
        <f>IF($B555="","",IF(IFERROR(INDEX('RAID Log'!$1:$1048576,$B555,MATCH("Description",'RAID Log'!$1:$1,0)),"")="","",IFERROR(INDEX('RAID Log'!$1:$1048576,$B555,MATCH("Description",'RAID Log'!$1:$1,0)),"")))</f>
        <v/>
      </c>
      <c r="D555" s="84" t="str">
        <f>IF($B555="","",IF(IFERROR(INDEX('RAID Log'!$1:$1048576,$B555,MATCH("Impact/Effect of the RAID",'RAID Log'!$1:$1,0)),"")="","",IFERROR(INDEX('RAID Log'!$1:$1048576,$B555,MATCH("Impact/Effect of the RAID",'RAID Log'!$1:$1,0)),"")))</f>
        <v/>
      </c>
      <c r="E555" s="85" t="str">
        <f>IF($B555="","",IF(IFERROR(INDEX('RAID Log'!$1:$1048576,$B555,MATCH("Impact Area",'RAID Log'!$1:$1,0)),"")="","",IFERROR(INDEX('RAID Log'!$1:$1048576,$B555,MATCH("Impact Area",'RAID Log'!$1:$1,0)),"")))</f>
        <v/>
      </c>
      <c r="F555" s="85" t="str">
        <f>IF($B555="","",IF(IFERROR(INDEX('RAID Log'!$1:$1048576,$B555,MATCH("Impact Area",'RAID Log'!$1:$1,0)),"")="","",IFERROR(INDEX('RAID Log'!$1:$1048576,$B555,MATCH("Impact Area",'RAID Log'!$1:$1,0)),"")))</f>
        <v/>
      </c>
      <c r="G555" s="85" t="str">
        <f>IF($B555="","",IF(IFERROR(INDEX('RAID Log'!$1:$1048576,$B555,MATCH("Impact Rating",'RAID Log'!$1:$1,0)),"")="","",IFERROR(INDEX('RAID Log'!$1:$1048576,$B555,MATCH("Impact Rating",'RAID Log'!$1:$1,0)),"")))</f>
        <v/>
      </c>
      <c r="H555" s="85" t="str">
        <f>IF($B555="","",IF(IFERROR(INDEX('RAID Log'!$1:$1048576,$B555,MATCH("Initial Probability",'RAID Log'!$1:$1,0)),"")="","",IFERROR(INDEX('RAID Log'!$1:$1048576,$B555,MATCH("Initial Probability",'RAID Log'!$1:$1,0)),"")))</f>
        <v/>
      </c>
      <c r="I555" s="86" t="str">
        <f t="shared" si="24"/>
        <v/>
      </c>
      <c r="J555" s="85" t="str">
        <f t="shared" si="25"/>
        <v/>
      </c>
      <c r="K555" s="86" t="str">
        <f t="shared" si="26"/>
        <v/>
      </c>
      <c r="L555" s="85" t="str">
        <f>IF($B555="","",IF(IFERROR(INDEX('RAID Log'!$1:$1048576,$B555,MATCH("Status",'RAID Log'!$1:$1,0)),"")="","",IFERROR(INDEX('RAID Log'!$1:$1048576,$B555,MATCH("Status",'RAID Log'!$1:$1,0)),"")))</f>
        <v/>
      </c>
      <c r="M555" s="85" t="str">
        <f>IF($B555="","",IF(IFERROR(INDEX('RAID Log'!$1:$1048576,$B555,MATCH("RAID Owner",'RAID Log'!$1:$1,0)),"")="","",IFERROR(INDEX('RAID Log'!$1:$1048576,$B555,MATCH("RAID Owner",'RAID Log'!$1:$1,0)),"")))</f>
        <v/>
      </c>
      <c r="N555" s="87" t="str">
        <f>IF($B555="","",IF(IFERROR(INDEX('RAID Log'!$1:$1048576,$B555,MATCH("Date Raised",'RAID Log'!$1:$1,0)),"")="","",IFERROR(INDEX('RAID Log'!$1:$1048576,$B555,MATCH("Date Raised",'RAID Log'!$1:$1,0)),"")))</f>
        <v/>
      </c>
      <c r="O555" s="87" t="str">
        <f>IF($B555="","",IF(IFERROR(INDEX('RAID Log'!$1:$1048576,$B555,MATCH("Closed Date",'RAID Log'!$1:$1,0)),"")="","",IFERROR(INDEX('RAID Log'!$1:$1048576,$B555,MATCH("Closed Date",'RAID Log'!$1:$1,0)),"")))</f>
        <v/>
      </c>
      <c r="P555" s="85" t="str">
        <f>IF($B555="","",IF(IFERROR(INDEX('RAID Log'!$1:$1048576,$B555,MATCH("Mitigation Strategy",'RAID Log'!$1:$1,0)),"")="","",IFERROR(INDEX('RAID Log'!$1:$1048576,$B555,MATCH("Mitigation Strategy",'RAID Log'!$1:$1,0)),"")))</f>
        <v/>
      </c>
      <c r="Q555" s="88" t="str">
        <f>IF($B555="","",IF(IFERROR(INDEX('RAID Log'!$1:$1048576,$B555,MATCH("RAID Response/Plan",'RAID Log'!$1:$1,0)),"")="","",IFERROR(INDEX('RAID Log'!$1:$1048576,$B555,MATCH("RAID Response/Plan",'RAID Log'!$1:$1,0)),"")))</f>
        <v/>
      </c>
    </row>
    <row r="556" spans="1:17" ht="14.25" customHeight="1">
      <c r="A556" s="82" t="str">
        <f>IF($B556="","",IF(IFERROR(INDEX('RAID Log'!$1:$1048576,$B556,MATCH("RAID ID",'RAID Log'!$1:$1,0)),"")="","",IFERROR(INDEX('RAID Log'!$1:$1048576,$B556,MATCH("RAID ID",'RAID Log'!$1:$1,0)),"")))</f>
        <v/>
      </c>
      <c r="B556" s="83" t="str">
        <f>IFERROR(MATCH(ROW()-1,'RAID Log'!$S:$S,0),"")</f>
        <v/>
      </c>
      <c r="C556" s="84" t="str">
        <f>IF($B556="","",IF(IFERROR(INDEX('RAID Log'!$1:$1048576,$B556,MATCH("Description",'RAID Log'!$1:$1,0)),"")="","",IFERROR(INDEX('RAID Log'!$1:$1048576,$B556,MATCH("Description",'RAID Log'!$1:$1,0)),"")))</f>
        <v/>
      </c>
      <c r="D556" s="84" t="str">
        <f>IF($B556="","",IF(IFERROR(INDEX('RAID Log'!$1:$1048576,$B556,MATCH("Impact/Effect of the RAID",'RAID Log'!$1:$1,0)),"")="","",IFERROR(INDEX('RAID Log'!$1:$1048576,$B556,MATCH("Impact/Effect of the RAID",'RAID Log'!$1:$1,0)),"")))</f>
        <v/>
      </c>
      <c r="E556" s="85" t="str">
        <f>IF($B556="","",IF(IFERROR(INDEX('RAID Log'!$1:$1048576,$B556,MATCH("Impact Area",'RAID Log'!$1:$1,0)),"")="","",IFERROR(INDEX('RAID Log'!$1:$1048576,$B556,MATCH("Impact Area",'RAID Log'!$1:$1,0)),"")))</f>
        <v/>
      </c>
      <c r="F556" s="85" t="str">
        <f>IF($B556="","",IF(IFERROR(INDEX('RAID Log'!$1:$1048576,$B556,MATCH("Impact Area",'RAID Log'!$1:$1,0)),"")="","",IFERROR(INDEX('RAID Log'!$1:$1048576,$B556,MATCH("Impact Area",'RAID Log'!$1:$1,0)),"")))</f>
        <v/>
      </c>
      <c r="G556" s="85" t="str">
        <f>IF($B556="","",IF(IFERROR(INDEX('RAID Log'!$1:$1048576,$B556,MATCH("Impact Rating",'RAID Log'!$1:$1,0)),"")="","",IFERROR(INDEX('RAID Log'!$1:$1048576,$B556,MATCH("Impact Rating",'RAID Log'!$1:$1,0)),"")))</f>
        <v/>
      </c>
      <c r="H556" s="85" t="str">
        <f>IF($B556="","",IF(IFERROR(INDEX('RAID Log'!$1:$1048576,$B556,MATCH("Initial Probability",'RAID Log'!$1:$1,0)),"")="","",IFERROR(INDEX('RAID Log'!$1:$1048576,$B556,MATCH("Initial Probability",'RAID Log'!$1:$1,0)),"")))</f>
        <v/>
      </c>
      <c r="I556" s="86" t="str">
        <f t="shared" si="24"/>
        <v/>
      </c>
      <c r="J556" s="85" t="str">
        <f t="shared" si="25"/>
        <v/>
      </c>
      <c r="K556" s="86" t="str">
        <f t="shared" si="26"/>
        <v/>
      </c>
      <c r="L556" s="85" t="str">
        <f>IF($B556="","",IF(IFERROR(INDEX('RAID Log'!$1:$1048576,$B556,MATCH("Status",'RAID Log'!$1:$1,0)),"")="","",IFERROR(INDEX('RAID Log'!$1:$1048576,$B556,MATCH("Status",'RAID Log'!$1:$1,0)),"")))</f>
        <v/>
      </c>
      <c r="M556" s="85" t="str">
        <f>IF($B556="","",IF(IFERROR(INDEX('RAID Log'!$1:$1048576,$B556,MATCH("RAID Owner",'RAID Log'!$1:$1,0)),"")="","",IFERROR(INDEX('RAID Log'!$1:$1048576,$B556,MATCH("RAID Owner",'RAID Log'!$1:$1,0)),"")))</f>
        <v/>
      </c>
      <c r="N556" s="87" t="str">
        <f>IF($B556="","",IF(IFERROR(INDEX('RAID Log'!$1:$1048576,$B556,MATCH("Date Raised",'RAID Log'!$1:$1,0)),"")="","",IFERROR(INDEX('RAID Log'!$1:$1048576,$B556,MATCH("Date Raised",'RAID Log'!$1:$1,0)),"")))</f>
        <v/>
      </c>
      <c r="O556" s="87" t="str">
        <f>IF($B556="","",IF(IFERROR(INDEX('RAID Log'!$1:$1048576,$B556,MATCH("Closed Date",'RAID Log'!$1:$1,0)),"")="","",IFERROR(INDEX('RAID Log'!$1:$1048576,$B556,MATCH("Closed Date",'RAID Log'!$1:$1,0)),"")))</f>
        <v/>
      </c>
      <c r="P556" s="85" t="str">
        <f>IF($B556="","",IF(IFERROR(INDEX('RAID Log'!$1:$1048576,$B556,MATCH("Mitigation Strategy",'RAID Log'!$1:$1,0)),"")="","",IFERROR(INDEX('RAID Log'!$1:$1048576,$B556,MATCH("Mitigation Strategy",'RAID Log'!$1:$1,0)),"")))</f>
        <v/>
      </c>
      <c r="Q556" s="88" t="str">
        <f>IF($B556="","",IF(IFERROR(INDEX('RAID Log'!$1:$1048576,$B556,MATCH("RAID Response/Plan",'RAID Log'!$1:$1,0)),"")="","",IFERROR(INDEX('RAID Log'!$1:$1048576,$B556,MATCH("RAID Response/Plan",'RAID Log'!$1:$1,0)),"")))</f>
        <v/>
      </c>
    </row>
    <row r="557" spans="1:17" ht="14.25" customHeight="1">
      <c r="A557" s="82" t="str">
        <f>IF($B557="","",IF(IFERROR(INDEX('RAID Log'!$1:$1048576,$B557,MATCH("RAID ID",'RAID Log'!$1:$1,0)),"")="","",IFERROR(INDEX('RAID Log'!$1:$1048576,$B557,MATCH("RAID ID",'RAID Log'!$1:$1,0)),"")))</f>
        <v/>
      </c>
      <c r="B557" s="83" t="str">
        <f>IFERROR(MATCH(ROW()-1,'RAID Log'!$S:$S,0),"")</f>
        <v/>
      </c>
      <c r="C557" s="84" t="str">
        <f>IF($B557="","",IF(IFERROR(INDEX('RAID Log'!$1:$1048576,$B557,MATCH("Description",'RAID Log'!$1:$1,0)),"")="","",IFERROR(INDEX('RAID Log'!$1:$1048576,$B557,MATCH("Description",'RAID Log'!$1:$1,0)),"")))</f>
        <v/>
      </c>
      <c r="D557" s="84" t="str">
        <f>IF($B557="","",IF(IFERROR(INDEX('RAID Log'!$1:$1048576,$B557,MATCH("Impact/Effect of the RAID",'RAID Log'!$1:$1,0)),"")="","",IFERROR(INDEX('RAID Log'!$1:$1048576,$B557,MATCH("Impact/Effect of the RAID",'RAID Log'!$1:$1,0)),"")))</f>
        <v/>
      </c>
      <c r="E557" s="85" t="str">
        <f>IF($B557="","",IF(IFERROR(INDEX('RAID Log'!$1:$1048576,$B557,MATCH("Impact Area",'RAID Log'!$1:$1,0)),"")="","",IFERROR(INDEX('RAID Log'!$1:$1048576,$B557,MATCH("Impact Area",'RAID Log'!$1:$1,0)),"")))</f>
        <v/>
      </c>
      <c r="F557" s="85" t="str">
        <f>IF($B557="","",IF(IFERROR(INDEX('RAID Log'!$1:$1048576,$B557,MATCH("Impact Area",'RAID Log'!$1:$1,0)),"")="","",IFERROR(INDEX('RAID Log'!$1:$1048576,$B557,MATCH("Impact Area",'RAID Log'!$1:$1,0)),"")))</f>
        <v/>
      </c>
      <c r="G557" s="85" t="str">
        <f>IF($B557="","",IF(IFERROR(INDEX('RAID Log'!$1:$1048576,$B557,MATCH("Impact Rating",'RAID Log'!$1:$1,0)),"")="","",IFERROR(INDEX('RAID Log'!$1:$1048576,$B557,MATCH("Impact Rating",'RAID Log'!$1:$1,0)),"")))</f>
        <v/>
      </c>
      <c r="H557" s="85" t="str">
        <f>IF($B557="","",IF(IFERROR(INDEX('RAID Log'!$1:$1048576,$B557,MATCH("Initial Probability",'RAID Log'!$1:$1,0)),"")="","",IFERROR(INDEX('RAID Log'!$1:$1048576,$B557,MATCH("Initial Probability",'RAID Log'!$1:$1,0)),"")))</f>
        <v/>
      </c>
      <c r="I557" s="86" t="str">
        <f t="shared" si="24"/>
        <v/>
      </c>
      <c r="J557" s="85" t="str">
        <f t="shared" si="25"/>
        <v/>
      </c>
      <c r="K557" s="86" t="str">
        <f t="shared" si="26"/>
        <v/>
      </c>
      <c r="L557" s="85" t="str">
        <f>IF($B557="","",IF(IFERROR(INDEX('RAID Log'!$1:$1048576,$B557,MATCH("Status",'RAID Log'!$1:$1,0)),"")="","",IFERROR(INDEX('RAID Log'!$1:$1048576,$B557,MATCH("Status",'RAID Log'!$1:$1,0)),"")))</f>
        <v/>
      </c>
      <c r="M557" s="85" t="str">
        <f>IF($B557="","",IF(IFERROR(INDEX('RAID Log'!$1:$1048576,$B557,MATCH("RAID Owner",'RAID Log'!$1:$1,0)),"")="","",IFERROR(INDEX('RAID Log'!$1:$1048576,$B557,MATCH("RAID Owner",'RAID Log'!$1:$1,0)),"")))</f>
        <v/>
      </c>
      <c r="N557" s="87" t="str">
        <f>IF($B557="","",IF(IFERROR(INDEX('RAID Log'!$1:$1048576,$B557,MATCH("Date Raised",'RAID Log'!$1:$1,0)),"")="","",IFERROR(INDEX('RAID Log'!$1:$1048576,$B557,MATCH("Date Raised",'RAID Log'!$1:$1,0)),"")))</f>
        <v/>
      </c>
      <c r="O557" s="87" t="str">
        <f>IF($B557="","",IF(IFERROR(INDEX('RAID Log'!$1:$1048576,$B557,MATCH("Closed Date",'RAID Log'!$1:$1,0)),"")="","",IFERROR(INDEX('RAID Log'!$1:$1048576,$B557,MATCH("Closed Date",'RAID Log'!$1:$1,0)),"")))</f>
        <v/>
      </c>
      <c r="P557" s="85" t="str">
        <f>IF($B557="","",IF(IFERROR(INDEX('RAID Log'!$1:$1048576,$B557,MATCH("Mitigation Strategy",'RAID Log'!$1:$1,0)),"")="","",IFERROR(INDEX('RAID Log'!$1:$1048576,$B557,MATCH("Mitigation Strategy",'RAID Log'!$1:$1,0)),"")))</f>
        <v/>
      </c>
      <c r="Q557" s="88" t="str">
        <f>IF($B557="","",IF(IFERROR(INDEX('RAID Log'!$1:$1048576,$B557,MATCH("RAID Response/Plan",'RAID Log'!$1:$1,0)),"")="","",IFERROR(INDEX('RAID Log'!$1:$1048576,$B557,MATCH("RAID Response/Plan",'RAID Log'!$1:$1,0)),"")))</f>
        <v/>
      </c>
    </row>
    <row r="558" spans="1:17" ht="14.25" customHeight="1">
      <c r="A558" s="82" t="str">
        <f>IF($B558="","",IF(IFERROR(INDEX('RAID Log'!$1:$1048576,$B558,MATCH("RAID ID",'RAID Log'!$1:$1,0)),"")="","",IFERROR(INDEX('RAID Log'!$1:$1048576,$B558,MATCH("RAID ID",'RAID Log'!$1:$1,0)),"")))</f>
        <v/>
      </c>
      <c r="B558" s="83" t="str">
        <f>IFERROR(MATCH(ROW()-1,'RAID Log'!$S:$S,0),"")</f>
        <v/>
      </c>
      <c r="C558" s="84" t="str">
        <f>IF($B558="","",IF(IFERROR(INDEX('RAID Log'!$1:$1048576,$B558,MATCH("Description",'RAID Log'!$1:$1,0)),"")="","",IFERROR(INDEX('RAID Log'!$1:$1048576,$B558,MATCH("Description",'RAID Log'!$1:$1,0)),"")))</f>
        <v/>
      </c>
      <c r="D558" s="84" t="str">
        <f>IF($B558="","",IF(IFERROR(INDEX('RAID Log'!$1:$1048576,$B558,MATCH("Impact/Effect of the RAID",'RAID Log'!$1:$1,0)),"")="","",IFERROR(INDEX('RAID Log'!$1:$1048576,$B558,MATCH("Impact/Effect of the RAID",'RAID Log'!$1:$1,0)),"")))</f>
        <v/>
      </c>
      <c r="E558" s="85" t="str">
        <f>IF($B558="","",IF(IFERROR(INDEX('RAID Log'!$1:$1048576,$B558,MATCH("Impact Area",'RAID Log'!$1:$1,0)),"")="","",IFERROR(INDEX('RAID Log'!$1:$1048576,$B558,MATCH("Impact Area",'RAID Log'!$1:$1,0)),"")))</f>
        <v/>
      </c>
      <c r="F558" s="85" t="str">
        <f>IF($B558="","",IF(IFERROR(INDEX('RAID Log'!$1:$1048576,$B558,MATCH("Impact Area",'RAID Log'!$1:$1,0)),"")="","",IFERROR(INDEX('RAID Log'!$1:$1048576,$B558,MATCH("Impact Area",'RAID Log'!$1:$1,0)),"")))</f>
        <v/>
      </c>
      <c r="G558" s="85" t="str">
        <f>IF($B558="","",IF(IFERROR(INDEX('RAID Log'!$1:$1048576,$B558,MATCH("Impact Rating",'RAID Log'!$1:$1,0)),"")="","",IFERROR(INDEX('RAID Log'!$1:$1048576,$B558,MATCH("Impact Rating",'RAID Log'!$1:$1,0)),"")))</f>
        <v/>
      </c>
      <c r="H558" s="85" t="str">
        <f>IF($B558="","",IF(IFERROR(INDEX('RAID Log'!$1:$1048576,$B558,MATCH("Initial Probability",'RAID Log'!$1:$1,0)),"")="","",IFERROR(INDEX('RAID Log'!$1:$1048576,$B558,MATCH("Initial Probability",'RAID Log'!$1:$1,0)),"")))</f>
        <v/>
      </c>
      <c r="I558" s="86" t="str">
        <f t="shared" si="24"/>
        <v/>
      </c>
      <c r="J558" s="85" t="str">
        <f t="shared" si="25"/>
        <v/>
      </c>
      <c r="K558" s="86" t="str">
        <f t="shared" si="26"/>
        <v/>
      </c>
      <c r="L558" s="85" t="str">
        <f>IF($B558="","",IF(IFERROR(INDEX('RAID Log'!$1:$1048576,$B558,MATCH("Status",'RAID Log'!$1:$1,0)),"")="","",IFERROR(INDEX('RAID Log'!$1:$1048576,$B558,MATCH("Status",'RAID Log'!$1:$1,0)),"")))</f>
        <v/>
      </c>
      <c r="M558" s="85" t="str">
        <f>IF($B558="","",IF(IFERROR(INDEX('RAID Log'!$1:$1048576,$B558,MATCH("RAID Owner",'RAID Log'!$1:$1,0)),"")="","",IFERROR(INDEX('RAID Log'!$1:$1048576,$B558,MATCH("RAID Owner",'RAID Log'!$1:$1,0)),"")))</f>
        <v/>
      </c>
      <c r="N558" s="87" t="str">
        <f>IF($B558="","",IF(IFERROR(INDEX('RAID Log'!$1:$1048576,$B558,MATCH("Date Raised",'RAID Log'!$1:$1,0)),"")="","",IFERROR(INDEX('RAID Log'!$1:$1048576,$B558,MATCH("Date Raised",'RAID Log'!$1:$1,0)),"")))</f>
        <v/>
      </c>
      <c r="O558" s="87" t="str">
        <f>IF($B558="","",IF(IFERROR(INDEX('RAID Log'!$1:$1048576,$B558,MATCH("Closed Date",'RAID Log'!$1:$1,0)),"")="","",IFERROR(INDEX('RAID Log'!$1:$1048576,$B558,MATCH("Closed Date",'RAID Log'!$1:$1,0)),"")))</f>
        <v/>
      </c>
      <c r="P558" s="85" t="str">
        <f>IF($B558="","",IF(IFERROR(INDEX('RAID Log'!$1:$1048576,$B558,MATCH("Mitigation Strategy",'RAID Log'!$1:$1,0)),"")="","",IFERROR(INDEX('RAID Log'!$1:$1048576,$B558,MATCH("Mitigation Strategy",'RAID Log'!$1:$1,0)),"")))</f>
        <v/>
      </c>
      <c r="Q558" s="88" t="str">
        <f>IF($B558="","",IF(IFERROR(INDEX('RAID Log'!$1:$1048576,$B558,MATCH("RAID Response/Plan",'RAID Log'!$1:$1,0)),"")="","",IFERROR(INDEX('RAID Log'!$1:$1048576,$B558,MATCH("RAID Response/Plan",'RAID Log'!$1:$1,0)),"")))</f>
        <v/>
      </c>
    </row>
    <row r="559" spans="1:17" ht="14.25" customHeight="1">
      <c r="A559" s="82" t="str">
        <f>IF($B559="","",IF(IFERROR(INDEX('RAID Log'!$1:$1048576,$B559,MATCH("RAID ID",'RAID Log'!$1:$1,0)),"")="","",IFERROR(INDEX('RAID Log'!$1:$1048576,$B559,MATCH("RAID ID",'RAID Log'!$1:$1,0)),"")))</f>
        <v/>
      </c>
      <c r="B559" s="83" t="str">
        <f>IFERROR(MATCH(ROW()-1,'RAID Log'!$S:$S,0),"")</f>
        <v/>
      </c>
      <c r="C559" s="84" t="str">
        <f>IF($B559="","",IF(IFERROR(INDEX('RAID Log'!$1:$1048576,$B559,MATCH("Description",'RAID Log'!$1:$1,0)),"")="","",IFERROR(INDEX('RAID Log'!$1:$1048576,$B559,MATCH("Description",'RAID Log'!$1:$1,0)),"")))</f>
        <v/>
      </c>
      <c r="D559" s="84" t="str">
        <f>IF($B559="","",IF(IFERROR(INDEX('RAID Log'!$1:$1048576,$B559,MATCH("Impact/Effect of the RAID",'RAID Log'!$1:$1,0)),"")="","",IFERROR(INDEX('RAID Log'!$1:$1048576,$B559,MATCH("Impact/Effect of the RAID",'RAID Log'!$1:$1,0)),"")))</f>
        <v/>
      </c>
      <c r="E559" s="85" t="str">
        <f>IF($B559="","",IF(IFERROR(INDEX('RAID Log'!$1:$1048576,$B559,MATCH("Impact Area",'RAID Log'!$1:$1,0)),"")="","",IFERROR(INDEX('RAID Log'!$1:$1048576,$B559,MATCH("Impact Area",'RAID Log'!$1:$1,0)),"")))</f>
        <v/>
      </c>
      <c r="F559" s="85" t="str">
        <f>IF($B559="","",IF(IFERROR(INDEX('RAID Log'!$1:$1048576,$B559,MATCH("Impact Area",'RAID Log'!$1:$1,0)),"")="","",IFERROR(INDEX('RAID Log'!$1:$1048576,$B559,MATCH("Impact Area",'RAID Log'!$1:$1,0)),"")))</f>
        <v/>
      </c>
      <c r="G559" s="85" t="str">
        <f>IF($B559="","",IF(IFERROR(INDEX('RAID Log'!$1:$1048576,$B559,MATCH("Impact Rating",'RAID Log'!$1:$1,0)),"")="","",IFERROR(INDEX('RAID Log'!$1:$1048576,$B559,MATCH("Impact Rating",'RAID Log'!$1:$1,0)),"")))</f>
        <v/>
      </c>
      <c r="H559" s="85" t="str">
        <f>IF($B559="","",IF(IFERROR(INDEX('RAID Log'!$1:$1048576,$B559,MATCH("Initial Probability",'RAID Log'!$1:$1,0)),"")="","",IFERROR(INDEX('RAID Log'!$1:$1048576,$B559,MATCH("Initial Probability",'RAID Log'!$1:$1,0)),"")))</f>
        <v/>
      </c>
      <c r="I559" s="86" t="str">
        <f t="shared" si="24"/>
        <v/>
      </c>
      <c r="J559" s="85" t="str">
        <f t="shared" si="25"/>
        <v/>
      </c>
      <c r="K559" s="86" t="str">
        <f t="shared" si="26"/>
        <v/>
      </c>
      <c r="L559" s="85" t="str">
        <f>IF($B559="","",IF(IFERROR(INDEX('RAID Log'!$1:$1048576,$B559,MATCH("Status",'RAID Log'!$1:$1,0)),"")="","",IFERROR(INDEX('RAID Log'!$1:$1048576,$B559,MATCH("Status",'RAID Log'!$1:$1,0)),"")))</f>
        <v/>
      </c>
      <c r="M559" s="85" t="str">
        <f>IF($B559="","",IF(IFERROR(INDEX('RAID Log'!$1:$1048576,$B559,MATCH("RAID Owner",'RAID Log'!$1:$1,0)),"")="","",IFERROR(INDEX('RAID Log'!$1:$1048576,$B559,MATCH("RAID Owner",'RAID Log'!$1:$1,0)),"")))</f>
        <v/>
      </c>
      <c r="N559" s="87" t="str">
        <f>IF($B559="","",IF(IFERROR(INDEX('RAID Log'!$1:$1048576,$B559,MATCH("Date Raised",'RAID Log'!$1:$1,0)),"")="","",IFERROR(INDEX('RAID Log'!$1:$1048576,$B559,MATCH("Date Raised",'RAID Log'!$1:$1,0)),"")))</f>
        <v/>
      </c>
      <c r="O559" s="87" t="str">
        <f>IF($B559="","",IF(IFERROR(INDEX('RAID Log'!$1:$1048576,$B559,MATCH("Closed Date",'RAID Log'!$1:$1,0)),"")="","",IFERROR(INDEX('RAID Log'!$1:$1048576,$B559,MATCH("Closed Date",'RAID Log'!$1:$1,0)),"")))</f>
        <v/>
      </c>
      <c r="P559" s="85" t="str">
        <f>IF($B559="","",IF(IFERROR(INDEX('RAID Log'!$1:$1048576,$B559,MATCH("Mitigation Strategy",'RAID Log'!$1:$1,0)),"")="","",IFERROR(INDEX('RAID Log'!$1:$1048576,$B559,MATCH("Mitigation Strategy",'RAID Log'!$1:$1,0)),"")))</f>
        <v/>
      </c>
      <c r="Q559" s="88" t="str">
        <f>IF($B559="","",IF(IFERROR(INDEX('RAID Log'!$1:$1048576,$B559,MATCH("RAID Response/Plan",'RAID Log'!$1:$1,0)),"")="","",IFERROR(INDEX('RAID Log'!$1:$1048576,$B559,MATCH("RAID Response/Plan",'RAID Log'!$1:$1,0)),"")))</f>
        <v/>
      </c>
    </row>
    <row r="560" spans="1:17" ht="14.25" customHeight="1">
      <c r="A560" s="82" t="str">
        <f>IF($B560="","",IF(IFERROR(INDEX('RAID Log'!$1:$1048576,$B560,MATCH("RAID ID",'RAID Log'!$1:$1,0)),"")="","",IFERROR(INDEX('RAID Log'!$1:$1048576,$B560,MATCH("RAID ID",'RAID Log'!$1:$1,0)),"")))</f>
        <v/>
      </c>
      <c r="B560" s="83" t="str">
        <f>IFERROR(MATCH(ROW()-1,'RAID Log'!$S:$S,0),"")</f>
        <v/>
      </c>
      <c r="C560" s="84" t="str">
        <f>IF($B560="","",IF(IFERROR(INDEX('RAID Log'!$1:$1048576,$B560,MATCH("Description",'RAID Log'!$1:$1,0)),"")="","",IFERROR(INDEX('RAID Log'!$1:$1048576,$B560,MATCH("Description",'RAID Log'!$1:$1,0)),"")))</f>
        <v/>
      </c>
      <c r="D560" s="84" t="str">
        <f>IF($B560="","",IF(IFERROR(INDEX('RAID Log'!$1:$1048576,$B560,MATCH("Impact/Effect of the RAID",'RAID Log'!$1:$1,0)),"")="","",IFERROR(INDEX('RAID Log'!$1:$1048576,$B560,MATCH("Impact/Effect of the RAID",'RAID Log'!$1:$1,0)),"")))</f>
        <v/>
      </c>
      <c r="E560" s="85" t="str">
        <f>IF($B560="","",IF(IFERROR(INDEX('RAID Log'!$1:$1048576,$B560,MATCH("Impact Area",'RAID Log'!$1:$1,0)),"")="","",IFERROR(INDEX('RAID Log'!$1:$1048576,$B560,MATCH("Impact Area",'RAID Log'!$1:$1,0)),"")))</f>
        <v/>
      </c>
      <c r="F560" s="85" t="str">
        <f>IF($B560="","",IF(IFERROR(INDEX('RAID Log'!$1:$1048576,$B560,MATCH("Impact Area",'RAID Log'!$1:$1,0)),"")="","",IFERROR(INDEX('RAID Log'!$1:$1048576,$B560,MATCH("Impact Area",'RAID Log'!$1:$1,0)),"")))</f>
        <v/>
      </c>
      <c r="G560" s="85" t="str">
        <f>IF($B560="","",IF(IFERROR(INDEX('RAID Log'!$1:$1048576,$B560,MATCH("Impact Rating",'RAID Log'!$1:$1,0)),"")="","",IFERROR(INDEX('RAID Log'!$1:$1048576,$B560,MATCH("Impact Rating",'RAID Log'!$1:$1,0)),"")))</f>
        <v/>
      </c>
      <c r="H560" s="85" t="str">
        <f>IF($B560="","",IF(IFERROR(INDEX('RAID Log'!$1:$1048576,$B560,MATCH("Initial Probability",'RAID Log'!$1:$1,0)),"")="","",IFERROR(INDEX('RAID Log'!$1:$1048576,$B560,MATCH("Initial Probability",'RAID Log'!$1:$1,0)),"")))</f>
        <v/>
      </c>
      <c r="I560" s="86" t="str">
        <f t="shared" si="24"/>
        <v/>
      </c>
      <c r="J560" s="85" t="str">
        <f t="shared" si="25"/>
        <v/>
      </c>
      <c r="K560" s="86" t="str">
        <f t="shared" si="26"/>
        <v/>
      </c>
      <c r="L560" s="85" t="str">
        <f>IF($B560="","",IF(IFERROR(INDEX('RAID Log'!$1:$1048576,$B560,MATCH("Status",'RAID Log'!$1:$1,0)),"")="","",IFERROR(INDEX('RAID Log'!$1:$1048576,$B560,MATCH("Status",'RAID Log'!$1:$1,0)),"")))</f>
        <v/>
      </c>
      <c r="M560" s="85" t="str">
        <f>IF($B560="","",IF(IFERROR(INDEX('RAID Log'!$1:$1048576,$B560,MATCH("RAID Owner",'RAID Log'!$1:$1,0)),"")="","",IFERROR(INDEX('RAID Log'!$1:$1048576,$B560,MATCH("RAID Owner",'RAID Log'!$1:$1,0)),"")))</f>
        <v/>
      </c>
      <c r="N560" s="87" t="str">
        <f>IF($B560="","",IF(IFERROR(INDEX('RAID Log'!$1:$1048576,$B560,MATCH("Date Raised",'RAID Log'!$1:$1,0)),"")="","",IFERROR(INDEX('RAID Log'!$1:$1048576,$B560,MATCH("Date Raised",'RAID Log'!$1:$1,0)),"")))</f>
        <v/>
      </c>
      <c r="O560" s="87" t="str">
        <f>IF($B560="","",IF(IFERROR(INDEX('RAID Log'!$1:$1048576,$B560,MATCH("Closed Date",'RAID Log'!$1:$1,0)),"")="","",IFERROR(INDEX('RAID Log'!$1:$1048576,$B560,MATCH("Closed Date",'RAID Log'!$1:$1,0)),"")))</f>
        <v/>
      </c>
      <c r="P560" s="85" t="str">
        <f>IF($B560="","",IF(IFERROR(INDEX('RAID Log'!$1:$1048576,$B560,MATCH("Mitigation Strategy",'RAID Log'!$1:$1,0)),"")="","",IFERROR(INDEX('RAID Log'!$1:$1048576,$B560,MATCH("Mitigation Strategy",'RAID Log'!$1:$1,0)),"")))</f>
        <v/>
      </c>
      <c r="Q560" s="88" t="str">
        <f>IF($B560="","",IF(IFERROR(INDEX('RAID Log'!$1:$1048576,$B560,MATCH("RAID Response/Plan",'RAID Log'!$1:$1,0)),"")="","",IFERROR(INDEX('RAID Log'!$1:$1048576,$B560,MATCH("RAID Response/Plan",'RAID Log'!$1:$1,0)),"")))</f>
        <v/>
      </c>
    </row>
    <row r="561" spans="1:17" ht="14.25" customHeight="1">
      <c r="A561" s="82" t="str">
        <f>IF($B561="","",IF(IFERROR(INDEX('RAID Log'!$1:$1048576,$B561,MATCH("RAID ID",'RAID Log'!$1:$1,0)),"")="","",IFERROR(INDEX('RAID Log'!$1:$1048576,$B561,MATCH("RAID ID",'RAID Log'!$1:$1,0)),"")))</f>
        <v/>
      </c>
      <c r="B561" s="83" t="str">
        <f>IFERROR(MATCH(ROW()-1,'RAID Log'!$S:$S,0),"")</f>
        <v/>
      </c>
      <c r="C561" s="84" t="str">
        <f>IF($B561="","",IF(IFERROR(INDEX('RAID Log'!$1:$1048576,$B561,MATCH("Description",'RAID Log'!$1:$1,0)),"")="","",IFERROR(INDEX('RAID Log'!$1:$1048576,$B561,MATCH("Description",'RAID Log'!$1:$1,0)),"")))</f>
        <v/>
      </c>
      <c r="D561" s="84" t="str">
        <f>IF($B561="","",IF(IFERROR(INDEX('RAID Log'!$1:$1048576,$B561,MATCH("Impact/Effect of the RAID",'RAID Log'!$1:$1,0)),"")="","",IFERROR(INDEX('RAID Log'!$1:$1048576,$B561,MATCH("Impact/Effect of the RAID",'RAID Log'!$1:$1,0)),"")))</f>
        <v/>
      </c>
      <c r="E561" s="85" t="str">
        <f>IF($B561="","",IF(IFERROR(INDEX('RAID Log'!$1:$1048576,$B561,MATCH("Impact Area",'RAID Log'!$1:$1,0)),"")="","",IFERROR(INDEX('RAID Log'!$1:$1048576,$B561,MATCH("Impact Area",'RAID Log'!$1:$1,0)),"")))</f>
        <v/>
      </c>
      <c r="F561" s="85" t="str">
        <f>IF($B561="","",IF(IFERROR(INDEX('RAID Log'!$1:$1048576,$B561,MATCH("Impact Area",'RAID Log'!$1:$1,0)),"")="","",IFERROR(INDEX('RAID Log'!$1:$1048576,$B561,MATCH("Impact Area",'RAID Log'!$1:$1,0)),"")))</f>
        <v/>
      </c>
      <c r="G561" s="85" t="str">
        <f>IF($B561="","",IF(IFERROR(INDEX('RAID Log'!$1:$1048576,$B561,MATCH("Impact Rating",'RAID Log'!$1:$1,0)),"")="","",IFERROR(INDEX('RAID Log'!$1:$1048576,$B561,MATCH("Impact Rating",'RAID Log'!$1:$1,0)),"")))</f>
        <v/>
      </c>
      <c r="H561" s="85" t="str">
        <f>IF($B561="","",IF(IFERROR(INDEX('RAID Log'!$1:$1048576,$B561,MATCH("Initial Probability",'RAID Log'!$1:$1,0)),"")="","",IFERROR(INDEX('RAID Log'!$1:$1048576,$B561,MATCH("Initial Probability",'RAID Log'!$1:$1,0)),"")))</f>
        <v/>
      </c>
      <c r="I561" s="86" t="str">
        <f t="shared" si="24"/>
        <v/>
      </c>
      <c r="J561" s="85" t="str">
        <f t="shared" si="25"/>
        <v/>
      </c>
      <c r="K561" s="86" t="str">
        <f t="shared" si="26"/>
        <v/>
      </c>
      <c r="L561" s="85" t="str">
        <f>IF($B561="","",IF(IFERROR(INDEX('RAID Log'!$1:$1048576,$B561,MATCH("Status",'RAID Log'!$1:$1,0)),"")="","",IFERROR(INDEX('RAID Log'!$1:$1048576,$B561,MATCH("Status",'RAID Log'!$1:$1,0)),"")))</f>
        <v/>
      </c>
      <c r="M561" s="85" t="str">
        <f>IF($B561="","",IF(IFERROR(INDEX('RAID Log'!$1:$1048576,$B561,MATCH("RAID Owner",'RAID Log'!$1:$1,0)),"")="","",IFERROR(INDEX('RAID Log'!$1:$1048576,$B561,MATCH("RAID Owner",'RAID Log'!$1:$1,0)),"")))</f>
        <v/>
      </c>
      <c r="N561" s="87" t="str">
        <f>IF($B561="","",IF(IFERROR(INDEX('RAID Log'!$1:$1048576,$B561,MATCH("Date Raised",'RAID Log'!$1:$1,0)),"")="","",IFERROR(INDEX('RAID Log'!$1:$1048576,$B561,MATCH("Date Raised",'RAID Log'!$1:$1,0)),"")))</f>
        <v/>
      </c>
      <c r="O561" s="87" t="str">
        <f>IF($B561="","",IF(IFERROR(INDEX('RAID Log'!$1:$1048576,$B561,MATCH("Closed Date",'RAID Log'!$1:$1,0)),"")="","",IFERROR(INDEX('RAID Log'!$1:$1048576,$B561,MATCH("Closed Date",'RAID Log'!$1:$1,0)),"")))</f>
        <v/>
      </c>
      <c r="P561" s="85" t="str">
        <f>IF($B561="","",IF(IFERROR(INDEX('RAID Log'!$1:$1048576,$B561,MATCH("Mitigation Strategy",'RAID Log'!$1:$1,0)),"")="","",IFERROR(INDEX('RAID Log'!$1:$1048576,$B561,MATCH("Mitigation Strategy",'RAID Log'!$1:$1,0)),"")))</f>
        <v/>
      </c>
      <c r="Q561" s="88" t="str">
        <f>IF($B561="","",IF(IFERROR(INDEX('RAID Log'!$1:$1048576,$B561,MATCH("RAID Response/Plan",'RAID Log'!$1:$1,0)),"")="","",IFERROR(INDEX('RAID Log'!$1:$1048576,$B561,MATCH("RAID Response/Plan",'RAID Log'!$1:$1,0)),"")))</f>
        <v/>
      </c>
    </row>
    <row r="562" spans="1:17" ht="14.25" customHeight="1">
      <c r="A562" s="82" t="str">
        <f>IF($B562="","",IF(IFERROR(INDEX('RAID Log'!$1:$1048576,$B562,MATCH("RAID ID",'RAID Log'!$1:$1,0)),"")="","",IFERROR(INDEX('RAID Log'!$1:$1048576,$B562,MATCH("RAID ID",'RAID Log'!$1:$1,0)),"")))</f>
        <v/>
      </c>
      <c r="B562" s="83" t="str">
        <f>IFERROR(MATCH(ROW()-1,'RAID Log'!$S:$S,0),"")</f>
        <v/>
      </c>
      <c r="C562" s="84" t="str">
        <f>IF($B562="","",IF(IFERROR(INDEX('RAID Log'!$1:$1048576,$B562,MATCH("Description",'RAID Log'!$1:$1,0)),"")="","",IFERROR(INDEX('RAID Log'!$1:$1048576,$B562,MATCH("Description",'RAID Log'!$1:$1,0)),"")))</f>
        <v/>
      </c>
      <c r="D562" s="84" t="str">
        <f>IF($B562="","",IF(IFERROR(INDEX('RAID Log'!$1:$1048576,$B562,MATCH("Impact/Effect of the RAID",'RAID Log'!$1:$1,0)),"")="","",IFERROR(INDEX('RAID Log'!$1:$1048576,$B562,MATCH("Impact/Effect of the RAID",'RAID Log'!$1:$1,0)),"")))</f>
        <v/>
      </c>
      <c r="E562" s="85" t="str">
        <f>IF($B562="","",IF(IFERROR(INDEX('RAID Log'!$1:$1048576,$B562,MATCH("Impact Area",'RAID Log'!$1:$1,0)),"")="","",IFERROR(INDEX('RAID Log'!$1:$1048576,$B562,MATCH("Impact Area",'RAID Log'!$1:$1,0)),"")))</f>
        <v/>
      </c>
      <c r="F562" s="85" t="str">
        <f>IF($B562="","",IF(IFERROR(INDEX('RAID Log'!$1:$1048576,$B562,MATCH("Impact Area",'RAID Log'!$1:$1,0)),"")="","",IFERROR(INDEX('RAID Log'!$1:$1048576,$B562,MATCH("Impact Area",'RAID Log'!$1:$1,0)),"")))</f>
        <v/>
      </c>
      <c r="G562" s="85" t="str">
        <f>IF($B562="","",IF(IFERROR(INDEX('RAID Log'!$1:$1048576,$B562,MATCH("Impact Rating",'RAID Log'!$1:$1,0)),"")="","",IFERROR(INDEX('RAID Log'!$1:$1048576,$B562,MATCH("Impact Rating",'RAID Log'!$1:$1,0)),"")))</f>
        <v/>
      </c>
      <c r="H562" s="85" t="str">
        <f>IF($B562="","",IF(IFERROR(INDEX('RAID Log'!$1:$1048576,$B562,MATCH("Initial Probability",'RAID Log'!$1:$1,0)),"")="","",IFERROR(INDEX('RAID Log'!$1:$1048576,$B562,MATCH("Initial Probability",'RAID Log'!$1:$1,0)),"")))</f>
        <v/>
      </c>
      <c r="I562" s="86" t="str">
        <f t="shared" si="24"/>
        <v/>
      </c>
      <c r="J562" s="85" t="str">
        <f t="shared" si="25"/>
        <v/>
      </c>
      <c r="K562" s="86" t="str">
        <f t="shared" si="26"/>
        <v/>
      </c>
      <c r="L562" s="85" t="str">
        <f>IF($B562="","",IF(IFERROR(INDEX('RAID Log'!$1:$1048576,$B562,MATCH("Status",'RAID Log'!$1:$1,0)),"")="","",IFERROR(INDEX('RAID Log'!$1:$1048576,$B562,MATCH("Status",'RAID Log'!$1:$1,0)),"")))</f>
        <v/>
      </c>
      <c r="M562" s="85" t="str">
        <f>IF($B562="","",IF(IFERROR(INDEX('RAID Log'!$1:$1048576,$B562,MATCH("RAID Owner",'RAID Log'!$1:$1,0)),"")="","",IFERROR(INDEX('RAID Log'!$1:$1048576,$B562,MATCH("RAID Owner",'RAID Log'!$1:$1,0)),"")))</f>
        <v/>
      </c>
      <c r="N562" s="87" t="str">
        <f>IF($B562="","",IF(IFERROR(INDEX('RAID Log'!$1:$1048576,$B562,MATCH("Date Raised",'RAID Log'!$1:$1,0)),"")="","",IFERROR(INDEX('RAID Log'!$1:$1048576,$B562,MATCH("Date Raised",'RAID Log'!$1:$1,0)),"")))</f>
        <v/>
      </c>
      <c r="O562" s="87" t="str">
        <f>IF($B562="","",IF(IFERROR(INDEX('RAID Log'!$1:$1048576,$B562,MATCH("Closed Date",'RAID Log'!$1:$1,0)),"")="","",IFERROR(INDEX('RAID Log'!$1:$1048576,$B562,MATCH("Closed Date",'RAID Log'!$1:$1,0)),"")))</f>
        <v/>
      </c>
      <c r="P562" s="85" t="str">
        <f>IF($B562="","",IF(IFERROR(INDEX('RAID Log'!$1:$1048576,$B562,MATCH("Mitigation Strategy",'RAID Log'!$1:$1,0)),"")="","",IFERROR(INDEX('RAID Log'!$1:$1048576,$B562,MATCH("Mitigation Strategy",'RAID Log'!$1:$1,0)),"")))</f>
        <v/>
      </c>
      <c r="Q562" s="88" t="str">
        <f>IF($B562="","",IF(IFERROR(INDEX('RAID Log'!$1:$1048576,$B562,MATCH("RAID Response/Plan",'RAID Log'!$1:$1,0)),"")="","",IFERROR(INDEX('RAID Log'!$1:$1048576,$B562,MATCH("RAID Response/Plan",'RAID Log'!$1:$1,0)),"")))</f>
        <v/>
      </c>
    </row>
    <row r="563" spans="1:17" ht="14.25" customHeight="1">
      <c r="A563" s="82" t="str">
        <f>IF($B563="","",IF(IFERROR(INDEX('RAID Log'!$1:$1048576,$B563,MATCH("RAID ID",'RAID Log'!$1:$1,0)),"")="","",IFERROR(INDEX('RAID Log'!$1:$1048576,$B563,MATCH("RAID ID",'RAID Log'!$1:$1,0)),"")))</f>
        <v/>
      </c>
      <c r="B563" s="83" t="str">
        <f>IFERROR(MATCH(ROW()-1,'RAID Log'!$S:$S,0),"")</f>
        <v/>
      </c>
      <c r="C563" s="84" t="str">
        <f>IF($B563="","",IF(IFERROR(INDEX('RAID Log'!$1:$1048576,$B563,MATCH("Description",'RAID Log'!$1:$1,0)),"")="","",IFERROR(INDEX('RAID Log'!$1:$1048576,$B563,MATCH("Description",'RAID Log'!$1:$1,0)),"")))</f>
        <v/>
      </c>
      <c r="D563" s="84" t="str">
        <f>IF($B563="","",IF(IFERROR(INDEX('RAID Log'!$1:$1048576,$B563,MATCH("Impact/Effect of the RAID",'RAID Log'!$1:$1,0)),"")="","",IFERROR(INDEX('RAID Log'!$1:$1048576,$B563,MATCH("Impact/Effect of the RAID",'RAID Log'!$1:$1,0)),"")))</f>
        <v/>
      </c>
      <c r="E563" s="85" t="str">
        <f>IF($B563="","",IF(IFERROR(INDEX('RAID Log'!$1:$1048576,$B563,MATCH("Impact Area",'RAID Log'!$1:$1,0)),"")="","",IFERROR(INDEX('RAID Log'!$1:$1048576,$B563,MATCH("Impact Area",'RAID Log'!$1:$1,0)),"")))</f>
        <v/>
      </c>
      <c r="F563" s="85" t="str">
        <f>IF($B563="","",IF(IFERROR(INDEX('RAID Log'!$1:$1048576,$B563,MATCH("Impact Area",'RAID Log'!$1:$1,0)),"")="","",IFERROR(INDEX('RAID Log'!$1:$1048576,$B563,MATCH("Impact Area",'RAID Log'!$1:$1,0)),"")))</f>
        <v/>
      </c>
      <c r="G563" s="85" t="str">
        <f>IF($B563="","",IF(IFERROR(INDEX('RAID Log'!$1:$1048576,$B563,MATCH("Impact Rating",'RAID Log'!$1:$1,0)),"")="","",IFERROR(INDEX('RAID Log'!$1:$1048576,$B563,MATCH("Impact Rating",'RAID Log'!$1:$1,0)),"")))</f>
        <v/>
      </c>
      <c r="H563" s="85" t="str">
        <f>IF($B563="","",IF(IFERROR(INDEX('RAID Log'!$1:$1048576,$B563,MATCH("Initial Probability",'RAID Log'!$1:$1,0)),"")="","",IFERROR(INDEX('RAID Log'!$1:$1048576,$B563,MATCH("Initial Probability",'RAID Log'!$1:$1,0)),"")))</f>
        <v/>
      </c>
      <c r="I563" s="86" t="str">
        <f t="shared" si="24"/>
        <v/>
      </c>
      <c r="J563" s="85" t="str">
        <f t="shared" si="25"/>
        <v/>
      </c>
      <c r="K563" s="86" t="str">
        <f t="shared" si="26"/>
        <v/>
      </c>
      <c r="L563" s="85" t="str">
        <f>IF($B563="","",IF(IFERROR(INDEX('RAID Log'!$1:$1048576,$B563,MATCH("Status",'RAID Log'!$1:$1,0)),"")="","",IFERROR(INDEX('RAID Log'!$1:$1048576,$B563,MATCH("Status",'RAID Log'!$1:$1,0)),"")))</f>
        <v/>
      </c>
      <c r="M563" s="85" t="str">
        <f>IF($B563="","",IF(IFERROR(INDEX('RAID Log'!$1:$1048576,$B563,MATCH("RAID Owner",'RAID Log'!$1:$1,0)),"")="","",IFERROR(INDEX('RAID Log'!$1:$1048576,$B563,MATCH("RAID Owner",'RAID Log'!$1:$1,0)),"")))</f>
        <v/>
      </c>
      <c r="N563" s="87" t="str">
        <f>IF($B563="","",IF(IFERROR(INDEX('RAID Log'!$1:$1048576,$B563,MATCH("Date Raised",'RAID Log'!$1:$1,0)),"")="","",IFERROR(INDEX('RAID Log'!$1:$1048576,$B563,MATCH("Date Raised",'RAID Log'!$1:$1,0)),"")))</f>
        <v/>
      </c>
      <c r="O563" s="87" t="str">
        <f>IF($B563="","",IF(IFERROR(INDEX('RAID Log'!$1:$1048576,$B563,MATCH("Closed Date",'RAID Log'!$1:$1,0)),"")="","",IFERROR(INDEX('RAID Log'!$1:$1048576,$B563,MATCH("Closed Date",'RAID Log'!$1:$1,0)),"")))</f>
        <v/>
      </c>
      <c r="P563" s="85" t="str">
        <f>IF($B563="","",IF(IFERROR(INDEX('RAID Log'!$1:$1048576,$B563,MATCH("Mitigation Strategy",'RAID Log'!$1:$1,0)),"")="","",IFERROR(INDEX('RAID Log'!$1:$1048576,$B563,MATCH("Mitigation Strategy",'RAID Log'!$1:$1,0)),"")))</f>
        <v/>
      </c>
      <c r="Q563" s="88" t="str">
        <f>IF($B563="","",IF(IFERROR(INDEX('RAID Log'!$1:$1048576,$B563,MATCH("RAID Response/Plan",'RAID Log'!$1:$1,0)),"")="","",IFERROR(INDEX('RAID Log'!$1:$1048576,$B563,MATCH("RAID Response/Plan",'RAID Log'!$1:$1,0)),"")))</f>
        <v/>
      </c>
    </row>
    <row r="564" spans="1:17" ht="14.25" customHeight="1">
      <c r="A564" s="82" t="str">
        <f>IF($B564="","",IF(IFERROR(INDEX('RAID Log'!$1:$1048576,$B564,MATCH("RAID ID",'RAID Log'!$1:$1,0)),"")="","",IFERROR(INDEX('RAID Log'!$1:$1048576,$B564,MATCH("RAID ID",'RAID Log'!$1:$1,0)),"")))</f>
        <v/>
      </c>
      <c r="B564" s="83" t="str">
        <f>IFERROR(MATCH(ROW()-1,'RAID Log'!$S:$S,0),"")</f>
        <v/>
      </c>
      <c r="C564" s="84" t="str">
        <f>IF($B564="","",IF(IFERROR(INDEX('RAID Log'!$1:$1048576,$B564,MATCH("Description",'RAID Log'!$1:$1,0)),"")="","",IFERROR(INDEX('RAID Log'!$1:$1048576,$B564,MATCH("Description",'RAID Log'!$1:$1,0)),"")))</f>
        <v/>
      </c>
      <c r="D564" s="84" t="str">
        <f>IF($B564="","",IF(IFERROR(INDEX('RAID Log'!$1:$1048576,$B564,MATCH("Impact/Effect of the RAID",'RAID Log'!$1:$1,0)),"")="","",IFERROR(INDEX('RAID Log'!$1:$1048576,$B564,MATCH("Impact/Effect of the RAID",'RAID Log'!$1:$1,0)),"")))</f>
        <v/>
      </c>
      <c r="E564" s="85" t="str">
        <f>IF($B564="","",IF(IFERROR(INDEX('RAID Log'!$1:$1048576,$B564,MATCH("Impact Area",'RAID Log'!$1:$1,0)),"")="","",IFERROR(INDEX('RAID Log'!$1:$1048576,$B564,MATCH("Impact Area",'RAID Log'!$1:$1,0)),"")))</f>
        <v/>
      </c>
      <c r="F564" s="85" t="str">
        <f>IF($B564="","",IF(IFERROR(INDEX('RAID Log'!$1:$1048576,$B564,MATCH("Impact Area",'RAID Log'!$1:$1,0)),"")="","",IFERROR(INDEX('RAID Log'!$1:$1048576,$B564,MATCH("Impact Area",'RAID Log'!$1:$1,0)),"")))</f>
        <v/>
      </c>
      <c r="G564" s="85" t="str">
        <f>IF($B564="","",IF(IFERROR(INDEX('RAID Log'!$1:$1048576,$B564,MATCH("Impact Rating",'RAID Log'!$1:$1,0)),"")="","",IFERROR(INDEX('RAID Log'!$1:$1048576,$B564,MATCH("Impact Rating",'RAID Log'!$1:$1,0)),"")))</f>
        <v/>
      </c>
      <c r="H564" s="85" t="str">
        <f>IF($B564="","",IF(IFERROR(INDEX('RAID Log'!$1:$1048576,$B564,MATCH("Initial Probability",'RAID Log'!$1:$1,0)),"")="","",IFERROR(INDEX('RAID Log'!$1:$1048576,$B564,MATCH("Initial Probability",'RAID Log'!$1:$1,0)),"")))</f>
        <v/>
      </c>
      <c r="I564" s="86" t="str">
        <f t="shared" si="24"/>
        <v/>
      </c>
      <c r="J564" s="85" t="str">
        <f t="shared" si="25"/>
        <v/>
      </c>
      <c r="K564" s="86" t="str">
        <f t="shared" si="26"/>
        <v/>
      </c>
      <c r="L564" s="85" t="str">
        <f>IF($B564="","",IF(IFERROR(INDEX('RAID Log'!$1:$1048576,$B564,MATCH("Status",'RAID Log'!$1:$1,0)),"")="","",IFERROR(INDEX('RAID Log'!$1:$1048576,$B564,MATCH("Status",'RAID Log'!$1:$1,0)),"")))</f>
        <v/>
      </c>
      <c r="M564" s="85" t="str">
        <f>IF($B564="","",IF(IFERROR(INDEX('RAID Log'!$1:$1048576,$B564,MATCH("RAID Owner",'RAID Log'!$1:$1,0)),"")="","",IFERROR(INDEX('RAID Log'!$1:$1048576,$B564,MATCH("RAID Owner",'RAID Log'!$1:$1,0)),"")))</f>
        <v/>
      </c>
      <c r="N564" s="87" t="str">
        <f>IF($B564="","",IF(IFERROR(INDEX('RAID Log'!$1:$1048576,$B564,MATCH("Date Raised",'RAID Log'!$1:$1,0)),"")="","",IFERROR(INDEX('RAID Log'!$1:$1048576,$B564,MATCH("Date Raised",'RAID Log'!$1:$1,0)),"")))</f>
        <v/>
      </c>
      <c r="O564" s="87" t="str">
        <f>IF($B564="","",IF(IFERROR(INDEX('RAID Log'!$1:$1048576,$B564,MATCH("Closed Date",'RAID Log'!$1:$1,0)),"")="","",IFERROR(INDEX('RAID Log'!$1:$1048576,$B564,MATCH("Closed Date",'RAID Log'!$1:$1,0)),"")))</f>
        <v/>
      </c>
      <c r="P564" s="85" t="str">
        <f>IF($B564="","",IF(IFERROR(INDEX('RAID Log'!$1:$1048576,$B564,MATCH("Mitigation Strategy",'RAID Log'!$1:$1,0)),"")="","",IFERROR(INDEX('RAID Log'!$1:$1048576,$B564,MATCH("Mitigation Strategy",'RAID Log'!$1:$1,0)),"")))</f>
        <v/>
      </c>
      <c r="Q564" s="88" t="str">
        <f>IF($B564="","",IF(IFERROR(INDEX('RAID Log'!$1:$1048576,$B564,MATCH("RAID Response/Plan",'RAID Log'!$1:$1,0)),"")="","",IFERROR(INDEX('RAID Log'!$1:$1048576,$B564,MATCH("RAID Response/Plan",'RAID Log'!$1:$1,0)),"")))</f>
        <v/>
      </c>
    </row>
    <row r="565" spans="1:17" ht="14.25" customHeight="1">
      <c r="A565" s="82" t="str">
        <f>IF($B565="","",IF(IFERROR(INDEX('RAID Log'!$1:$1048576,$B565,MATCH("RAID ID",'RAID Log'!$1:$1,0)),"")="","",IFERROR(INDEX('RAID Log'!$1:$1048576,$B565,MATCH("RAID ID",'RAID Log'!$1:$1,0)),"")))</f>
        <v/>
      </c>
      <c r="B565" s="83" t="str">
        <f>IFERROR(MATCH(ROW()-1,'RAID Log'!$S:$S,0),"")</f>
        <v/>
      </c>
      <c r="C565" s="84" t="str">
        <f>IF($B565="","",IF(IFERROR(INDEX('RAID Log'!$1:$1048576,$B565,MATCH("Description",'RAID Log'!$1:$1,0)),"")="","",IFERROR(INDEX('RAID Log'!$1:$1048576,$B565,MATCH("Description",'RAID Log'!$1:$1,0)),"")))</f>
        <v/>
      </c>
      <c r="D565" s="84" t="str">
        <f>IF($B565="","",IF(IFERROR(INDEX('RAID Log'!$1:$1048576,$B565,MATCH("Impact/Effect of the RAID",'RAID Log'!$1:$1,0)),"")="","",IFERROR(INDEX('RAID Log'!$1:$1048576,$B565,MATCH("Impact/Effect of the RAID",'RAID Log'!$1:$1,0)),"")))</f>
        <v/>
      </c>
      <c r="E565" s="85" t="str">
        <f>IF($B565="","",IF(IFERROR(INDEX('RAID Log'!$1:$1048576,$B565,MATCH("Impact Area",'RAID Log'!$1:$1,0)),"")="","",IFERROR(INDEX('RAID Log'!$1:$1048576,$B565,MATCH("Impact Area",'RAID Log'!$1:$1,0)),"")))</f>
        <v/>
      </c>
      <c r="F565" s="85" t="str">
        <f>IF($B565="","",IF(IFERROR(INDEX('RAID Log'!$1:$1048576,$B565,MATCH("Impact Area",'RAID Log'!$1:$1,0)),"")="","",IFERROR(INDEX('RAID Log'!$1:$1048576,$B565,MATCH("Impact Area",'RAID Log'!$1:$1,0)),"")))</f>
        <v/>
      </c>
      <c r="G565" s="85" t="str">
        <f>IF($B565="","",IF(IFERROR(INDEX('RAID Log'!$1:$1048576,$B565,MATCH("Impact Rating",'RAID Log'!$1:$1,0)),"")="","",IFERROR(INDEX('RAID Log'!$1:$1048576,$B565,MATCH("Impact Rating",'RAID Log'!$1:$1,0)),"")))</f>
        <v/>
      </c>
      <c r="H565" s="85" t="str">
        <f>IF($B565="","",IF(IFERROR(INDEX('RAID Log'!$1:$1048576,$B565,MATCH("Initial Probability",'RAID Log'!$1:$1,0)),"")="","",IFERROR(INDEX('RAID Log'!$1:$1048576,$B565,MATCH("Initial Probability",'RAID Log'!$1:$1,0)),"")))</f>
        <v/>
      </c>
      <c r="I565" s="86" t="str">
        <f t="shared" si="24"/>
        <v/>
      </c>
      <c r="J565" s="85" t="str">
        <f t="shared" si="25"/>
        <v/>
      </c>
      <c r="K565" s="86" t="str">
        <f t="shared" si="26"/>
        <v/>
      </c>
      <c r="L565" s="85" t="str">
        <f>IF($B565="","",IF(IFERROR(INDEX('RAID Log'!$1:$1048576,$B565,MATCH("Status",'RAID Log'!$1:$1,0)),"")="","",IFERROR(INDEX('RAID Log'!$1:$1048576,$B565,MATCH("Status",'RAID Log'!$1:$1,0)),"")))</f>
        <v/>
      </c>
      <c r="M565" s="85" t="str">
        <f>IF($B565="","",IF(IFERROR(INDEX('RAID Log'!$1:$1048576,$B565,MATCH("RAID Owner",'RAID Log'!$1:$1,0)),"")="","",IFERROR(INDEX('RAID Log'!$1:$1048576,$B565,MATCH("RAID Owner",'RAID Log'!$1:$1,0)),"")))</f>
        <v/>
      </c>
      <c r="N565" s="87" t="str">
        <f>IF($B565="","",IF(IFERROR(INDEX('RAID Log'!$1:$1048576,$B565,MATCH("Date Raised",'RAID Log'!$1:$1,0)),"")="","",IFERROR(INDEX('RAID Log'!$1:$1048576,$B565,MATCH("Date Raised",'RAID Log'!$1:$1,0)),"")))</f>
        <v/>
      </c>
      <c r="O565" s="87" t="str">
        <f>IF($B565="","",IF(IFERROR(INDEX('RAID Log'!$1:$1048576,$B565,MATCH("Closed Date",'RAID Log'!$1:$1,0)),"")="","",IFERROR(INDEX('RAID Log'!$1:$1048576,$B565,MATCH("Closed Date",'RAID Log'!$1:$1,0)),"")))</f>
        <v/>
      </c>
      <c r="P565" s="85" t="str">
        <f>IF($B565="","",IF(IFERROR(INDEX('RAID Log'!$1:$1048576,$B565,MATCH("Mitigation Strategy",'RAID Log'!$1:$1,0)),"")="","",IFERROR(INDEX('RAID Log'!$1:$1048576,$B565,MATCH("Mitigation Strategy",'RAID Log'!$1:$1,0)),"")))</f>
        <v/>
      </c>
      <c r="Q565" s="88" t="str">
        <f>IF($B565="","",IF(IFERROR(INDEX('RAID Log'!$1:$1048576,$B565,MATCH("RAID Response/Plan",'RAID Log'!$1:$1,0)),"")="","",IFERROR(INDEX('RAID Log'!$1:$1048576,$B565,MATCH("RAID Response/Plan",'RAID Log'!$1:$1,0)),"")))</f>
        <v/>
      </c>
    </row>
    <row r="566" spans="1:17" ht="14.25" customHeight="1">
      <c r="A566" s="82" t="str">
        <f>IF($B566="","",IF(IFERROR(INDEX('RAID Log'!$1:$1048576,$B566,MATCH("RAID ID",'RAID Log'!$1:$1,0)),"")="","",IFERROR(INDEX('RAID Log'!$1:$1048576,$B566,MATCH("RAID ID",'RAID Log'!$1:$1,0)),"")))</f>
        <v/>
      </c>
      <c r="B566" s="83" t="str">
        <f>IFERROR(MATCH(ROW()-1,'RAID Log'!$S:$S,0),"")</f>
        <v/>
      </c>
      <c r="C566" s="84" t="str">
        <f>IF($B566="","",IF(IFERROR(INDEX('RAID Log'!$1:$1048576,$B566,MATCH("Description",'RAID Log'!$1:$1,0)),"")="","",IFERROR(INDEX('RAID Log'!$1:$1048576,$B566,MATCH("Description",'RAID Log'!$1:$1,0)),"")))</f>
        <v/>
      </c>
      <c r="D566" s="84" t="str">
        <f>IF($B566="","",IF(IFERROR(INDEX('RAID Log'!$1:$1048576,$B566,MATCH("Impact/Effect of the RAID",'RAID Log'!$1:$1,0)),"")="","",IFERROR(INDEX('RAID Log'!$1:$1048576,$B566,MATCH("Impact/Effect of the RAID",'RAID Log'!$1:$1,0)),"")))</f>
        <v/>
      </c>
      <c r="E566" s="85" t="str">
        <f>IF($B566="","",IF(IFERROR(INDEX('RAID Log'!$1:$1048576,$B566,MATCH("Impact Area",'RAID Log'!$1:$1,0)),"")="","",IFERROR(INDEX('RAID Log'!$1:$1048576,$B566,MATCH("Impact Area",'RAID Log'!$1:$1,0)),"")))</f>
        <v/>
      </c>
      <c r="F566" s="85" t="str">
        <f>IF($B566="","",IF(IFERROR(INDEX('RAID Log'!$1:$1048576,$B566,MATCH("Impact Area",'RAID Log'!$1:$1,0)),"")="","",IFERROR(INDEX('RAID Log'!$1:$1048576,$B566,MATCH("Impact Area",'RAID Log'!$1:$1,0)),"")))</f>
        <v/>
      </c>
      <c r="G566" s="85" t="str">
        <f>IF($B566="","",IF(IFERROR(INDEX('RAID Log'!$1:$1048576,$B566,MATCH("Impact Rating",'RAID Log'!$1:$1,0)),"")="","",IFERROR(INDEX('RAID Log'!$1:$1048576,$B566,MATCH("Impact Rating",'RAID Log'!$1:$1,0)),"")))</f>
        <v/>
      </c>
      <c r="H566" s="85" t="str">
        <f>IF($B566="","",IF(IFERROR(INDEX('RAID Log'!$1:$1048576,$B566,MATCH("Initial Probability",'RAID Log'!$1:$1,0)),"")="","",IFERROR(INDEX('RAID Log'!$1:$1048576,$B566,MATCH("Initial Probability",'RAID Log'!$1:$1,0)),"")))</f>
        <v/>
      </c>
      <c r="I566" s="86" t="str">
        <f t="shared" si="24"/>
        <v/>
      </c>
      <c r="J566" s="85" t="str">
        <f t="shared" si="25"/>
        <v/>
      </c>
      <c r="K566" s="86" t="str">
        <f t="shared" si="26"/>
        <v/>
      </c>
      <c r="L566" s="85" t="str">
        <f>IF($B566="","",IF(IFERROR(INDEX('RAID Log'!$1:$1048576,$B566,MATCH("Status",'RAID Log'!$1:$1,0)),"")="","",IFERROR(INDEX('RAID Log'!$1:$1048576,$B566,MATCH("Status",'RAID Log'!$1:$1,0)),"")))</f>
        <v/>
      </c>
      <c r="M566" s="85" t="str">
        <f>IF($B566="","",IF(IFERROR(INDEX('RAID Log'!$1:$1048576,$B566,MATCH("RAID Owner",'RAID Log'!$1:$1,0)),"")="","",IFERROR(INDEX('RAID Log'!$1:$1048576,$B566,MATCH("RAID Owner",'RAID Log'!$1:$1,0)),"")))</f>
        <v/>
      </c>
      <c r="N566" s="87" t="str">
        <f>IF($B566="","",IF(IFERROR(INDEX('RAID Log'!$1:$1048576,$B566,MATCH("Date Raised",'RAID Log'!$1:$1,0)),"")="","",IFERROR(INDEX('RAID Log'!$1:$1048576,$B566,MATCH("Date Raised",'RAID Log'!$1:$1,0)),"")))</f>
        <v/>
      </c>
      <c r="O566" s="87" t="str">
        <f>IF($B566="","",IF(IFERROR(INDEX('RAID Log'!$1:$1048576,$B566,MATCH("Closed Date",'RAID Log'!$1:$1,0)),"")="","",IFERROR(INDEX('RAID Log'!$1:$1048576,$B566,MATCH("Closed Date",'RAID Log'!$1:$1,0)),"")))</f>
        <v/>
      </c>
      <c r="P566" s="85" t="str">
        <f>IF($B566="","",IF(IFERROR(INDEX('RAID Log'!$1:$1048576,$B566,MATCH("Mitigation Strategy",'RAID Log'!$1:$1,0)),"")="","",IFERROR(INDEX('RAID Log'!$1:$1048576,$B566,MATCH("Mitigation Strategy",'RAID Log'!$1:$1,0)),"")))</f>
        <v/>
      </c>
      <c r="Q566" s="88" t="str">
        <f>IF($B566="","",IF(IFERROR(INDEX('RAID Log'!$1:$1048576,$B566,MATCH("RAID Response/Plan",'RAID Log'!$1:$1,0)),"")="","",IFERROR(INDEX('RAID Log'!$1:$1048576,$B566,MATCH("RAID Response/Plan",'RAID Log'!$1:$1,0)),"")))</f>
        <v/>
      </c>
    </row>
    <row r="567" spans="1:17" ht="14.25" customHeight="1">
      <c r="A567" s="82" t="str">
        <f>IF($B567="","",IF(IFERROR(INDEX('RAID Log'!$1:$1048576,$B567,MATCH("RAID ID",'RAID Log'!$1:$1,0)),"")="","",IFERROR(INDEX('RAID Log'!$1:$1048576,$B567,MATCH("RAID ID",'RAID Log'!$1:$1,0)),"")))</f>
        <v/>
      </c>
      <c r="B567" s="83" t="str">
        <f>IFERROR(MATCH(ROW()-1,'RAID Log'!$S:$S,0),"")</f>
        <v/>
      </c>
      <c r="C567" s="84" t="str">
        <f>IF($B567="","",IF(IFERROR(INDEX('RAID Log'!$1:$1048576,$B567,MATCH("Description",'RAID Log'!$1:$1,0)),"")="","",IFERROR(INDEX('RAID Log'!$1:$1048576,$B567,MATCH("Description",'RAID Log'!$1:$1,0)),"")))</f>
        <v/>
      </c>
      <c r="D567" s="84" t="str">
        <f>IF($B567="","",IF(IFERROR(INDEX('RAID Log'!$1:$1048576,$B567,MATCH("Impact/Effect of the RAID",'RAID Log'!$1:$1,0)),"")="","",IFERROR(INDEX('RAID Log'!$1:$1048576,$B567,MATCH("Impact/Effect of the RAID",'RAID Log'!$1:$1,0)),"")))</f>
        <v/>
      </c>
      <c r="E567" s="85" t="str">
        <f>IF($B567="","",IF(IFERROR(INDEX('RAID Log'!$1:$1048576,$B567,MATCH("Impact Area",'RAID Log'!$1:$1,0)),"")="","",IFERROR(INDEX('RAID Log'!$1:$1048576,$B567,MATCH("Impact Area",'RAID Log'!$1:$1,0)),"")))</f>
        <v/>
      </c>
      <c r="F567" s="85" t="str">
        <f>IF($B567="","",IF(IFERROR(INDEX('RAID Log'!$1:$1048576,$B567,MATCH("Impact Area",'RAID Log'!$1:$1,0)),"")="","",IFERROR(INDEX('RAID Log'!$1:$1048576,$B567,MATCH("Impact Area",'RAID Log'!$1:$1,0)),"")))</f>
        <v/>
      </c>
      <c r="G567" s="85" t="str">
        <f>IF($B567="","",IF(IFERROR(INDEX('RAID Log'!$1:$1048576,$B567,MATCH("Impact Rating",'RAID Log'!$1:$1,0)),"")="","",IFERROR(INDEX('RAID Log'!$1:$1048576,$B567,MATCH("Impact Rating",'RAID Log'!$1:$1,0)),"")))</f>
        <v/>
      </c>
      <c r="H567" s="85" t="str">
        <f>IF($B567="","",IF(IFERROR(INDEX('RAID Log'!$1:$1048576,$B567,MATCH("Initial Probability",'RAID Log'!$1:$1,0)),"")="","",IFERROR(INDEX('RAID Log'!$1:$1048576,$B567,MATCH("Initial Probability",'RAID Log'!$1:$1,0)),"")))</f>
        <v/>
      </c>
      <c r="I567" s="86" t="str">
        <f t="shared" si="24"/>
        <v/>
      </c>
      <c r="J567" s="85" t="str">
        <f t="shared" si="25"/>
        <v/>
      </c>
      <c r="K567" s="86" t="str">
        <f t="shared" si="26"/>
        <v/>
      </c>
      <c r="L567" s="85" t="str">
        <f>IF($B567="","",IF(IFERROR(INDEX('RAID Log'!$1:$1048576,$B567,MATCH("Status",'RAID Log'!$1:$1,0)),"")="","",IFERROR(INDEX('RAID Log'!$1:$1048576,$B567,MATCH("Status",'RAID Log'!$1:$1,0)),"")))</f>
        <v/>
      </c>
      <c r="M567" s="85" t="str">
        <f>IF($B567="","",IF(IFERROR(INDEX('RAID Log'!$1:$1048576,$B567,MATCH("RAID Owner",'RAID Log'!$1:$1,0)),"")="","",IFERROR(INDEX('RAID Log'!$1:$1048576,$B567,MATCH("RAID Owner",'RAID Log'!$1:$1,0)),"")))</f>
        <v/>
      </c>
      <c r="N567" s="87" t="str">
        <f>IF($B567="","",IF(IFERROR(INDEX('RAID Log'!$1:$1048576,$B567,MATCH("Date Raised",'RAID Log'!$1:$1,0)),"")="","",IFERROR(INDEX('RAID Log'!$1:$1048576,$B567,MATCH("Date Raised",'RAID Log'!$1:$1,0)),"")))</f>
        <v/>
      </c>
      <c r="O567" s="87" t="str">
        <f>IF($B567="","",IF(IFERROR(INDEX('RAID Log'!$1:$1048576,$B567,MATCH("Closed Date",'RAID Log'!$1:$1,0)),"")="","",IFERROR(INDEX('RAID Log'!$1:$1048576,$B567,MATCH("Closed Date",'RAID Log'!$1:$1,0)),"")))</f>
        <v/>
      </c>
      <c r="P567" s="85" t="str">
        <f>IF($B567="","",IF(IFERROR(INDEX('RAID Log'!$1:$1048576,$B567,MATCH("Mitigation Strategy",'RAID Log'!$1:$1,0)),"")="","",IFERROR(INDEX('RAID Log'!$1:$1048576,$B567,MATCH("Mitigation Strategy",'RAID Log'!$1:$1,0)),"")))</f>
        <v/>
      </c>
      <c r="Q567" s="88" t="str">
        <f>IF($B567="","",IF(IFERROR(INDEX('RAID Log'!$1:$1048576,$B567,MATCH("RAID Response/Plan",'RAID Log'!$1:$1,0)),"")="","",IFERROR(INDEX('RAID Log'!$1:$1048576,$B567,MATCH("RAID Response/Plan",'RAID Log'!$1:$1,0)),"")))</f>
        <v/>
      </c>
    </row>
    <row r="568" spans="1:17" ht="14.25" customHeight="1">
      <c r="A568" s="82" t="str">
        <f>IF($B568="","",IF(IFERROR(INDEX('RAID Log'!$1:$1048576,$B568,MATCH("RAID ID",'RAID Log'!$1:$1,0)),"")="","",IFERROR(INDEX('RAID Log'!$1:$1048576,$B568,MATCH("RAID ID",'RAID Log'!$1:$1,0)),"")))</f>
        <v/>
      </c>
      <c r="B568" s="83" t="str">
        <f>IFERROR(MATCH(ROW()-1,'RAID Log'!$S:$S,0),"")</f>
        <v/>
      </c>
      <c r="C568" s="84" t="str">
        <f>IF($B568="","",IF(IFERROR(INDEX('RAID Log'!$1:$1048576,$B568,MATCH("Description",'RAID Log'!$1:$1,0)),"")="","",IFERROR(INDEX('RAID Log'!$1:$1048576,$B568,MATCH("Description",'RAID Log'!$1:$1,0)),"")))</f>
        <v/>
      </c>
      <c r="D568" s="84" t="str">
        <f>IF($B568="","",IF(IFERROR(INDEX('RAID Log'!$1:$1048576,$B568,MATCH("Impact/Effect of the RAID",'RAID Log'!$1:$1,0)),"")="","",IFERROR(INDEX('RAID Log'!$1:$1048576,$B568,MATCH("Impact/Effect of the RAID",'RAID Log'!$1:$1,0)),"")))</f>
        <v/>
      </c>
      <c r="E568" s="85" t="str">
        <f>IF($B568="","",IF(IFERROR(INDEX('RAID Log'!$1:$1048576,$B568,MATCH("Impact Area",'RAID Log'!$1:$1,0)),"")="","",IFERROR(INDEX('RAID Log'!$1:$1048576,$B568,MATCH("Impact Area",'RAID Log'!$1:$1,0)),"")))</f>
        <v/>
      </c>
      <c r="F568" s="85" t="str">
        <f>IF($B568="","",IF(IFERROR(INDEX('RAID Log'!$1:$1048576,$B568,MATCH("Impact Area",'RAID Log'!$1:$1,0)),"")="","",IFERROR(INDEX('RAID Log'!$1:$1048576,$B568,MATCH("Impact Area",'RAID Log'!$1:$1,0)),"")))</f>
        <v/>
      </c>
      <c r="G568" s="85" t="str">
        <f>IF($B568="","",IF(IFERROR(INDEX('RAID Log'!$1:$1048576,$B568,MATCH("Impact Rating",'RAID Log'!$1:$1,0)),"")="","",IFERROR(INDEX('RAID Log'!$1:$1048576,$B568,MATCH("Impact Rating",'RAID Log'!$1:$1,0)),"")))</f>
        <v/>
      </c>
      <c r="H568" s="85" t="str">
        <f>IF($B568="","",IF(IFERROR(INDEX('RAID Log'!$1:$1048576,$B568,MATCH("Initial Probability",'RAID Log'!$1:$1,0)),"")="","",IFERROR(INDEX('RAID Log'!$1:$1048576,$B568,MATCH("Initial Probability",'RAID Log'!$1:$1,0)),"")))</f>
        <v/>
      </c>
      <c r="I568" s="86" t="str">
        <f t="shared" si="24"/>
        <v/>
      </c>
      <c r="J568" s="85" t="str">
        <f t="shared" si="25"/>
        <v/>
      </c>
      <c r="K568" s="86" t="str">
        <f t="shared" si="26"/>
        <v/>
      </c>
      <c r="L568" s="85" t="str">
        <f>IF($B568="","",IF(IFERROR(INDEX('RAID Log'!$1:$1048576,$B568,MATCH("Status",'RAID Log'!$1:$1,0)),"")="","",IFERROR(INDEX('RAID Log'!$1:$1048576,$B568,MATCH("Status",'RAID Log'!$1:$1,0)),"")))</f>
        <v/>
      </c>
      <c r="M568" s="85" t="str">
        <f>IF($B568="","",IF(IFERROR(INDEX('RAID Log'!$1:$1048576,$B568,MATCH("RAID Owner",'RAID Log'!$1:$1,0)),"")="","",IFERROR(INDEX('RAID Log'!$1:$1048576,$B568,MATCH("RAID Owner",'RAID Log'!$1:$1,0)),"")))</f>
        <v/>
      </c>
      <c r="N568" s="87" t="str">
        <f>IF($B568="","",IF(IFERROR(INDEX('RAID Log'!$1:$1048576,$B568,MATCH("Date Raised",'RAID Log'!$1:$1,0)),"")="","",IFERROR(INDEX('RAID Log'!$1:$1048576,$B568,MATCH("Date Raised",'RAID Log'!$1:$1,0)),"")))</f>
        <v/>
      </c>
      <c r="O568" s="87" t="str">
        <f>IF($B568="","",IF(IFERROR(INDEX('RAID Log'!$1:$1048576,$B568,MATCH("Closed Date",'RAID Log'!$1:$1,0)),"")="","",IFERROR(INDEX('RAID Log'!$1:$1048576,$B568,MATCH("Closed Date",'RAID Log'!$1:$1,0)),"")))</f>
        <v/>
      </c>
      <c r="P568" s="85" t="str">
        <f>IF($B568="","",IF(IFERROR(INDEX('RAID Log'!$1:$1048576,$B568,MATCH("Mitigation Strategy",'RAID Log'!$1:$1,0)),"")="","",IFERROR(INDEX('RAID Log'!$1:$1048576,$B568,MATCH("Mitigation Strategy",'RAID Log'!$1:$1,0)),"")))</f>
        <v/>
      </c>
      <c r="Q568" s="88" t="str">
        <f>IF($B568="","",IF(IFERROR(INDEX('RAID Log'!$1:$1048576,$B568,MATCH("RAID Response/Plan",'RAID Log'!$1:$1,0)),"")="","",IFERROR(INDEX('RAID Log'!$1:$1048576,$B568,MATCH("RAID Response/Plan",'RAID Log'!$1:$1,0)),"")))</f>
        <v/>
      </c>
    </row>
    <row r="569" spans="1:17" ht="14.25" customHeight="1">
      <c r="A569" s="82" t="str">
        <f>IF($B569="","",IF(IFERROR(INDEX('RAID Log'!$1:$1048576,$B569,MATCH("RAID ID",'RAID Log'!$1:$1,0)),"")="","",IFERROR(INDEX('RAID Log'!$1:$1048576,$B569,MATCH("RAID ID",'RAID Log'!$1:$1,0)),"")))</f>
        <v/>
      </c>
      <c r="B569" s="83" t="str">
        <f>IFERROR(MATCH(ROW()-1,'RAID Log'!$S:$S,0),"")</f>
        <v/>
      </c>
      <c r="C569" s="84" t="str">
        <f>IF($B569="","",IF(IFERROR(INDEX('RAID Log'!$1:$1048576,$B569,MATCH("Description",'RAID Log'!$1:$1,0)),"")="","",IFERROR(INDEX('RAID Log'!$1:$1048576,$B569,MATCH("Description",'RAID Log'!$1:$1,0)),"")))</f>
        <v/>
      </c>
      <c r="D569" s="84" t="str">
        <f>IF($B569="","",IF(IFERROR(INDEX('RAID Log'!$1:$1048576,$B569,MATCH("Impact/Effect of the RAID",'RAID Log'!$1:$1,0)),"")="","",IFERROR(INDEX('RAID Log'!$1:$1048576,$B569,MATCH("Impact/Effect of the RAID",'RAID Log'!$1:$1,0)),"")))</f>
        <v/>
      </c>
      <c r="E569" s="85" t="str">
        <f>IF($B569="","",IF(IFERROR(INDEX('RAID Log'!$1:$1048576,$B569,MATCH("Impact Area",'RAID Log'!$1:$1,0)),"")="","",IFERROR(INDEX('RAID Log'!$1:$1048576,$B569,MATCH("Impact Area",'RAID Log'!$1:$1,0)),"")))</f>
        <v/>
      </c>
      <c r="F569" s="85" t="str">
        <f>IF($B569="","",IF(IFERROR(INDEX('RAID Log'!$1:$1048576,$B569,MATCH("Impact Area",'RAID Log'!$1:$1,0)),"")="","",IFERROR(INDEX('RAID Log'!$1:$1048576,$B569,MATCH("Impact Area",'RAID Log'!$1:$1,0)),"")))</f>
        <v/>
      </c>
      <c r="G569" s="85" t="str">
        <f>IF($B569="","",IF(IFERROR(INDEX('RAID Log'!$1:$1048576,$B569,MATCH("Impact Rating",'RAID Log'!$1:$1,0)),"")="","",IFERROR(INDEX('RAID Log'!$1:$1048576,$B569,MATCH("Impact Rating",'RAID Log'!$1:$1,0)),"")))</f>
        <v/>
      </c>
      <c r="H569" s="85" t="str">
        <f>IF($B569="","",IF(IFERROR(INDEX('RAID Log'!$1:$1048576,$B569,MATCH("Initial Probability",'RAID Log'!$1:$1,0)),"")="","",IFERROR(INDEX('RAID Log'!$1:$1048576,$B569,MATCH("Initial Probability",'RAID Log'!$1:$1,0)),"")))</f>
        <v/>
      </c>
      <c r="I569" s="86" t="str">
        <f t="shared" si="24"/>
        <v/>
      </c>
      <c r="J569" s="85" t="str">
        <f t="shared" si="25"/>
        <v/>
      </c>
      <c r="K569" s="86" t="str">
        <f t="shared" si="26"/>
        <v/>
      </c>
      <c r="L569" s="85" t="str">
        <f>IF($B569="","",IF(IFERROR(INDEX('RAID Log'!$1:$1048576,$B569,MATCH("Status",'RAID Log'!$1:$1,0)),"")="","",IFERROR(INDEX('RAID Log'!$1:$1048576,$B569,MATCH("Status",'RAID Log'!$1:$1,0)),"")))</f>
        <v/>
      </c>
      <c r="M569" s="85" t="str">
        <f>IF($B569="","",IF(IFERROR(INDEX('RAID Log'!$1:$1048576,$B569,MATCH("RAID Owner",'RAID Log'!$1:$1,0)),"")="","",IFERROR(INDEX('RAID Log'!$1:$1048576,$B569,MATCH("RAID Owner",'RAID Log'!$1:$1,0)),"")))</f>
        <v/>
      </c>
      <c r="N569" s="87" t="str">
        <f>IF($B569="","",IF(IFERROR(INDEX('RAID Log'!$1:$1048576,$B569,MATCH("Date Raised",'RAID Log'!$1:$1,0)),"")="","",IFERROR(INDEX('RAID Log'!$1:$1048576,$B569,MATCH("Date Raised",'RAID Log'!$1:$1,0)),"")))</f>
        <v/>
      </c>
      <c r="O569" s="87" t="str">
        <f>IF($B569="","",IF(IFERROR(INDEX('RAID Log'!$1:$1048576,$B569,MATCH("Closed Date",'RAID Log'!$1:$1,0)),"")="","",IFERROR(INDEX('RAID Log'!$1:$1048576,$B569,MATCH("Closed Date",'RAID Log'!$1:$1,0)),"")))</f>
        <v/>
      </c>
      <c r="P569" s="85" t="str">
        <f>IF($B569="","",IF(IFERROR(INDEX('RAID Log'!$1:$1048576,$B569,MATCH("Mitigation Strategy",'RAID Log'!$1:$1,0)),"")="","",IFERROR(INDEX('RAID Log'!$1:$1048576,$B569,MATCH("Mitigation Strategy",'RAID Log'!$1:$1,0)),"")))</f>
        <v/>
      </c>
      <c r="Q569" s="88" t="str">
        <f>IF($B569="","",IF(IFERROR(INDEX('RAID Log'!$1:$1048576,$B569,MATCH("RAID Response/Plan",'RAID Log'!$1:$1,0)),"")="","",IFERROR(INDEX('RAID Log'!$1:$1048576,$B569,MATCH("RAID Response/Plan",'RAID Log'!$1:$1,0)),"")))</f>
        <v/>
      </c>
    </row>
    <row r="570" spans="1:17" ht="14.25" customHeight="1">
      <c r="A570" s="82" t="str">
        <f>IF($B570="","",IF(IFERROR(INDEX('RAID Log'!$1:$1048576,$B570,MATCH("RAID ID",'RAID Log'!$1:$1,0)),"")="","",IFERROR(INDEX('RAID Log'!$1:$1048576,$B570,MATCH("RAID ID",'RAID Log'!$1:$1,0)),"")))</f>
        <v/>
      </c>
      <c r="B570" s="83" t="str">
        <f>IFERROR(MATCH(ROW()-1,'RAID Log'!$S:$S,0),"")</f>
        <v/>
      </c>
      <c r="C570" s="84" t="str">
        <f>IF($B570="","",IF(IFERROR(INDEX('RAID Log'!$1:$1048576,$B570,MATCH("Description",'RAID Log'!$1:$1,0)),"")="","",IFERROR(INDEX('RAID Log'!$1:$1048576,$B570,MATCH("Description",'RAID Log'!$1:$1,0)),"")))</f>
        <v/>
      </c>
      <c r="D570" s="84" t="str">
        <f>IF($B570="","",IF(IFERROR(INDEX('RAID Log'!$1:$1048576,$B570,MATCH("Impact/Effect of the RAID",'RAID Log'!$1:$1,0)),"")="","",IFERROR(INDEX('RAID Log'!$1:$1048576,$B570,MATCH("Impact/Effect of the RAID",'RAID Log'!$1:$1,0)),"")))</f>
        <v/>
      </c>
      <c r="E570" s="85" t="str">
        <f>IF($B570="","",IF(IFERROR(INDEX('RAID Log'!$1:$1048576,$B570,MATCH("Impact Area",'RAID Log'!$1:$1,0)),"")="","",IFERROR(INDEX('RAID Log'!$1:$1048576,$B570,MATCH("Impact Area",'RAID Log'!$1:$1,0)),"")))</f>
        <v/>
      </c>
      <c r="F570" s="85" t="str">
        <f>IF($B570="","",IF(IFERROR(INDEX('RAID Log'!$1:$1048576,$B570,MATCH("Impact Area",'RAID Log'!$1:$1,0)),"")="","",IFERROR(INDEX('RAID Log'!$1:$1048576,$B570,MATCH("Impact Area",'RAID Log'!$1:$1,0)),"")))</f>
        <v/>
      </c>
      <c r="G570" s="85" t="str">
        <f>IF($B570="","",IF(IFERROR(INDEX('RAID Log'!$1:$1048576,$B570,MATCH("Impact Rating",'RAID Log'!$1:$1,0)),"")="","",IFERROR(INDEX('RAID Log'!$1:$1048576,$B570,MATCH("Impact Rating",'RAID Log'!$1:$1,0)),"")))</f>
        <v/>
      </c>
      <c r="H570" s="85" t="str">
        <f>IF($B570="","",IF(IFERROR(INDEX('RAID Log'!$1:$1048576,$B570,MATCH("Initial Probability",'RAID Log'!$1:$1,0)),"")="","",IFERROR(INDEX('RAID Log'!$1:$1048576,$B570,MATCH("Initial Probability",'RAID Log'!$1:$1,0)),"")))</f>
        <v/>
      </c>
      <c r="I570" s="86" t="str">
        <f t="shared" si="24"/>
        <v/>
      </c>
      <c r="J570" s="85" t="str">
        <f t="shared" si="25"/>
        <v/>
      </c>
      <c r="K570" s="86" t="str">
        <f t="shared" si="26"/>
        <v/>
      </c>
      <c r="L570" s="85" t="str">
        <f>IF($B570="","",IF(IFERROR(INDEX('RAID Log'!$1:$1048576,$B570,MATCH("Status",'RAID Log'!$1:$1,0)),"")="","",IFERROR(INDEX('RAID Log'!$1:$1048576,$B570,MATCH("Status",'RAID Log'!$1:$1,0)),"")))</f>
        <v/>
      </c>
      <c r="M570" s="85" t="str">
        <f>IF($B570="","",IF(IFERROR(INDEX('RAID Log'!$1:$1048576,$B570,MATCH("RAID Owner",'RAID Log'!$1:$1,0)),"")="","",IFERROR(INDEX('RAID Log'!$1:$1048576,$B570,MATCH("RAID Owner",'RAID Log'!$1:$1,0)),"")))</f>
        <v/>
      </c>
      <c r="N570" s="87" t="str">
        <f>IF($B570="","",IF(IFERROR(INDEX('RAID Log'!$1:$1048576,$B570,MATCH("Date Raised",'RAID Log'!$1:$1,0)),"")="","",IFERROR(INDEX('RAID Log'!$1:$1048576,$B570,MATCH("Date Raised",'RAID Log'!$1:$1,0)),"")))</f>
        <v/>
      </c>
      <c r="O570" s="87" t="str">
        <f>IF($B570="","",IF(IFERROR(INDEX('RAID Log'!$1:$1048576,$B570,MATCH("Closed Date",'RAID Log'!$1:$1,0)),"")="","",IFERROR(INDEX('RAID Log'!$1:$1048576,$B570,MATCH("Closed Date",'RAID Log'!$1:$1,0)),"")))</f>
        <v/>
      </c>
      <c r="P570" s="85" t="str">
        <f>IF($B570="","",IF(IFERROR(INDEX('RAID Log'!$1:$1048576,$B570,MATCH("Mitigation Strategy",'RAID Log'!$1:$1,0)),"")="","",IFERROR(INDEX('RAID Log'!$1:$1048576,$B570,MATCH("Mitigation Strategy",'RAID Log'!$1:$1,0)),"")))</f>
        <v/>
      </c>
      <c r="Q570" s="88" t="str">
        <f>IF($B570="","",IF(IFERROR(INDEX('RAID Log'!$1:$1048576,$B570,MATCH("RAID Response/Plan",'RAID Log'!$1:$1,0)),"")="","",IFERROR(INDEX('RAID Log'!$1:$1048576,$B570,MATCH("RAID Response/Plan",'RAID Log'!$1:$1,0)),"")))</f>
        <v/>
      </c>
    </row>
    <row r="571" spans="1:17" ht="14.25" customHeight="1">
      <c r="A571" s="82" t="str">
        <f>IF($B571="","",IF(IFERROR(INDEX('RAID Log'!$1:$1048576,$B571,MATCH("RAID ID",'RAID Log'!$1:$1,0)),"")="","",IFERROR(INDEX('RAID Log'!$1:$1048576,$B571,MATCH("RAID ID",'RAID Log'!$1:$1,0)),"")))</f>
        <v/>
      </c>
      <c r="B571" s="83" t="str">
        <f>IFERROR(MATCH(ROW()-1,'RAID Log'!$S:$S,0),"")</f>
        <v/>
      </c>
      <c r="C571" s="84" t="str">
        <f>IF($B571="","",IF(IFERROR(INDEX('RAID Log'!$1:$1048576,$B571,MATCH("Description",'RAID Log'!$1:$1,0)),"")="","",IFERROR(INDEX('RAID Log'!$1:$1048576,$B571,MATCH("Description",'RAID Log'!$1:$1,0)),"")))</f>
        <v/>
      </c>
      <c r="D571" s="84" t="str">
        <f>IF($B571="","",IF(IFERROR(INDEX('RAID Log'!$1:$1048576,$B571,MATCH("Impact/Effect of the RAID",'RAID Log'!$1:$1,0)),"")="","",IFERROR(INDEX('RAID Log'!$1:$1048576,$B571,MATCH("Impact/Effect of the RAID",'RAID Log'!$1:$1,0)),"")))</f>
        <v/>
      </c>
      <c r="E571" s="85" t="str">
        <f>IF($B571="","",IF(IFERROR(INDEX('RAID Log'!$1:$1048576,$B571,MATCH("Impact Area",'RAID Log'!$1:$1,0)),"")="","",IFERROR(INDEX('RAID Log'!$1:$1048576,$B571,MATCH("Impact Area",'RAID Log'!$1:$1,0)),"")))</f>
        <v/>
      </c>
      <c r="F571" s="85" t="str">
        <f>IF($B571="","",IF(IFERROR(INDEX('RAID Log'!$1:$1048576,$B571,MATCH("Impact Area",'RAID Log'!$1:$1,0)),"")="","",IFERROR(INDEX('RAID Log'!$1:$1048576,$B571,MATCH("Impact Area",'RAID Log'!$1:$1,0)),"")))</f>
        <v/>
      </c>
      <c r="G571" s="85" t="str">
        <f>IF($B571="","",IF(IFERROR(INDEX('RAID Log'!$1:$1048576,$B571,MATCH("Impact Rating",'RAID Log'!$1:$1,0)),"")="","",IFERROR(INDEX('RAID Log'!$1:$1048576,$B571,MATCH("Impact Rating",'RAID Log'!$1:$1,0)),"")))</f>
        <v/>
      </c>
      <c r="H571" s="85" t="str">
        <f>IF($B571="","",IF(IFERROR(INDEX('RAID Log'!$1:$1048576,$B571,MATCH("Initial Probability",'RAID Log'!$1:$1,0)),"")="","",IFERROR(INDEX('RAID Log'!$1:$1048576,$B571,MATCH("Initial Probability",'RAID Log'!$1:$1,0)),"")))</f>
        <v/>
      </c>
      <c r="I571" s="86" t="str">
        <f t="shared" si="24"/>
        <v/>
      </c>
      <c r="J571" s="85" t="str">
        <f t="shared" si="25"/>
        <v/>
      </c>
      <c r="K571" s="86" t="str">
        <f t="shared" si="26"/>
        <v/>
      </c>
      <c r="L571" s="85" t="str">
        <f>IF($B571="","",IF(IFERROR(INDEX('RAID Log'!$1:$1048576,$B571,MATCH("Status",'RAID Log'!$1:$1,0)),"")="","",IFERROR(INDEX('RAID Log'!$1:$1048576,$B571,MATCH("Status",'RAID Log'!$1:$1,0)),"")))</f>
        <v/>
      </c>
      <c r="M571" s="85" t="str">
        <f>IF($B571="","",IF(IFERROR(INDEX('RAID Log'!$1:$1048576,$B571,MATCH("RAID Owner",'RAID Log'!$1:$1,0)),"")="","",IFERROR(INDEX('RAID Log'!$1:$1048576,$B571,MATCH("RAID Owner",'RAID Log'!$1:$1,0)),"")))</f>
        <v/>
      </c>
      <c r="N571" s="87" t="str">
        <f>IF($B571="","",IF(IFERROR(INDEX('RAID Log'!$1:$1048576,$B571,MATCH("Date Raised",'RAID Log'!$1:$1,0)),"")="","",IFERROR(INDEX('RAID Log'!$1:$1048576,$B571,MATCH("Date Raised",'RAID Log'!$1:$1,0)),"")))</f>
        <v/>
      </c>
      <c r="O571" s="87" t="str">
        <f>IF($B571="","",IF(IFERROR(INDEX('RAID Log'!$1:$1048576,$B571,MATCH("Closed Date",'RAID Log'!$1:$1,0)),"")="","",IFERROR(INDEX('RAID Log'!$1:$1048576,$B571,MATCH("Closed Date",'RAID Log'!$1:$1,0)),"")))</f>
        <v/>
      </c>
      <c r="P571" s="85" t="str">
        <f>IF($B571="","",IF(IFERROR(INDEX('RAID Log'!$1:$1048576,$B571,MATCH("Mitigation Strategy",'RAID Log'!$1:$1,0)),"")="","",IFERROR(INDEX('RAID Log'!$1:$1048576,$B571,MATCH("Mitigation Strategy",'RAID Log'!$1:$1,0)),"")))</f>
        <v/>
      </c>
      <c r="Q571" s="88" t="str">
        <f>IF($B571="","",IF(IFERROR(INDEX('RAID Log'!$1:$1048576,$B571,MATCH("RAID Response/Plan",'RAID Log'!$1:$1,0)),"")="","",IFERROR(INDEX('RAID Log'!$1:$1048576,$B571,MATCH("RAID Response/Plan",'RAID Log'!$1:$1,0)),"")))</f>
        <v/>
      </c>
    </row>
    <row r="572" spans="1:17" ht="14.25" customHeight="1">
      <c r="A572" s="82" t="str">
        <f>IF($B572="","",IF(IFERROR(INDEX('RAID Log'!$1:$1048576,$B572,MATCH("RAID ID",'RAID Log'!$1:$1,0)),"")="","",IFERROR(INDEX('RAID Log'!$1:$1048576,$B572,MATCH("RAID ID",'RAID Log'!$1:$1,0)),"")))</f>
        <v/>
      </c>
      <c r="B572" s="83" t="str">
        <f>IFERROR(MATCH(ROW()-1,'RAID Log'!$S:$S,0),"")</f>
        <v/>
      </c>
      <c r="C572" s="84" t="str">
        <f>IF($B572="","",IF(IFERROR(INDEX('RAID Log'!$1:$1048576,$B572,MATCH("Description",'RAID Log'!$1:$1,0)),"")="","",IFERROR(INDEX('RAID Log'!$1:$1048576,$B572,MATCH("Description",'RAID Log'!$1:$1,0)),"")))</f>
        <v/>
      </c>
      <c r="D572" s="84" t="str">
        <f>IF($B572="","",IF(IFERROR(INDEX('RAID Log'!$1:$1048576,$B572,MATCH("Impact/Effect of the RAID",'RAID Log'!$1:$1,0)),"")="","",IFERROR(INDEX('RAID Log'!$1:$1048576,$B572,MATCH("Impact/Effect of the RAID",'RAID Log'!$1:$1,0)),"")))</f>
        <v/>
      </c>
      <c r="E572" s="85" t="str">
        <f>IF($B572="","",IF(IFERROR(INDEX('RAID Log'!$1:$1048576,$B572,MATCH("Impact Area",'RAID Log'!$1:$1,0)),"")="","",IFERROR(INDEX('RAID Log'!$1:$1048576,$B572,MATCH("Impact Area",'RAID Log'!$1:$1,0)),"")))</f>
        <v/>
      </c>
      <c r="F572" s="85" t="str">
        <f>IF($B572="","",IF(IFERROR(INDEX('RAID Log'!$1:$1048576,$B572,MATCH("Impact Area",'RAID Log'!$1:$1,0)),"")="","",IFERROR(INDEX('RAID Log'!$1:$1048576,$B572,MATCH("Impact Area",'RAID Log'!$1:$1,0)),"")))</f>
        <v/>
      </c>
      <c r="G572" s="85" t="str">
        <f>IF($B572="","",IF(IFERROR(INDEX('RAID Log'!$1:$1048576,$B572,MATCH("Impact Rating",'RAID Log'!$1:$1,0)),"")="","",IFERROR(INDEX('RAID Log'!$1:$1048576,$B572,MATCH("Impact Rating",'RAID Log'!$1:$1,0)),"")))</f>
        <v/>
      </c>
      <c r="H572" s="85" t="str">
        <f>IF($B572="","",IF(IFERROR(INDEX('RAID Log'!$1:$1048576,$B572,MATCH("Initial Probability",'RAID Log'!$1:$1,0)),"")="","",IFERROR(INDEX('RAID Log'!$1:$1048576,$B572,MATCH("Initial Probability",'RAID Log'!$1:$1,0)),"")))</f>
        <v/>
      </c>
      <c r="I572" s="86" t="str">
        <f t="shared" si="24"/>
        <v/>
      </c>
      <c r="J572" s="85" t="str">
        <f t="shared" si="25"/>
        <v/>
      </c>
      <c r="K572" s="86" t="str">
        <f t="shared" si="26"/>
        <v/>
      </c>
      <c r="L572" s="85" t="str">
        <f>IF($B572="","",IF(IFERROR(INDEX('RAID Log'!$1:$1048576,$B572,MATCH("Status",'RAID Log'!$1:$1,0)),"")="","",IFERROR(INDEX('RAID Log'!$1:$1048576,$B572,MATCH("Status",'RAID Log'!$1:$1,0)),"")))</f>
        <v/>
      </c>
      <c r="M572" s="85" t="str">
        <f>IF($B572="","",IF(IFERROR(INDEX('RAID Log'!$1:$1048576,$B572,MATCH("RAID Owner",'RAID Log'!$1:$1,0)),"")="","",IFERROR(INDEX('RAID Log'!$1:$1048576,$B572,MATCH("RAID Owner",'RAID Log'!$1:$1,0)),"")))</f>
        <v/>
      </c>
      <c r="N572" s="87" t="str">
        <f>IF($B572="","",IF(IFERROR(INDEX('RAID Log'!$1:$1048576,$B572,MATCH("Date Raised",'RAID Log'!$1:$1,0)),"")="","",IFERROR(INDEX('RAID Log'!$1:$1048576,$B572,MATCH("Date Raised",'RAID Log'!$1:$1,0)),"")))</f>
        <v/>
      </c>
      <c r="O572" s="87" t="str">
        <f>IF($B572="","",IF(IFERROR(INDEX('RAID Log'!$1:$1048576,$B572,MATCH("Closed Date",'RAID Log'!$1:$1,0)),"")="","",IFERROR(INDEX('RAID Log'!$1:$1048576,$B572,MATCH("Closed Date",'RAID Log'!$1:$1,0)),"")))</f>
        <v/>
      </c>
      <c r="P572" s="85" t="str">
        <f>IF($B572="","",IF(IFERROR(INDEX('RAID Log'!$1:$1048576,$B572,MATCH("Mitigation Strategy",'RAID Log'!$1:$1,0)),"")="","",IFERROR(INDEX('RAID Log'!$1:$1048576,$B572,MATCH("Mitigation Strategy",'RAID Log'!$1:$1,0)),"")))</f>
        <v/>
      </c>
      <c r="Q572" s="88" t="str">
        <f>IF($B572="","",IF(IFERROR(INDEX('RAID Log'!$1:$1048576,$B572,MATCH("RAID Response/Plan",'RAID Log'!$1:$1,0)),"")="","",IFERROR(INDEX('RAID Log'!$1:$1048576,$B572,MATCH("RAID Response/Plan",'RAID Log'!$1:$1,0)),"")))</f>
        <v/>
      </c>
    </row>
    <row r="573" spans="1:17" ht="14.25" customHeight="1">
      <c r="A573" s="82" t="str">
        <f>IF($B573="","",IF(IFERROR(INDEX('RAID Log'!$1:$1048576,$B573,MATCH("RAID ID",'RAID Log'!$1:$1,0)),"")="","",IFERROR(INDEX('RAID Log'!$1:$1048576,$B573,MATCH("RAID ID",'RAID Log'!$1:$1,0)),"")))</f>
        <v/>
      </c>
      <c r="B573" s="83" t="str">
        <f>IFERROR(MATCH(ROW()-1,'RAID Log'!$S:$S,0),"")</f>
        <v/>
      </c>
      <c r="C573" s="84" t="str">
        <f>IF($B573="","",IF(IFERROR(INDEX('RAID Log'!$1:$1048576,$B573,MATCH("Description",'RAID Log'!$1:$1,0)),"")="","",IFERROR(INDEX('RAID Log'!$1:$1048576,$B573,MATCH("Description",'RAID Log'!$1:$1,0)),"")))</f>
        <v/>
      </c>
      <c r="D573" s="84" t="str">
        <f>IF($B573="","",IF(IFERROR(INDEX('RAID Log'!$1:$1048576,$B573,MATCH("Impact/Effect of the RAID",'RAID Log'!$1:$1,0)),"")="","",IFERROR(INDEX('RAID Log'!$1:$1048576,$B573,MATCH("Impact/Effect of the RAID",'RAID Log'!$1:$1,0)),"")))</f>
        <v/>
      </c>
      <c r="E573" s="85" t="str">
        <f>IF($B573="","",IF(IFERROR(INDEX('RAID Log'!$1:$1048576,$B573,MATCH("Impact Area",'RAID Log'!$1:$1,0)),"")="","",IFERROR(INDEX('RAID Log'!$1:$1048576,$B573,MATCH("Impact Area",'RAID Log'!$1:$1,0)),"")))</f>
        <v/>
      </c>
      <c r="F573" s="85" t="str">
        <f>IF($B573="","",IF(IFERROR(INDEX('RAID Log'!$1:$1048576,$B573,MATCH("Impact Area",'RAID Log'!$1:$1,0)),"")="","",IFERROR(INDEX('RAID Log'!$1:$1048576,$B573,MATCH("Impact Area",'RAID Log'!$1:$1,0)),"")))</f>
        <v/>
      </c>
      <c r="G573" s="85" t="str">
        <f>IF($B573="","",IF(IFERROR(INDEX('RAID Log'!$1:$1048576,$B573,MATCH("Impact Rating",'RAID Log'!$1:$1,0)),"")="","",IFERROR(INDEX('RAID Log'!$1:$1048576,$B573,MATCH("Impact Rating",'RAID Log'!$1:$1,0)),"")))</f>
        <v/>
      </c>
      <c r="H573" s="85" t="str">
        <f>IF($B573="","",IF(IFERROR(INDEX('RAID Log'!$1:$1048576,$B573,MATCH("Initial Probability",'RAID Log'!$1:$1,0)),"")="","",IFERROR(INDEX('RAID Log'!$1:$1048576,$B573,MATCH("Initial Probability",'RAID Log'!$1:$1,0)),"")))</f>
        <v/>
      </c>
      <c r="I573" s="86" t="str">
        <f t="shared" si="24"/>
        <v/>
      </c>
      <c r="J573" s="85" t="str">
        <f t="shared" si="25"/>
        <v/>
      </c>
      <c r="K573" s="86" t="str">
        <f t="shared" si="26"/>
        <v/>
      </c>
      <c r="L573" s="85" t="str">
        <f>IF($B573="","",IF(IFERROR(INDEX('RAID Log'!$1:$1048576,$B573,MATCH("Status",'RAID Log'!$1:$1,0)),"")="","",IFERROR(INDEX('RAID Log'!$1:$1048576,$B573,MATCH("Status",'RAID Log'!$1:$1,0)),"")))</f>
        <v/>
      </c>
      <c r="M573" s="85" t="str">
        <f>IF($B573="","",IF(IFERROR(INDEX('RAID Log'!$1:$1048576,$B573,MATCH("RAID Owner",'RAID Log'!$1:$1,0)),"")="","",IFERROR(INDEX('RAID Log'!$1:$1048576,$B573,MATCH("RAID Owner",'RAID Log'!$1:$1,0)),"")))</f>
        <v/>
      </c>
      <c r="N573" s="87" t="str">
        <f>IF($B573="","",IF(IFERROR(INDEX('RAID Log'!$1:$1048576,$B573,MATCH("Date Raised",'RAID Log'!$1:$1,0)),"")="","",IFERROR(INDEX('RAID Log'!$1:$1048576,$B573,MATCH("Date Raised",'RAID Log'!$1:$1,0)),"")))</f>
        <v/>
      </c>
      <c r="O573" s="87" t="str">
        <f>IF($B573="","",IF(IFERROR(INDEX('RAID Log'!$1:$1048576,$B573,MATCH("Closed Date",'RAID Log'!$1:$1,0)),"")="","",IFERROR(INDEX('RAID Log'!$1:$1048576,$B573,MATCH("Closed Date",'RAID Log'!$1:$1,0)),"")))</f>
        <v/>
      </c>
      <c r="P573" s="85" t="str">
        <f>IF($B573="","",IF(IFERROR(INDEX('RAID Log'!$1:$1048576,$B573,MATCH("Mitigation Strategy",'RAID Log'!$1:$1,0)),"")="","",IFERROR(INDEX('RAID Log'!$1:$1048576,$B573,MATCH("Mitigation Strategy",'RAID Log'!$1:$1,0)),"")))</f>
        <v/>
      </c>
      <c r="Q573" s="88" t="str">
        <f>IF($B573="","",IF(IFERROR(INDEX('RAID Log'!$1:$1048576,$B573,MATCH("RAID Response/Plan",'RAID Log'!$1:$1,0)),"")="","",IFERROR(INDEX('RAID Log'!$1:$1048576,$B573,MATCH("RAID Response/Plan",'RAID Log'!$1:$1,0)),"")))</f>
        <v/>
      </c>
    </row>
    <row r="574" spans="1:17" ht="14.25" customHeight="1">
      <c r="A574" s="82" t="str">
        <f>IF($B574="","",IF(IFERROR(INDEX('RAID Log'!$1:$1048576,$B574,MATCH("RAID ID",'RAID Log'!$1:$1,0)),"")="","",IFERROR(INDEX('RAID Log'!$1:$1048576,$B574,MATCH("RAID ID",'RAID Log'!$1:$1,0)),"")))</f>
        <v/>
      </c>
      <c r="B574" s="83" t="str">
        <f>IFERROR(MATCH(ROW()-1,'RAID Log'!$S:$S,0),"")</f>
        <v/>
      </c>
      <c r="C574" s="84" t="str">
        <f>IF($B574="","",IF(IFERROR(INDEX('RAID Log'!$1:$1048576,$B574,MATCH("Description",'RAID Log'!$1:$1,0)),"")="","",IFERROR(INDEX('RAID Log'!$1:$1048576,$B574,MATCH("Description",'RAID Log'!$1:$1,0)),"")))</f>
        <v/>
      </c>
      <c r="D574" s="84" t="str">
        <f>IF($B574="","",IF(IFERROR(INDEX('RAID Log'!$1:$1048576,$B574,MATCH("Impact/Effect of the RAID",'RAID Log'!$1:$1,0)),"")="","",IFERROR(INDEX('RAID Log'!$1:$1048576,$B574,MATCH("Impact/Effect of the RAID",'RAID Log'!$1:$1,0)),"")))</f>
        <v/>
      </c>
      <c r="E574" s="85" t="str">
        <f>IF($B574="","",IF(IFERROR(INDEX('RAID Log'!$1:$1048576,$B574,MATCH("Impact Area",'RAID Log'!$1:$1,0)),"")="","",IFERROR(INDEX('RAID Log'!$1:$1048576,$B574,MATCH("Impact Area",'RAID Log'!$1:$1,0)),"")))</f>
        <v/>
      </c>
      <c r="F574" s="85" t="str">
        <f>IF($B574="","",IF(IFERROR(INDEX('RAID Log'!$1:$1048576,$B574,MATCH("Impact Area",'RAID Log'!$1:$1,0)),"")="","",IFERROR(INDEX('RAID Log'!$1:$1048576,$B574,MATCH("Impact Area",'RAID Log'!$1:$1,0)),"")))</f>
        <v/>
      </c>
      <c r="G574" s="85" t="str">
        <f>IF($B574="","",IF(IFERROR(INDEX('RAID Log'!$1:$1048576,$B574,MATCH("Impact Rating",'RAID Log'!$1:$1,0)),"")="","",IFERROR(INDEX('RAID Log'!$1:$1048576,$B574,MATCH("Impact Rating",'RAID Log'!$1:$1,0)),"")))</f>
        <v/>
      </c>
      <c r="H574" s="85" t="str">
        <f>IF($B574="","",IF(IFERROR(INDEX('RAID Log'!$1:$1048576,$B574,MATCH("Initial Probability",'RAID Log'!$1:$1,0)),"")="","",IFERROR(INDEX('RAID Log'!$1:$1048576,$B574,MATCH("Initial Probability",'RAID Log'!$1:$1,0)),"")))</f>
        <v/>
      </c>
      <c r="I574" s="86" t="str">
        <f t="shared" si="24"/>
        <v/>
      </c>
      <c r="J574" s="85" t="str">
        <f t="shared" si="25"/>
        <v/>
      </c>
      <c r="K574" s="86" t="str">
        <f t="shared" si="26"/>
        <v/>
      </c>
      <c r="L574" s="85" t="str">
        <f>IF($B574="","",IF(IFERROR(INDEX('RAID Log'!$1:$1048576,$B574,MATCH("Status",'RAID Log'!$1:$1,0)),"")="","",IFERROR(INDEX('RAID Log'!$1:$1048576,$B574,MATCH("Status",'RAID Log'!$1:$1,0)),"")))</f>
        <v/>
      </c>
      <c r="M574" s="85" t="str">
        <f>IF($B574="","",IF(IFERROR(INDEX('RAID Log'!$1:$1048576,$B574,MATCH("RAID Owner",'RAID Log'!$1:$1,0)),"")="","",IFERROR(INDEX('RAID Log'!$1:$1048576,$B574,MATCH("RAID Owner",'RAID Log'!$1:$1,0)),"")))</f>
        <v/>
      </c>
      <c r="N574" s="87" t="str">
        <f>IF($B574="","",IF(IFERROR(INDEX('RAID Log'!$1:$1048576,$B574,MATCH("Date Raised",'RAID Log'!$1:$1,0)),"")="","",IFERROR(INDEX('RAID Log'!$1:$1048576,$B574,MATCH("Date Raised",'RAID Log'!$1:$1,0)),"")))</f>
        <v/>
      </c>
      <c r="O574" s="87" t="str">
        <f>IF($B574="","",IF(IFERROR(INDEX('RAID Log'!$1:$1048576,$B574,MATCH("Closed Date",'RAID Log'!$1:$1,0)),"")="","",IFERROR(INDEX('RAID Log'!$1:$1048576,$B574,MATCH("Closed Date",'RAID Log'!$1:$1,0)),"")))</f>
        <v/>
      </c>
      <c r="P574" s="85" t="str">
        <f>IF($B574="","",IF(IFERROR(INDEX('RAID Log'!$1:$1048576,$B574,MATCH("Mitigation Strategy",'RAID Log'!$1:$1,0)),"")="","",IFERROR(INDEX('RAID Log'!$1:$1048576,$B574,MATCH("Mitigation Strategy",'RAID Log'!$1:$1,0)),"")))</f>
        <v/>
      </c>
      <c r="Q574" s="88" t="str">
        <f>IF($B574="","",IF(IFERROR(INDEX('RAID Log'!$1:$1048576,$B574,MATCH("RAID Response/Plan",'RAID Log'!$1:$1,0)),"")="","",IFERROR(INDEX('RAID Log'!$1:$1048576,$B574,MATCH("RAID Response/Plan",'RAID Log'!$1:$1,0)),"")))</f>
        <v/>
      </c>
    </row>
    <row r="575" spans="1:17" ht="14.25" customHeight="1">
      <c r="A575" s="82" t="str">
        <f>IF($B575="","",IF(IFERROR(INDEX('RAID Log'!$1:$1048576,$B575,MATCH("RAID ID",'RAID Log'!$1:$1,0)),"")="","",IFERROR(INDEX('RAID Log'!$1:$1048576,$B575,MATCH("RAID ID",'RAID Log'!$1:$1,0)),"")))</f>
        <v/>
      </c>
      <c r="B575" s="83" t="str">
        <f>IFERROR(MATCH(ROW()-1,'RAID Log'!$S:$S,0),"")</f>
        <v/>
      </c>
      <c r="C575" s="84" t="str">
        <f>IF($B575="","",IF(IFERROR(INDEX('RAID Log'!$1:$1048576,$B575,MATCH("Description",'RAID Log'!$1:$1,0)),"")="","",IFERROR(INDEX('RAID Log'!$1:$1048576,$B575,MATCH("Description",'RAID Log'!$1:$1,0)),"")))</f>
        <v/>
      </c>
      <c r="D575" s="84" t="str">
        <f>IF($B575="","",IF(IFERROR(INDEX('RAID Log'!$1:$1048576,$B575,MATCH("Impact/Effect of the RAID",'RAID Log'!$1:$1,0)),"")="","",IFERROR(INDEX('RAID Log'!$1:$1048576,$B575,MATCH("Impact/Effect of the RAID",'RAID Log'!$1:$1,0)),"")))</f>
        <v/>
      </c>
      <c r="E575" s="85" t="str">
        <f>IF($B575="","",IF(IFERROR(INDEX('RAID Log'!$1:$1048576,$B575,MATCH("Impact Area",'RAID Log'!$1:$1,0)),"")="","",IFERROR(INDEX('RAID Log'!$1:$1048576,$B575,MATCH("Impact Area",'RAID Log'!$1:$1,0)),"")))</f>
        <v/>
      </c>
      <c r="F575" s="85" t="str">
        <f>IF($B575="","",IF(IFERROR(INDEX('RAID Log'!$1:$1048576,$B575,MATCH("Impact Area",'RAID Log'!$1:$1,0)),"")="","",IFERROR(INDEX('RAID Log'!$1:$1048576,$B575,MATCH("Impact Area",'RAID Log'!$1:$1,0)),"")))</f>
        <v/>
      </c>
      <c r="G575" s="85" t="str">
        <f>IF($B575="","",IF(IFERROR(INDEX('RAID Log'!$1:$1048576,$B575,MATCH("Impact Rating",'RAID Log'!$1:$1,0)),"")="","",IFERROR(INDEX('RAID Log'!$1:$1048576,$B575,MATCH("Impact Rating",'RAID Log'!$1:$1,0)),"")))</f>
        <v/>
      </c>
      <c r="H575" s="85" t="str">
        <f>IF($B575="","",IF(IFERROR(INDEX('RAID Log'!$1:$1048576,$B575,MATCH("Initial Probability",'RAID Log'!$1:$1,0)),"")="","",IFERROR(INDEX('RAID Log'!$1:$1048576,$B575,MATCH("Initial Probability",'RAID Log'!$1:$1,0)),"")))</f>
        <v/>
      </c>
      <c r="I575" s="86" t="str">
        <f t="shared" si="24"/>
        <v/>
      </c>
      <c r="J575" s="85" t="str">
        <f t="shared" si="25"/>
        <v/>
      </c>
      <c r="K575" s="86" t="str">
        <f t="shared" si="26"/>
        <v/>
      </c>
      <c r="L575" s="85" t="str">
        <f>IF($B575="","",IF(IFERROR(INDEX('RAID Log'!$1:$1048576,$B575,MATCH("Status",'RAID Log'!$1:$1,0)),"")="","",IFERROR(INDEX('RAID Log'!$1:$1048576,$B575,MATCH("Status",'RAID Log'!$1:$1,0)),"")))</f>
        <v/>
      </c>
      <c r="M575" s="85" t="str">
        <f>IF($B575="","",IF(IFERROR(INDEX('RAID Log'!$1:$1048576,$B575,MATCH("RAID Owner",'RAID Log'!$1:$1,0)),"")="","",IFERROR(INDEX('RAID Log'!$1:$1048576,$B575,MATCH("RAID Owner",'RAID Log'!$1:$1,0)),"")))</f>
        <v/>
      </c>
      <c r="N575" s="87" t="str">
        <f>IF($B575="","",IF(IFERROR(INDEX('RAID Log'!$1:$1048576,$B575,MATCH("Date Raised",'RAID Log'!$1:$1,0)),"")="","",IFERROR(INDEX('RAID Log'!$1:$1048576,$B575,MATCH("Date Raised",'RAID Log'!$1:$1,0)),"")))</f>
        <v/>
      </c>
      <c r="O575" s="87" t="str">
        <f>IF($B575="","",IF(IFERROR(INDEX('RAID Log'!$1:$1048576,$B575,MATCH("Closed Date",'RAID Log'!$1:$1,0)),"")="","",IFERROR(INDEX('RAID Log'!$1:$1048576,$B575,MATCH("Closed Date",'RAID Log'!$1:$1,0)),"")))</f>
        <v/>
      </c>
      <c r="P575" s="85" t="str">
        <f>IF($B575="","",IF(IFERROR(INDEX('RAID Log'!$1:$1048576,$B575,MATCH("Mitigation Strategy",'RAID Log'!$1:$1,0)),"")="","",IFERROR(INDEX('RAID Log'!$1:$1048576,$B575,MATCH("Mitigation Strategy",'RAID Log'!$1:$1,0)),"")))</f>
        <v/>
      </c>
      <c r="Q575" s="88" t="str">
        <f>IF($B575="","",IF(IFERROR(INDEX('RAID Log'!$1:$1048576,$B575,MATCH("RAID Response/Plan",'RAID Log'!$1:$1,0)),"")="","",IFERROR(INDEX('RAID Log'!$1:$1048576,$B575,MATCH("RAID Response/Plan",'RAID Log'!$1:$1,0)),"")))</f>
        <v/>
      </c>
    </row>
    <row r="576" spans="1:17" ht="14.25" customHeight="1">
      <c r="A576" s="82" t="str">
        <f>IF($B576="","",IF(IFERROR(INDEX('RAID Log'!$1:$1048576,$B576,MATCH("RAID ID",'RAID Log'!$1:$1,0)),"")="","",IFERROR(INDEX('RAID Log'!$1:$1048576,$B576,MATCH("RAID ID",'RAID Log'!$1:$1,0)),"")))</f>
        <v/>
      </c>
      <c r="B576" s="83" t="str">
        <f>IFERROR(MATCH(ROW()-1,'RAID Log'!$S:$S,0),"")</f>
        <v/>
      </c>
      <c r="C576" s="84" t="str">
        <f>IF($B576="","",IF(IFERROR(INDEX('RAID Log'!$1:$1048576,$B576,MATCH("Description",'RAID Log'!$1:$1,0)),"")="","",IFERROR(INDEX('RAID Log'!$1:$1048576,$B576,MATCH("Description",'RAID Log'!$1:$1,0)),"")))</f>
        <v/>
      </c>
      <c r="D576" s="84" t="str">
        <f>IF($B576="","",IF(IFERROR(INDEX('RAID Log'!$1:$1048576,$B576,MATCH("Impact/Effect of the RAID",'RAID Log'!$1:$1,0)),"")="","",IFERROR(INDEX('RAID Log'!$1:$1048576,$B576,MATCH("Impact/Effect of the RAID",'RAID Log'!$1:$1,0)),"")))</f>
        <v/>
      </c>
      <c r="E576" s="85" t="str">
        <f>IF($B576="","",IF(IFERROR(INDEX('RAID Log'!$1:$1048576,$B576,MATCH("Impact Area",'RAID Log'!$1:$1,0)),"")="","",IFERROR(INDEX('RAID Log'!$1:$1048576,$B576,MATCH("Impact Area",'RAID Log'!$1:$1,0)),"")))</f>
        <v/>
      </c>
      <c r="F576" s="85" t="str">
        <f>IF($B576="","",IF(IFERROR(INDEX('RAID Log'!$1:$1048576,$B576,MATCH("Impact Area",'RAID Log'!$1:$1,0)),"")="","",IFERROR(INDEX('RAID Log'!$1:$1048576,$B576,MATCH("Impact Area",'RAID Log'!$1:$1,0)),"")))</f>
        <v/>
      </c>
      <c r="G576" s="85" t="str">
        <f>IF($B576="","",IF(IFERROR(INDEX('RAID Log'!$1:$1048576,$B576,MATCH("Impact Rating",'RAID Log'!$1:$1,0)),"")="","",IFERROR(INDEX('RAID Log'!$1:$1048576,$B576,MATCH("Impact Rating",'RAID Log'!$1:$1,0)),"")))</f>
        <v/>
      </c>
      <c r="H576" s="85" t="str">
        <f>IF($B576="","",IF(IFERROR(INDEX('RAID Log'!$1:$1048576,$B576,MATCH("Initial Probability",'RAID Log'!$1:$1,0)),"")="","",IFERROR(INDEX('RAID Log'!$1:$1048576,$B576,MATCH("Initial Probability",'RAID Log'!$1:$1,0)),"")))</f>
        <v/>
      </c>
      <c r="I576" s="86" t="str">
        <f t="shared" si="24"/>
        <v/>
      </c>
      <c r="J576" s="85" t="str">
        <f t="shared" si="25"/>
        <v/>
      </c>
      <c r="K576" s="86" t="str">
        <f t="shared" si="26"/>
        <v/>
      </c>
      <c r="L576" s="85" t="str">
        <f>IF($B576="","",IF(IFERROR(INDEX('RAID Log'!$1:$1048576,$B576,MATCH("Status",'RAID Log'!$1:$1,0)),"")="","",IFERROR(INDEX('RAID Log'!$1:$1048576,$B576,MATCH("Status",'RAID Log'!$1:$1,0)),"")))</f>
        <v/>
      </c>
      <c r="M576" s="85" t="str">
        <f>IF($B576="","",IF(IFERROR(INDEX('RAID Log'!$1:$1048576,$B576,MATCH("RAID Owner",'RAID Log'!$1:$1,0)),"")="","",IFERROR(INDEX('RAID Log'!$1:$1048576,$B576,MATCH("RAID Owner",'RAID Log'!$1:$1,0)),"")))</f>
        <v/>
      </c>
      <c r="N576" s="87" t="str">
        <f>IF($B576="","",IF(IFERROR(INDEX('RAID Log'!$1:$1048576,$B576,MATCH("Date Raised",'RAID Log'!$1:$1,0)),"")="","",IFERROR(INDEX('RAID Log'!$1:$1048576,$B576,MATCH("Date Raised",'RAID Log'!$1:$1,0)),"")))</f>
        <v/>
      </c>
      <c r="O576" s="87" t="str">
        <f>IF($B576="","",IF(IFERROR(INDEX('RAID Log'!$1:$1048576,$B576,MATCH("Closed Date",'RAID Log'!$1:$1,0)),"")="","",IFERROR(INDEX('RAID Log'!$1:$1048576,$B576,MATCH("Closed Date",'RAID Log'!$1:$1,0)),"")))</f>
        <v/>
      </c>
      <c r="P576" s="85" t="str">
        <f>IF($B576="","",IF(IFERROR(INDEX('RAID Log'!$1:$1048576,$B576,MATCH("Mitigation Strategy",'RAID Log'!$1:$1,0)),"")="","",IFERROR(INDEX('RAID Log'!$1:$1048576,$B576,MATCH("Mitigation Strategy",'RAID Log'!$1:$1,0)),"")))</f>
        <v/>
      </c>
      <c r="Q576" s="88" t="str">
        <f>IF($B576="","",IF(IFERROR(INDEX('RAID Log'!$1:$1048576,$B576,MATCH("RAID Response/Plan",'RAID Log'!$1:$1,0)),"")="","",IFERROR(INDEX('RAID Log'!$1:$1048576,$B576,MATCH("RAID Response/Plan",'RAID Log'!$1:$1,0)),"")))</f>
        <v/>
      </c>
    </row>
    <row r="577" spans="1:17" ht="14.25" customHeight="1">
      <c r="A577" s="82" t="str">
        <f>IF($B577="","",IF(IFERROR(INDEX('RAID Log'!$1:$1048576,$B577,MATCH("RAID ID",'RAID Log'!$1:$1,0)),"")="","",IFERROR(INDEX('RAID Log'!$1:$1048576,$B577,MATCH("RAID ID",'RAID Log'!$1:$1,0)),"")))</f>
        <v/>
      </c>
      <c r="B577" s="83" t="str">
        <f>IFERROR(MATCH(ROW()-1,'RAID Log'!$S:$S,0),"")</f>
        <v/>
      </c>
      <c r="C577" s="84" t="str">
        <f>IF($B577="","",IF(IFERROR(INDEX('RAID Log'!$1:$1048576,$B577,MATCH("Description",'RAID Log'!$1:$1,0)),"")="","",IFERROR(INDEX('RAID Log'!$1:$1048576,$B577,MATCH("Description",'RAID Log'!$1:$1,0)),"")))</f>
        <v/>
      </c>
      <c r="D577" s="84" t="str">
        <f>IF($B577="","",IF(IFERROR(INDEX('RAID Log'!$1:$1048576,$B577,MATCH("Impact/Effect of the RAID",'RAID Log'!$1:$1,0)),"")="","",IFERROR(INDEX('RAID Log'!$1:$1048576,$B577,MATCH("Impact/Effect of the RAID",'RAID Log'!$1:$1,0)),"")))</f>
        <v/>
      </c>
      <c r="E577" s="85" t="str">
        <f>IF($B577="","",IF(IFERROR(INDEX('RAID Log'!$1:$1048576,$B577,MATCH("Impact Area",'RAID Log'!$1:$1,0)),"")="","",IFERROR(INDEX('RAID Log'!$1:$1048576,$B577,MATCH("Impact Area",'RAID Log'!$1:$1,0)),"")))</f>
        <v/>
      </c>
      <c r="F577" s="85" t="str">
        <f>IF($B577="","",IF(IFERROR(INDEX('RAID Log'!$1:$1048576,$B577,MATCH("Impact Area",'RAID Log'!$1:$1,0)),"")="","",IFERROR(INDEX('RAID Log'!$1:$1048576,$B577,MATCH("Impact Area",'RAID Log'!$1:$1,0)),"")))</f>
        <v/>
      </c>
      <c r="G577" s="85" t="str">
        <f>IF($B577="","",IF(IFERROR(INDEX('RAID Log'!$1:$1048576,$B577,MATCH("Impact Rating",'RAID Log'!$1:$1,0)),"")="","",IFERROR(INDEX('RAID Log'!$1:$1048576,$B577,MATCH("Impact Rating",'RAID Log'!$1:$1,0)),"")))</f>
        <v/>
      </c>
      <c r="H577" s="85" t="str">
        <f>IF($B577="","",IF(IFERROR(INDEX('RAID Log'!$1:$1048576,$B577,MATCH("Initial Probability",'RAID Log'!$1:$1,0)),"")="","",IFERROR(INDEX('RAID Log'!$1:$1048576,$B577,MATCH("Initial Probability",'RAID Log'!$1:$1,0)),"")))</f>
        <v/>
      </c>
      <c r="I577" s="86" t="str">
        <f t="shared" si="24"/>
        <v/>
      </c>
      <c r="J577" s="85" t="str">
        <f t="shared" si="25"/>
        <v/>
      </c>
      <c r="K577" s="86" t="str">
        <f t="shared" si="26"/>
        <v/>
      </c>
      <c r="L577" s="85" t="str">
        <f>IF($B577="","",IF(IFERROR(INDEX('RAID Log'!$1:$1048576,$B577,MATCH("Status",'RAID Log'!$1:$1,0)),"")="","",IFERROR(INDEX('RAID Log'!$1:$1048576,$B577,MATCH("Status",'RAID Log'!$1:$1,0)),"")))</f>
        <v/>
      </c>
      <c r="M577" s="85" t="str">
        <f>IF($B577="","",IF(IFERROR(INDEX('RAID Log'!$1:$1048576,$B577,MATCH("RAID Owner",'RAID Log'!$1:$1,0)),"")="","",IFERROR(INDEX('RAID Log'!$1:$1048576,$B577,MATCH("RAID Owner",'RAID Log'!$1:$1,0)),"")))</f>
        <v/>
      </c>
      <c r="N577" s="87" t="str">
        <f>IF($B577="","",IF(IFERROR(INDEX('RAID Log'!$1:$1048576,$B577,MATCH("Date Raised",'RAID Log'!$1:$1,0)),"")="","",IFERROR(INDEX('RAID Log'!$1:$1048576,$B577,MATCH("Date Raised",'RAID Log'!$1:$1,0)),"")))</f>
        <v/>
      </c>
      <c r="O577" s="87" t="str">
        <f>IF($B577="","",IF(IFERROR(INDEX('RAID Log'!$1:$1048576,$B577,MATCH("Closed Date",'RAID Log'!$1:$1,0)),"")="","",IFERROR(INDEX('RAID Log'!$1:$1048576,$B577,MATCH("Closed Date",'RAID Log'!$1:$1,0)),"")))</f>
        <v/>
      </c>
      <c r="P577" s="85" t="str">
        <f>IF($B577="","",IF(IFERROR(INDEX('RAID Log'!$1:$1048576,$B577,MATCH("Mitigation Strategy",'RAID Log'!$1:$1,0)),"")="","",IFERROR(INDEX('RAID Log'!$1:$1048576,$B577,MATCH("Mitigation Strategy",'RAID Log'!$1:$1,0)),"")))</f>
        <v/>
      </c>
      <c r="Q577" s="88" t="str">
        <f>IF($B577="","",IF(IFERROR(INDEX('RAID Log'!$1:$1048576,$B577,MATCH("RAID Response/Plan",'RAID Log'!$1:$1,0)),"")="","",IFERROR(INDEX('RAID Log'!$1:$1048576,$B577,MATCH("RAID Response/Plan",'RAID Log'!$1:$1,0)),"")))</f>
        <v/>
      </c>
    </row>
    <row r="578" spans="1:17" ht="14.25" customHeight="1">
      <c r="A578" s="82" t="str">
        <f>IF($B578="","",IF(IFERROR(INDEX('RAID Log'!$1:$1048576,$B578,MATCH("RAID ID",'RAID Log'!$1:$1,0)),"")="","",IFERROR(INDEX('RAID Log'!$1:$1048576,$B578,MATCH("RAID ID",'RAID Log'!$1:$1,0)),"")))</f>
        <v/>
      </c>
      <c r="B578" s="83" t="str">
        <f>IFERROR(MATCH(ROW()-1,'RAID Log'!$S:$S,0),"")</f>
        <v/>
      </c>
      <c r="C578" s="84" t="str">
        <f>IF($B578="","",IF(IFERROR(INDEX('RAID Log'!$1:$1048576,$B578,MATCH("Description",'RAID Log'!$1:$1,0)),"")="","",IFERROR(INDEX('RAID Log'!$1:$1048576,$B578,MATCH("Description",'RAID Log'!$1:$1,0)),"")))</f>
        <v/>
      </c>
      <c r="D578" s="84" t="str">
        <f>IF($B578="","",IF(IFERROR(INDEX('RAID Log'!$1:$1048576,$B578,MATCH("Impact/Effect of the RAID",'RAID Log'!$1:$1,0)),"")="","",IFERROR(INDEX('RAID Log'!$1:$1048576,$B578,MATCH("Impact/Effect of the RAID",'RAID Log'!$1:$1,0)),"")))</f>
        <v/>
      </c>
      <c r="E578" s="85" t="str">
        <f>IF($B578="","",IF(IFERROR(INDEX('RAID Log'!$1:$1048576,$B578,MATCH("Impact Area",'RAID Log'!$1:$1,0)),"")="","",IFERROR(INDEX('RAID Log'!$1:$1048576,$B578,MATCH("Impact Area",'RAID Log'!$1:$1,0)),"")))</f>
        <v/>
      </c>
      <c r="F578" s="85" t="str">
        <f>IF($B578="","",IF(IFERROR(INDEX('RAID Log'!$1:$1048576,$B578,MATCH("Impact Area",'RAID Log'!$1:$1,0)),"")="","",IFERROR(INDEX('RAID Log'!$1:$1048576,$B578,MATCH("Impact Area",'RAID Log'!$1:$1,0)),"")))</f>
        <v/>
      </c>
      <c r="G578" s="85" t="str">
        <f>IF($B578="","",IF(IFERROR(INDEX('RAID Log'!$1:$1048576,$B578,MATCH("Impact Rating",'RAID Log'!$1:$1,0)),"")="","",IFERROR(INDEX('RAID Log'!$1:$1048576,$B578,MATCH("Impact Rating",'RAID Log'!$1:$1,0)),"")))</f>
        <v/>
      </c>
      <c r="H578" s="85" t="str">
        <f>IF($B578="","",IF(IFERROR(INDEX('RAID Log'!$1:$1048576,$B578,MATCH("Initial Probability",'RAID Log'!$1:$1,0)),"")="","",IFERROR(INDEX('RAID Log'!$1:$1048576,$B578,MATCH("Initial Probability",'RAID Log'!$1:$1,0)),"")))</f>
        <v/>
      </c>
      <c r="I578" s="86" t="str">
        <f t="shared" ref="I578:I641" si="27">IF($B578="","",(IF($G578="Severe",25,IF($G578="Major",20,IF($G578="Moderate",15,IF($G578="Minor",10,IF($G578="Insignificant",5,0))))))*IF($H578="Very High",1,IF($H578="High",0.8,IF($H578="Average",0.6,IF($H578="Low",0.4,IF($H578="Very Low",0.2,0))))))</f>
        <v/>
      </c>
      <c r="J578" s="85" t="str">
        <f t="shared" ref="J578:J641" si="28">IF($B578="","",IF($I578&gt;20,"Critical",IF($I578&gt;15,"High",IF($I578&gt;8,"Moderate",IF($I578&gt;3,"Tolerable","Negligible")))))</f>
        <v/>
      </c>
      <c r="K578" s="86" t="str">
        <f t="shared" ref="K578:K641" si="29">IF(OR($B578="",UPPER($L578)="CLOSED"),"",COUNTIFS($L$2:$L$880,"&lt;&gt;Closed",$I$2:$I$880,"&gt;"&amp;$I578)+COUNTIFS($L$2:$L$880,"&lt;&gt;Closed",$I$2:$I$880,$I578,$N$2:$N$880,"&lt;"&amp;$N578)+COUNTIFS($L$2:$L$880,"&lt;&gt;Closed",$I$2:$I$880,$I578,$N$2:$N$880,$N578,$B$2:$B$880,"&lt;"&amp;$B578)+1)</f>
        <v/>
      </c>
      <c r="L578" s="85" t="str">
        <f>IF($B578="","",IF(IFERROR(INDEX('RAID Log'!$1:$1048576,$B578,MATCH("Status",'RAID Log'!$1:$1,0)),"")="","",IFERROR(INDEX('RAID Log'!$1:$1048576,$B578,MATCH("Status",'RAID Log'!$1:$1,0)),"")))</f>
        <v/>
      </c>
      <c r="M578" s="85" t="str">
        <f>IF($B578="","",IF(IFERROR(INDEX('RAID Log'!$1:$1048576,$B578,MATCH("RAID Owner",'RAID Log'!$1:$1,0)),"")="","",IFERROR(INDEX('RAID Log'!$1:$1048576,$B578,MATCH("RAID Owner",'RAID Log'!$1:$1,0)),"")))</f>
        <v/>
      </c>
      <c r="N578" s="87" t="str">
        <f>IF($B578="","",IF(IFERROR(INDEX('RAID Log'!$1:$1048576,$B578,MATCH("Date Raised",'RAID Log'!$1:$1,0)),"")="","",IFERROR(INDEX('RAID Log'!$1:$1048576,$B578,MATCH("Date Raised",'RAID Log'!$1:$1,0)),"")))</f>
        <v/>
      </c>
      <c r="O578" s="87" t="str">
        <f>IF($B578="","",IF(IFERROR(INDEX('RAID Log'!$1:$1048576,$B578,MATCH("Closed Date",'RAID Log'!$1:$1,0)),"")="","",IFERROR(INDEX('RAID Log'!$1:$1048576,$B578,MATCH("Closed Date",'RAID Log'!$1:$1,0)),"")))</f>
        <v/>
      </c>
      <c r="P578" s="85" t="str">
        <f>IF($B578="","",IF(IFERROR(INDEX('RAID Log'!$1:$1048576,$B578,MATCH("Mitigation Strategy",'RAID Log'!$1:$1,0)),"")="","",IFERROR(INDEX('RAID Log'!$1:$1048576,$B578,MATCH("Mitigation Strategy",'RAID Log'!$1:$1,0)),"")))</f>
        <v/>
      </c>
      <c r="Q578" s="88" t="str">
        <f>IF($B578="","",IF(IFERROR(INDEX('RAID Log'!$1:$1048576,$B578,MATCH("RAID Response/Plan",'RAID Log'!$1:$1,0)),"")="","",IFERROR(INDEX('RAID Log'!$1:$1048576,$B578,MATCH("RAID Response/Plan",'RAID Log'!$1:$1,0)),"")))</f>
        <v/>
      </c>
    </row>
    <row r="579" spans="1:17" ht="14.25" customHeight="1">
      <c r="A579" s="82" t="str">
        <f>IF($B579="","",IF(IFERROR(INDEX('RAID Log'!$1:$1048576,$B579,MATCH("RAID ID",'RAID Log'!$1:$1,0)),"")="","",IFERROR(INDEX('RAID Log'!$1:$1048576,$B579,MATCH("RAID ID",'RAID Log'!$1:$1,0)),"")))</f>
        <v/>
      </c>
      <c r="B579" s="83" t="str">
        <f>IFERROR(MATCH(ROW()-1,'RAID Log'!$S:$S,0),"")</f>
        <v/>
      </c>
      <c r="C579" s="84" t="str">
        <f>IF($B579="","",IF(IFERROR(INDEX('RAID Log'!$1:$1048576,$B579,MATCH("Description",'RAID Log'!$1:$1,0)),"")="","",IFERROR(INDEX('RAID Log'!$1:$1048576,$B579,MATCH("Description",'RAID Log'!$1:$1,0)),"")))</f>
        <v/>
      </c>
      <c r="D579" s="84" t="str">
        <f>IF($B579="","",IF(IFERROR(INDEX('RAID Log'!$1:$1048576,$B579,MATCH("Impact/Effect of the RAID",'RAID Log'!$1:$1,0)),"")="","",IFERROR(INDEX('RAID Log'!$1:$1048576,$B579,MATCH("Impact/Effect of the RAID",'RAID Log'!$1:$1,0)),"")))</f>
        <v/>
      </c>
      <c r="E579" s="85" t="str">
        <f>IF($B579="","",IF(IFERROR(INDEX('RAID Log'!$1:$1048576,$B579,MATCH("Impact Area",'RAID Log'!$1:$1,0)),"")="","",IFERROR(INDEX('RAID Log'!$1:$1048576,$B579,MATCH("Impact Area",'RAID Log'!$1:$1,0)),"")))</f>
        <v/>
      </c>
      <c r="F579" s="85" t="str">
        <f>IF($B579="","",IF(IFERROR(INDEX('RAID Log'!$1:$1048576,$B579,MATCH("Impact Area",'RAID Log'!$1:$1,0)),"")="","",IFERROR(INDEX('RAID Log'!$1:$1048576,$B579,MATCH("Impact Area",'RAID Log'!$1:$1,0)),"")))</f>
        <v/>
      </c>
      <c r="G579" s="85" t="str">
        <f>IF($B579="","",IF(IFERROR(INDEX('RAID Log'!$1:$1048576,$B579,MATCH("Impact Rating",'RAID Log'!$1:$1,0)),"")="","",IFERROR(INDEX('RAID Log'!$1:$1048576,$B579,MATCH("Impact Rating",'RAID Log'!$1:$1,0)),"")))</f>
        <v/>
      </c>
      <c r="H579" s="85" t="str">
        <f>IF($B579="","",IF(IFERROR(INDEX('RAID Log'!$1:$1048576,$B579,MATCH("Initial Probability",'RAID Log'!$1:$1,0)),"")="","",IFERROR(INDEX('RAID Log'!$1:$1048576,$B579,MATCH("Initial Probability",'RAID Log'!$1:$1,0)),"")))</f>
        <v/>
      </c>
      <c r="I579" s="86" t="str">
        <f t="shared" si="27"/>
        <v/>
      </c>
      <c r="J579" s="85" t="str">
        <f t="shared" si="28"/>
        <v/>
      </c>
      <c r="K579" s="86" t="str">
        <f t="shared" si="29"/>
        <v/>
      </c>
      <c r="L579" s="85" t="str">
        <f>IF($B579="","",IF(IFERROR(INDEX('RAID Log'!$1:$1048576,$B579,MATCH("Status",'RAID Log'!$1:$1,0)),"")="","",IFERROR(INDEX('RAID Log'!$1:$1048576,$B579,MATCH("Status",'RAID Log'!$1:$1,0)),"")))</f>
        <v/>
      </c>
      <c r="M579" s="85" t="str">
        <f>IF($B579="","",IF(IFERROR(INDEX('RAID Log'!$1:$1048576,$B579,MATCH("RAID Owner",'RAID Log'!$1:$1,0)),"")="","",IFERROR(INDEX('RAID Log'!$1:$1048576,$B579,MATCH("RAID Owner",'RAID Log'!$1:$1,0)),"")))</f>
        <v/>
      </c>
      <c r="N579" s="87" t="str">
        <f>IF($B579="","",IF(IFERROR(INDEX('RAID Log'!$1:$1048576,$B579,MATCH("Date Raised",'RAID Log'!$1:$1,0)),"")="","",IFERROR(INDEX('RAID Log'!$1:$1048576,$B579,MATCH("Date Raised",'RAID Log'!$1:$1,0)),"")))</f>
        <v/>
      </c>
      <c r="O579" s="87" t="str">
        <f>IF($B579="","",IF(IFERROR(INDEX('RAID Log'!$1:$1048576,$B579,MATCH("Closed Date",'RAID Log'!$1:$1,0)),"")="","",IFERROR(INDEX('RAID Log'!$1:$1048576,$B579,MATCH("Closed Date",'RAID Log'!$1:$1,0)),"")))</f>
        <v/>
      </c>
      <c r="P579" s="85" t="str">
        <f>IF($B579="","",IF(IFERROR(INDEX('RAID Log'!$1:$1048576,$B579,MATCH("Mitigation Strategy",'RAID Log'!$1:$1,0)),"")="","",IFERROR(INDEX('RAID Log'!$1:$1048576,$B579,MATCH("Mitigation Strategy",'RAID Log'!$1:$1,0)),"")))</f>
        <v/>
      </c>
      <c r="Q579" s="88" t="str">
        <f>IF($B579="","",IF(IFERROR(INDEX('RAID Log'!$1:$1048576,$B579,MATCH("RAID Response/Plan",'RAID Log'!$1:$1,0)),"")="","",IFERROR(INDEX('RAID Log'!$1:$1048576,$B579,MATCH("RAID Response/Plan",'RAID Log'!$1:$1,0)),"")))</f>
        <v/>
      </c>
    </row>
    <row r="580" spans="1:17" ht="14.25" customHeight="1">
      <c r="A580" s="82" t="str">
        <f>IF($B580="","",IF(IFERROR(INDEX('RAID Log'!$1:$1048576,$B580,MATCH("RAID ID",'RAID Log'!$1:$1,0)),"")="","",IFERROR(INDEX('RAID Log'!$1:$1048576,$B580,MATCH("RAID ID",'RAID Log'!$1:$1,0)),"")))</f>
        <v/>
      </c>
      <c r="B580" s="83" t="str">
        <f>IFERROR(MATCH(ROW()-1,'RAID Log'!$S:$S,0),"")</f>
        <v/>
      </c>
      <c r="C580" s="84" t="str">
        <f>IF($B580="","",IF(IFERROR(INDEX('RAID Log'!$1:$1048576,$B580,MATCH("Description",'RAID Log'!$1:$1,0)),"")="","",IFERROR(INDEX('RAID Log'!$1:$1048576,$B580,MATCH("Description",'RAID Log'!$1:$1,0)),"")))</f>
        <v/>
      </c>
      <c r="D580" s="84" t="str">
        <f>IF($B580="","",IF(IFERROR(INDEX('RAID Log'!$1:$1048576,$B580,MATCH("Impact/Effect of the RAID",'RAID Log'!$1:$1,0)),"")="","",IFERROR(INDEX('RAID Log'!$1:$1048576,$B580,MATCH("Impact/Effect of the RAID",'RAID Log'!$1:$1,0)),"")))</f>
        <v/>
      </c>
      <c r="E580" s="85" t="str">
        <f>IF($B580="","",IF(IFERROR(INDEX('RAID Log'!$1:$1048576,$B580,MATCH("Impact Area",'RAID Log'!$1:$1,0)),"")="","",IFERROR(INDEX('RAID Log'!$1:$1048576,$B580,MATCH("Impact Area",'RAID Log'!$1:$1,0)),"")))</f>
        <v/>
      </c>
      <c r="F580" s="85" t="str">
        <f>IF($B580="","",IF(IFERROR(INDEX('RAID Log'!$1:$1048576,$B580,MATCH("Impact Area",'RAID Log'!$1:$1,0)),"")="","",IFERROR(INDEX('RAID Log'!$1:$1048576,$B580,MATCH("Impact Area",'RAID Log'!$1:$1,0)),"")))</f>
        <v/>
      </c>
      <c r="G580" s="85" t="str">
        <f>IF($B580="","",IF(IFERROR(INDEX('RAID Log'!$1:$1048576,$B580,MATCH("Impact Rating",'RAID Log'!$1:$1,0)),"")="","",IFERROR(INDEX('RAID Log'!$1:$1048576,$B580,MATCH("Impact Rating",'RAID Log'!$1:$1,0)),"")))</f>
        <v/>
      </c>
      <c r="H580" s="85" t="str">
        <f>IF($B580="","",IF(IFERROR(INDEX('RAID Log'!$1:$1048576,$B580,MATCH("Initial Probability",'RAID Log'!$1:$1,0)),"")="","",IFERROR(INDEX('RAID Log'!$1:$1048576,$B580,MATCH("Initial Probability",'RAID Log'!$1:$1,0)),"")))</f>
        <v/>
      </c>
      <c r="I580" s="86" t="str">
        <f t="shared" si="27"/>
        <v/>
      </c>
      <c r="J580" s="85" t="str">
        <f t="shared" si="28"/>
        <v/>
      </c>
      <c r="K580" s="86" t="str">
        <f t="shared" si="29"/>
        <v/>
      </c>
      <c r="L580" s="85" t="str">
        <f>IF($B580="","",IF(IFERROR(INDEX('RAID Log'!$1:$1048576,$B580,MATCH("Status",'RAID Log'!$1:$1,0)),"")="","",IFERROR(INDEX('RAID Log'!$1:$1048576,$B580,MATCH("Status",'RAID Log'!$1:$1,0)),"")))</f>
        <v/>
      </c>
      <c r="M580" s="85" t="str">
        <f>IF($B580="","",IF(IFERROR(INDEX('RAID Log'!$1:$1048576,$B580,MATCH("RAID Owner",'RAID Log'!$1:$1,0)),"")="","",IFERROR(INDEX('RAID Log'!$1:$1048576,$B580,MATCH("RAID Owner",'RAID Log'!$1:$1,0)),"")))</f>
        <v/>
      </c>
      <c r="N580" s="87" t="str">
        <f>IF($B580="","",IF(IFERROR(INDEX('RAID Log'!$1:$1048576,$B580,MATCH("Date Raised",'RAID Log'!$1:$1,0)),"")="","",IFERROR(INDEX('RAID Log'!$1:$1048576,$B580,MATCH("Date Raised",'RAID Log'!$1:$1,0)),"")))</f>
        <v/>
      </c>
      <c r="O580" s="87" t="str">
        <f>IF($B580="","",IF(IFERROR(INDEX('RAID Log'!$1:$1048576,$B580,MATCH("Closed Date",'RAID Log'!$1:$1,0)),"")="","",IFERROR(INDEX('RAID Log'!$1:$1048576,$B580,MATCH("Closed Date",'RAID Log'!$1:$1,0)),"")))</f>
        <v/>
      </c>
      <c r="P580" s="85" t="str">
        <f>IF($B580="","",IF(IFERROR(INDEX('RAID Log'!$1:$1048576,$B580,MATCH("Mitigation Strategy",'RAID Log'!$1:$1,0)),"")="","",IFERROR(INDEX('RAID Log'!$1:$1048576,$B580,MATCH("Mitigation Strategy",'RAID Log'!$1:$1,0)),"")))</f>
        <v/>
      </c>
      <c r="Q580" s="88" t="str">
        <f>IF($B580="","",IF(IFERROR(INDEX('RAID Log'!$1:$1048576,$B580,MATCH("RAID Response/Plan",'RAID Log'!$1:$1,0)),"")="","",IFERROR(INDEX('RAID Log'!$1:$1048576,$B580,MATCH("RAID Response/Plan",'RAID Log'!$1:$1,0)),"")))</f>
        <v/>
      </c>
    </row>
    <row r="581" spans="1:17" ht="14.25" customHeight="1">
      <c r="A581" s="82" t="str">
        <f>IF($B581="","",IF(IFERROR(INDEX('RAID Log'!$1:$1048576,$B581,MATCH("RAID ID",'RAID Log'!$1:$1,0)),"")="","",IFERROR(INDEX('RAID Log'!$1:$1048576,$B581,MATCH("RAID ID",'RAID Log'!$1:$1,0)),"")))</f>
        <v/>
      </c>
      <c r="B581" s="83" t="str">
        <f>IFERROR(MATCH(ROW()-1,'RAID Log'!$S:$S,0),"")</f>
        <v/>
      </c>
      <c r="C581" s="84" t="str">
        <f>IF($B581="","",IF(IFERROR(INDEX('RAID Log'!$1:$1048576,$B581,MATCH("Description",'RAID Log'!$1:$1,0)),"")="","",IFERROR(INDEX('RAID Log'!$1:$1048576,$B581,MATCH("Description",'RAID Log'!$1:$1,0)),"")))</f>
        <v/>
      </c>
      <c r="D581" s="84" t="str">
        <f>IF($B581="","",IF(IFERROR(INDEX('RAID Log'!$1:$1048576,$B581,MATCH("Impact/Effect of the RAID",'RAID Log'!$1:$1,0)),"")="","",IFERROR(INDEX('RAID Log'!$1:$1048576,$B581,MATCH("Impact/Effect of the RAID",'RAID Log'!$1:$1,0)),"")))</f>
        <v/>
      </c>
      <c r="E581" s="85" t="str">
        <f>IF($B581="","",IF(IFERROR(INDEX('RAID Log'!$1:$1048576,$B581,MATCH("Impact Area",'RAID Log'!$1:$1,0)),"")="","",IFERROR(INDEX('RAID Log'!$1:$1048576,$B581,MATCH("Impact Area",'RAID Log'!$1:$1,0)),"")))</f>
        <v/>
      </c>
      <c r="F581" s="85" t="str">
        <f>IF($B581="","",IF(IFERROR(INDEX('RAID Log'!$1:$1048576,$B581,MATCH("Impact Area",'RAID Log'!$1:$1,0)),"")="","",IFERROR(INDEX('RAID Log'!$1:$1048576,$B581,MATCH("Impact Area",'RAID Log'!$1:$1,0)),"")))</f>
        <v/>
      </c>
      <c r="G581" s="85" t="str">
        <f>IF($B581="","",IF(IFERROR(INDEX('RAID Log'!$1:$1048576,$B581,MATCH("Impact Rating",'RAID Log'!$1:$1,0)),"")="","",IFERROR(INDEX('RAID Log'!$1:$1048576,$B581,MATCH("Impact Rating",'RAID Log'!$1:$1,0)),"")))</f>
        <v/>
      </c>
      <c r="H581" s="85" t="str">
        <f>IF($B581="","",IF(IFERROR(INDEX('RAID Log'!$1:$1048576,$B581,MATCH("Initial Probability",'RAID Log'!$1:$1,0)),"")="","",IFERROR(INDEX('RAID Log'!$1:$1048576,$B581,MATCH("Initial Probability",'RAID Log'!$1:$1,0)),"")))</f>
        <v/>
      </c>
      <c r="I581" s="86" t="str">
        <f t="shared" si="27"/>
        <v/>
      </c>
      <c r="J581" s="85" t="str">
        <f t="shared" si="28"/>
        <v/>
      </c>
      <c r="K581" s="86" t="str">
        <f t="shared" si="29"/>
        <v/>
      </c>
      <c r="L581" s="85" t="str">
        <f>IF($B581="","",IF(IFERROR(INDEX('RAID Log'!$1:$1048576,$B581,MATCH("Status",'RAID Log'!$1:$1,0)),"")="","",IFERROR(INDEX('RAID Log'!$1:$1048576,$B581,MATCH("Status",'RAID Log'!$1:$1,0)),"")))</f>
        <v/>
      </c>
      <c r="M581" s="85" t="str">
        <f>IF($B581="","",IF(IFERROR(INDEX('RAID Log'!$1:$1048576,$B581,MATCH("RAID Owner",'RAID Log'!$1:$1,0)),"")="","",IFERROR(INDEX('RAID Log'!$1:$1048576,$B581,MATCH("RAID Owner",'RAID Log'!$1:$1,0)),"")))</f>
        <v/>
      </c>
      <c r="N581" s="87" t="str">
        <f>IF($B581="","",IF(IFERROR(INDEX('RAID Log'!$1:$1048576,$B581,MATCH("Date Raised",'RAID Log'!$1:$1,0)),"")="","",IFERROR(INDEX('RAID Log'!$1:$1048576,$B581,MATCH("Date Raised",'RAID Log'!$1:$1,0)),"")))</f>
        <v/>
      </c>
      <c r="O581" s="87" t="str">
        <f>IF($B581="","",IF(IFERROR(INDEX('RAID Log'!$1:$1048576,$B581,MATCH("Closed Date",'RAID Log'!$1:$1,0)),"")="","",IFERROR(INDEX('RAID Log'!$1:$1048576,$B581,MATCH("Closed Date",'RAID Log'!$1:$1,0)),"")))</f>
        <v/>
      </c>
      <c r="P581" s="85" t="str">
        <f>IF($B581="","",IF(IFERROR(INDEX('RAID Log'!$1:$1048576,$B581,MATCH("Mitigation Strategy",'RAID Log'!$1:$1,0)),"")="","",IFERROR(INDEX('RAID Log'!$1:$1048576,$B581,MATCH("Mitigation Strategy",'RAID Log'!$1:$1,0)),"")))</f>
        <v/>
      </c>
      <c r="Q581" s="88" t="str">
        <f>IF($B581="","",IF(IFERROR(INDEX('RAID Log'!$1:$1048576,$B581,MATCH("RAID Response/Plan",'RAID Log'!$1:$1,0)),"")="","",IFERROR(INDEX('RAID Log'!$1:$1048576,$B581,MATCH("RAID Response/Plan",'RAID Log'!$1:$1,0)),"")))</f>
        <v/>
      </c>
    </row>
    <row r="582" spans="1:17" ht="14.25" customHeight="1">
      <c r="A582" s="82" t="str">
        <f>IF($B582="","",IF(IFERROR(INDEX('RAID Log'!$1:$1048576,$B582,MATCH("RAID ID",'RAID Log'!$1:$1,0)),"")="","",IFERROR(INDEX('RAID Log'!$1:$1048576,$B582,MATCH("RAID ID",'RAID Log'!$1:$1,0)),"")))</f>
        <v/>
      </c>
      <c r="B582" s="83" t="str">
        <f>IFERROR(MATCH(ROW()-1,'RAID Log'!$S:$S,0),"")</f>
        <v/>
      </c>
      <c r="C582" s="84" t="str">
        <f>IF($B582="","",IF(IFERROR(INDEX('RAID Log'!$1:$1048576,$B582,MATCH("Description",'RAID Log'!$1:$1,0)),"")="","",IFERROR(INDEX('RAID Log'!$1:$1048576,$B582,MATCH("Description",'RAID Log'!$1:$1,0)),"")))</f>
        <v/>
      </c>
      <c r="D582" s="84" t="str">
        <f>IF($B582="","",IF(IFERROR(INDEX('RAID Log'!$1:$1048576,$B582,MATCH("Impact/Effect of the RAID",'RAID Log'!$1:$1,0)),"")="","",IFERROR(INDEX('RAID Log'!$1:$1048576,$B582,MATCH("Impact/Effect of the RAID",'RAID Log'!$1:$1,0)),"")))</f>
        <v/>
      </c>
      <c r="E582" s="85" t="str">
        <f>IF($B582="","",IF(IFERROR(INDEX('RAID Log'!$1:$1048576,$B582,MATCH("Impact Area",'RAID Log'!$1:$1,0)),"")="","",IFERROR(INDEX('RAID Log'!$1:$1048576,$B582,MATCH("Impact Area",'RAID Log'!$1:$1,0)),"")))</f>
        <v/>
      </c>
      <c r="F582" s="85" t="str">
        <f>IF($B582="","",IF(IFERROR(INDEX('RAID Log'!$1:$1048576,$B582,MATCH("Impact Area",'RAID Log'!$1:$1,0)),"")="","",IFERROR(INDEX('RAID Log'!$1:$1048576,$B582,MATCH("Impact Area",'RAID Log'!$1:$1,0)),"")))</f>
        <v/>
      </c>
      <c r="G582" s="85" t="str">
        <f>IF($B582="","",IF(IFERROR(INDEX('RAID Log'!$1:$1048576,$B582,MATCH("Impact Rating",'RAID Log'!$1:$1,0)),"")="","",IFERROR(INDEX('RAID Log'!$1:$1048576,$B582,MATCH("Impact Rating",'RAID Log'!$1:$1,0)),"")))</f>
        <v/>
      </c>
      <c r="H582" s="85" t="str">
        <f>IF($B582="","",IF(IFERROR(INDEX('RAID Log'!$1:$1048576,$B582,MATCH("Initial Probability",'RAID Log'!$1:$1,0)),"")="","",IFERROR(INDEX('RAID Log'!$1:$1048576,$B582,MATCH("Initial Probability",'RAID Log'!$1:$1,0)),"")))</f>
        <v/>
      </c>
      <c r="I582" s="86" t="str">
        <f t="shared" si="27"/>
        <v/>
      </c>
      <c r="J582" s="85" t="str">
        <f t="shared" si="28"/>
        <v/>
      </c>
      <c r="K582" s="86" t="str">
        <f t="shared" si="29"/>
        <v/>
      </c>
      <c r="L582" s="85" t="str">
        <f>IF($B582="","",IF(IFERROR(INDEX('RAID Log'!$1:$1048576,$B582,MATCH("Status",'RAID Log'!$1:$1,0)),"")="","",IFERROR(INDEX('RAID Log'!$1:$1048576,$B582,MATCH("Status",'RAID Log'!$1:$1,0)),"")))</f>
        <v/>
      </c>
      <c r="M582" s="85" t="str">
        <f>IF($B582="","",IF(IFERROR(INDEX('RAID Log'!$1:$1048576,$B582,MATCH("RAID Owner",'RAID Log'!$1:$1,0)),"")="","",IFERROR(INDEX('RAID Log'!$1:$1048576,$B582,MATCH("RAID Owner",'RAID Log'!$1:$1,0)),"")))</f>
        <v/>
      </c>
      <c r="N582" s="87" t="str">
        <f>IF($B582="","",IF(IFERROR(INDEX('RAID Log'!$1:$1048576,$B582,MATCH("Date Raised",'RAID Log'!$1:$1,0)),"")="","",IFERROR(INDEX('RAID Log'!$1:$1048576,$B582,MATCH("Date Raised",'RAID Log'!$1:$1,0)),"")))</f>
        <v/>
      </c>
      <c r="O582" s="87" t="str">
        <f>IF($B582="","",IF(IFERROR(INDEX('RAID Log'!$1:$1048576,$B582,MATCH("Closed Date",'RAID Log'!$1:$1,0)),"")="","",IFERROR(INDEX('RAID Log'!$1:$1048576,$B582,MATCH("Closed Date",'RAID Log'!$1:$1,0)),"")))</f>
        <v/>
      </c>
      <c r="P582" s="85" t="str">
        <f>IF($B582="","",IF(IFERROR(INDEX('RAID Log'!$1:$1048576,$B582,MATCH("Mitigation Strategy",'RAID Log'!$1:$1,0)),"")="","",IFERROR(INDEX('RAID Log'!$1:$1048576,$B582,MATCH("Mitigation Strategy",'RAID Log'!$1:$1,0)),"")))</f>
        <v/>
      </c>
      <c r="Q582" s="88" t="str">
        <f>IF($B582="","",IF(IFERROR(INDEX('RAID Log'!$1:$1048576,$B582,MATCH("RAID Response/Plan",'RAID Log'!$1:$1,0)),"")="","",IFERROR(INDEX('RAID Log'!$1:$1048576,$B582,MATCH("RAID Response/Plan",'RAID Log'!$1:$1,0)),"")))</f>
        <v/>
      </c>
    </row>
    <row r="583" spans="1:17" ht="14.25" customHeight="1">
      <c r="A583" s="82" t="str">
        <f>IF($B583="","",IF(IFERROR(INDEX('RAID Log'!$1:$1048576,$B583,MATCH("RAID ID",'RAID Log'!$1:$1,0)),"")="","",IFERROR(INDEX('RAID Log'!$1:$1048576,$B583,MATCH("RAID ID",'RAID Log'!$1:$1,0)),"")))</f>
        <v/>
      </c>
      <c r="B583" s="83" t="str">
        <f>IFERROR(MATCH(ROW()-1,'RAID Log'!$S:$S,0),"")</f>
        <v/>
      </c>
      <c r="C583" s="84" t="str">
        <f>IF($B583="","",IF(IFERROR(INDEX('RAID Log'!$1:$1048576,$B583,MATCH("Description",'RAID Log'!$1:$1,0)),"")="","",IFERROR(INDEX('RAID Log'!$1:$1048576,$B583,MATCH("Description",'RAID Log'!$1:$1,0)),"")))</f>
        <v/>
      </c>
      <c r="D583" s="84" t="str">
        <f>IF($B583="","",IF(IFERROR(INDEX('RAID Log'!$1:$1048576,$B583,MATCH("Impact/Effect of the RAID",'RAID Log'!$1:$1,0)),"")="","",IFERROR(INDEX('RAID Log'!$1:$1048576,$B583,MATCH("Impact/Effect of the RAID",'RAID Log'!$1:$1,0)),"")))</f>
        <v/>
      </c>
      <c r="E583" s="85" t="str">
        <f>IF($B583="","",IF(IFERROR(INDEX('RAID Log'!$1:$1048576,$B583,MATCH("Impact Area",'RAID Log'!$1:$1,0)),"")="","",IFERROR(INDEX('RAID Log'!$1:$1048576,$B583,MATCH("Impact Area",'RAID Log'!$1:$1,0)),"")))</f>
        <v/>
      </c>
      <c r="F583" s="85" t="str">
        <f>IF($B583="","",IF(IFERROR(INDEX('RAID Log'!$1:$1048576,$B583,MATCH("Impact Area",'RAID Log'!$1:$1,0)),"")="","",IFERROR(INDEX('RAID Log'!$1:$1048576,$B583,MATCH("Impact Area",'RAID Log'!$1:$1,0)),"")))</f>
        <v/>
      </c>
      <c r="G583" s="85" t="str">
        <f>IF($B583="","",IF(IFERROR(INDEX('RAID Log'!$1:$1048576,$B583,MATCH("Impact Rating",'RAID Log'!$1:$1,0)),"")="","",IFERROR(INDEX('RAID Log'!$1:$1048576,$B583,MATCH("Impact Rating",'RAID Log'!$1:$1,0)),"")))</f>
        <v/>
      </c>
      <c r="H583" s="85" t="str">
        <f>IF($B583="","",IF(IFERROR(INDEX('RAID Log'!$1:$1048576,$B583,MATCH("Initial Probability",'RAID Log'!$1:$1,0)),"")="","",IFERROR(INDEX('RAID Log'!$1:$1048576,$B583,MATCH("Initial Probability",'RAID Log'!$1:$1,0)),"")))</f>
        <v/>
      </c>
      <c r="I583" s="86" t="str">
        <f t="shared" si="27"/>
        <v/>
      </c>
      <c r="J583" s="85" t="str">
        <f t="shared" si="28"/>
        <v/>
      </c>
      <c r="K583" s="86" t="str">
        <f t="shared" si="29"/>
        <v/>
      </c>
      <c r="L583" s="85" t="str">
        <f>IF($B583="","",IF(IFERROR(INDEX('RAID Log'!$1:$1048576,$B583,MATCH("Status",'RAID Log'!$1:$1,0)),"")="","",IFERROR(INDEX('RAID Log'!$1:$1048576,$B583,MATCH("Status",'RAID Log'!$1:$1,0)),"")))</f>
        <v/>
      </c>
      <c r="M583" s="85" t="str">
        <f>IF($B583="","",IF(IFERROR(INDEX('RAID Log'!$1:$1048576,$B583,MATCH("RAID Owner",'RAID Log'!$1:$1,0)),"")="","",IFERROR(INDEX('RAID Log'!$1:$1048576,$B583,MATCH("RAID Owner",'RAID Log'!$1:$1,0)),"")))</f>
        <v/>
      </c>
      <c r="N583" s="87" t="str">
        <f>IF($B583="","",IF(IFERROR(INDEX('RAID Log'!$1:$1048576,$B583,MATCH("Date Raised",'RAID Log'!$1:$1,0)),"")="","",IFERROR(INDEX('RAID Log'!$1:$1048576,$B583,MATCH("Date Raised",'RAID Log'!$1:$1,0)),"")))</f>
        <v/>
      </c>
      <c r="O583" s="87" t="str">
        <f>IF($B583="","",IF(IFERROR(INDEX('RAID Log'!$1:$1048576,$B583,MATCH("Closed Date",'RAID Log'!$1:$1,0)),"")="","",IFERROR(INDEX('RAID Log'!$1:$1048576,$B583,MATCH("Closed Date",'RAID Log'!$1:$1,0)),"")))</f>
        <v/>
      </c>
      <c r="P583" s="85" t="str">
        <f>IF($B583="","",IF(IFERROR(INDEX('RAID Log'!$1:$1048576,$B583,MATCH("Mitigation Strategy",'RAID Log'!$1:$1,0)),"")="","",IFERROR(INDEX('RAID Log'!$1:$1048576,$B583,MATCH("Mitigation Strategy",'RAID Log'!$1:$1,0)),"")))</f>
        <v/>
      </c>
      <c r="Q583" s="88" t="str">
        <f>IF($B583="","",IF(IFERROR(INDEX('RAID Log'!$1:$1048576,$B583,MATCH("RAID Response/Plan",'RAID Log'!$1:$1,0)),"")="","",IFERROR(INDEX('RAID Log'!$1:$1048576,$B583,MATCH("RAID Response/Plan",'RAID Log'!$1:$1,0)),"")))</f>
        <v/>
      </c>
    </row>
    <row r="584" spans="1:17" ht="14.25" customHeight="1">
      <c r="A584" s="82" t="str">
        <f>IF($B584="","",IF(IFERROR(INDEX('RAID Log'!$1:$1048576,$B584,MATCH("RAID ID",'RAID Log'!$1:$1,0)),"")="","",IFERROR(INDEX('RAID Log'!$1:$1048576,$B584,MATCH("RAID ID",'RAID Log'!$1:$1,0)),"")))</f>
        <v/>
      </c>
      <c r="B584" s="83" t="str">
        <f>IFERROR(MATCH(ROW()-1,'RAID Log'!$S:$S,0),"")</f>
        <v/>
      </c>
      <c r="C584" s="84" t="str">
        <f>IF($B584="","",IF(IFERROR(INDEX('RAID Log'!$1:$1048576,$B584,MATCH("Description",'RAID Log'!$1:$1,0)),"")="","",IFERROR(INDEX('RAID Log'!$1:$1048576,$B584,MATCH("Description",'RAID Log'!$1:$1,0)),"")))</f>
        <v/>
      </c>
      <c r="D584" s="84" t="str">
        <f>IF($B584="","",IF(IFERROR(INDEX('RAID Log'!$1:$1048576,$B584,MATCH("Impact/Effect of the RAID",'RAID Log'!$1:$1,0)),"")="","",IFERROR(INDEX('RAID Log'!$1:$1048576,$B584,MATCH("Impact/Effect of the RAID",'RAID Log'!$1:$1,0)),"")))</f>
        <v/>
      </c>
      <c r="E584" s="85" t="str">
        <f>IF($B584="","",IF(IFERROR(INDEX('RAID Log'!$1:$1048576,$B584,MATCH("Impact Area",'RAID Log'!$1:$1,0)),"")="","",IFERROR(INDEX('RAID Log'!$1:$1048576,$B584,MATCH("Impact Area",'RAID Log'!$1:$1,0)),"")))</f>
        <v/>
      </c>
      <c r="F584" s="85" t="str">
        <f>IF($B584="","",IF(IFERROR(INDEX('RAID Log'!$1:$1048576,$B584,MATCH("Impact Area",'RAID Log'!$1:$1,0)),"")="","",IFERROR(INDEX('RAID Log'!$1:$1048576,$B584,MATCH("Impact Area",'RAID Log'!$1:$1,0)),"")))</f>
        <v/>
      </c>
      <c r="G584" s="85" t="str">
        <f>IF($B584="","",IF(IFERROR(INDEX('RAID Log'!$1:$1048576,$B584,MATCH("Impact Rating",'RAID Log'!$1:$1,0)),"")="","",IFERROR(INDEX('RAID Log'!$1:$1048576,$B584,MATCH("Impact Rating",'RAID Log'!$1:$1,0)),"")))</f>
        <v/>
      </c>
      <c r="H584" s="85" t="str">
        <f>IF($B584="","",IF(IFERROR(INDEX('RAID Log'!$1:$1048576,$B584,MATCH("Initial Probability",'RAID Log'!$1:$1,0)),"")="","",IFERROR(INDEX('RAID Log'!$1:$1048576,$B584,MATCH("Initial Probability",'RAID Log'!$1:$1,0)),"")))</f>
        <v/>
      </c>
      <c r="I584" s="86" t="str">
        <f t="shared" si="27"/>
        <v/>
      </c>
      <c r="J584" s="85" t="str">
        <f t="shared" si="28"/>
        <v/>
      </c>
      <c r="K584" s="86" t="str">
        <f t="shared" si="29"/>
        <v/>
      </c>
      <c r="L584" s="85" t="str">
        <f>IF($B584="","",IF(IFERROR(INDEX('RAID Log'!$1:$1048576,$B584,MATCH("Status",'RAID Log'!$1:$1,0)),"")="","",IFERROR(INDEX('RAID Log'!$1:$1048576,$B584,MATCH("Status",'RAID Log'!$1:$1,0)),"")))</f>
        <v/>
      </c>
      <c r="M584" s="85" t="str">
        <f>IF($B584="","",IF(IFERROR(INDEX('RAID Log'!$1:$1048576,$B584,MATCH("RAID Owner",'RAID Log'!$1:$1,0)),"")="","",IFERROR(INDEX('RAID Log'!$1:$1048576,$B584,MATCH("RAID Owner",'RAID Log'!$1:$1,0)),"")))</f>
        <v/>
      </c>
      <c r="N584" s="87" t="str">
        <f>IF($B584="","",IF(IFERROR(INDEX('RAID Log'!$1:$1048576,$B584,MATCH("Date Raised",'RAID Log'!$1:$1,0)),"")="","",IFERROR(INDEX('RAID Log'!$1:$1048576,$B584,MATCH("Date Raised",'RAID Log'!$1:$1,0)),"")))</f>
        <v/>
      </c>
      <c r="O584" s="87" t="str">
        <f>IF($B584="","",IF(IFERROR(INDEX('RAID Log'!$1:$1048576,$B584,MATCH("Closed Date",'RAID Log'!$1:$1,0)),"")="","",IFERROR(INDEX('RAID Log'!$1:$1048576,$B584,MATCH("Closed Date",'RAID Log'!$1:$1,0)),"")))</f>
        <v/>
      </c>
      <c r="P584" s="85" t="str">
        <f>IF($B584="","",IF(IFERROR(INDEX('RAID Log'!$1:$1048576,$B584,MATCH("Mitigation Strategy",'RAID Log'!$1:$1,0)),"")="","",IFERROR(INDEX('RAID Log'!$1:$1048576,$B584,MATCH("Mitigation Strategy",'RAID Log'!$1:$1,0)),"")))</f>
        <v/>
      </c>
      <c r="Q584" s="88" t="str">
        <f>IF($B584="","",IF(IFERROR(INDEX('RAID Log'!$1:$1048576,$B584,MATCH("RAID Response/Plan",'RAID Log'!$1:$1,0)),"")="","",IFERROR(INDEX('RAID Log'!$1:$1048576,$B584,MATCH("RAID Response/Plan",'RAID Log'!$1:$1,0)),"")))</f>
        <v/>
      </c>
    </row>
    <row r="585" spans="1:17" ht="14.25" customHeight="1">
      <c r="A585" s="82" t="str">
        <f>IF($B585="","",IF(IFERROR(INDEX('RAID Log'!$1:$1048576,$B585,MATCH("RAID ID",'RAID Log'!$1:$1,0)),"")="","",IFERROR(INDEX('RAID Log'!$1:$1048576,$B585,MATCH("RAID ID",'RAID Log'!$1:$1,0)),"")))</f>
        <v/>
      </c>
      <c r="B585" s="83" t="str">
        <f>IFERROR(MATCH(ROW()-1,'RAID Log'!$S:$S,0),"")</f>
        <v/>
      </c>
      <c r="C585" s="84" t="str">
        <f>IF($B585="","",IF(IFERROR(INDEX('RAID Log'!$1:$1048576,$B585,MATCH("Description",'RAID Log'!$1:$1,0)),"")="","",IFERROR(INDEX('RAID Log'!$1:$1048576,$B585,MATCH("Description",'RAID Log'!$1:$1,0)),"")))</f>
        <v/>
      </c>
      <c r="D585" s="84" t="str">
        <f>IF($B585="","",IF(IFERROR(INDEX('RAID Log'!$1:$1048576,$B585,MATCH("Impact/Effect of the RAID",'RAID Log'!$1:$1,0)),"")="","",IFERROR(INDEX('RAID Log'!$1:$1048576,$B585,MATCH("Impact/Effect of the RAID",'RAID Log'!$1:$1,0)),"")))</f>
        <v/>
      </c>
      <c r="E585" s="85" t="str">
        <f>IF($B585="","",IF(IFERROR(INDEX('RAID Log'!$1:$1048576,$B585,MATCH("Impact Area",'RAID Log'!$1:$1,0)),"")="","",IFERROR(INDEX('RAID Log'!$1:$1048576,$B585,MATCH("Impact Area",'RAID Log'!$1:$1,0)),"")))</f>
        <v/>
      </c>
      <c r="F585" s="85" t="str">
        <f>IF($B585="","",IF(IFERROR(INDEX('RAID Log'!$1:$1048576,$B585,MATCH("Impact Area",'RAID Log'!$1:$1,0)),"")="","",IFERROR(INDEX('RAID Log'!$1:$1048576,$B585,MATCH("Impact Area",'RAID Log'!$1:$1,0)),"")))</f>
        <v/>
      </c>
      <c r="G585" s="85" t="str">
        <f>IF($B585="","",IF(IFERROR(INDEX('RAID Log'!$1:$1048576,$B585,MATCH("Impact Rating",'RAID Log'!$1:$1,0)),"")="","",IFERROR(INDEX('RAID Log'!$1:$1048576,$B585,MATCH("Impact Rating",'RAID Log'!$1:$1,0)),"")))</f>
        <v/>
      </c>
      <c r="H585" s="85" t="str">
        <f>IF($B585="","",IF(IFERROR(INDEX('RAID Log'!$1:$1048576,$B585,MATCH("Initial Probability",'RAID Log'!$1:$1,0)),"")="","",IFERROR(INDEX('RAID Log'!$1:$1048576,$B585,MATCH("Initial Probability",'RAID Log'!$1:$1,0)),"")))</f>
        <v/>
      </c>
      <c r="I585" s="86" t="str">
        <f t="shared" si="27"/>
        <v/>
      </c>
      <c r="J585" s="85" t="str">
        <f t="shared" si="28"/>
        <v/>
      </c>
      <c r="K585" s="86" t="str">
        <f t="shared" si="29"/>
        <v/>
      </c>
      <c r="L585" s="85" t="str">
        <f>IF($B585="","",IF(IFERROR(INDEX('RAID Log'!$1:$1048576,$B585,MATCH("Status",'RAID Log'!$1:$1,0)),"")="","",IFERROR(INDEX('RAID Log'!$1:$1048576,$B585,MATCH("Status",'RAID Log'!$1:$1,0)),"")))</f>
        <v/>
      </c>
      <c r="M585" s="85" t="str">
        <f>IF($B585="","",IF(IFERROR(INDEX('RAID Log'!$1:$1048576,$B585,MATCH("RAID Owner",'RAID Log'!$1:$1,0)),"")="","",IFERROR(INDEX('RAID Log'!$1:$1048576,$B585,MATCH("RAID Owner",'RAID Log'!$1:$1,0)),"")))</f>
        <v/>
      </c>
      <c r="N585" s="87" t="str">
        <f>IF($B585="","",IF(IFERROR(INDEX('RAID Log'!$1:$1048576,$B585,MATCH("Date Raised",'RAID Log'!$1:$1,0)),"")="","",IFERROR(INDEX('RAID Log'!$1:$1048576,$B585,MATCH("Date Raised",'RAID Log'!$1:$1,0)),"")))</f>
        <v/>
      </c>
      <c r="O585" s="87" t="str">
        <f>IF($B585="","",IF(IFERROR(INDEX('RAID Log'!$1:$1048576,$B585,MATCH("Closed Date",'RAID Log'!$1:$1,0)),"")="","",IFERROR(INDEX('RAID Log'!$1:$1048576,$B585,MATCH("Closed Date",'RAID Log'!$1:$1,0)),"")))</f>
        <v/>
      </c>
      <c r="P585" s="85" t="str">
        <f>IF($B585="","",IF(IFERROR(INDEX('RAID Log'!$1:$1048576,$B585,MATCH("Mitigation Strategy",'RAID Log'!$1:$1,0)),"")="","",IFERROR(INDEX('RAID Log'!$1:$1048576,$B585,MATCH("Mitigation Strategy",'RAID Log'!$1:$1,0)),"")))</f>
        <v/>
      </c>
      <c r="Q585" s="88" t="str">
        <f>IF($B585="","",IF(IFERROR(INDEX('RAID Log'!$1:$1048576,$B585,MATCH("RAID Response/Plan",'RAID Log'!$1:$1,0)),"")="","",IFERROR(INDEX('RAID Log'!$1:$1048576,$B585,MATCH("RAID Response/Plan",'RAID Log'!$1:$1,0)),"")))</f>
        <v/>
      </c>
    </row>
    <row r="586" spans="1:17" ht="14.25" customHeight="1">
      <c r="A586" s="82" t="str">
        <f>IF($B586="","",IF(IFERROR(INDEX('RAID Log'!$1:$1048576,$B586,MATCH("RAID ID",'RAID Log'!$1:$1,0)),"")="","",IFERROR(INDEX('RAID Log'!$1:$1048576,$B586,MATCH("RAID ID",'RAID Log'!$1:$1,0)),"")))</f>
        <v/>
      </c>
      <c r="B586" s="83" t="str">
        <f>IFERROR(MATCH(ROW()-1,'RAID Log'!$S:$S,0),"")</f>
        <v/>
      </c>
      <c r="C586" s="84" t="str">
        <f>IF($B586="","",IF(IFERROR(INDEX('RAID Log'!$1:$1048576,$B586,MATCH("Description",'RAID Log'!$1:$1,0)),"")="","",IFERROR(INDEX('RAID Log'!$1:$1048576,$B586,MATCH("Description",'RAID Log'!$1:$1,0)),"")))</f>
        <v/>
      </c>
      <c r="D586" s="84" t="str">
        <f>IF($B586="","",IF(IFERROR(INDEX('RAID Log'!$1:$1048576,$B586,MATCH("Impact/Effect of the RAID",'RAID Log'!$1:$1,0)),"")="","",IFERROR(INDEX('RAID Log'!$1:$1048576,$B586,MATCH("Impact/Effect of the RAID",'RAID Log'!$1:$1,0)),"")))</f>
        <v/>
      </c>
      <c r="E586" s="85" t="str">
        <f>IF($B586="","",IF(IFERROR(INDEX('RAID Log'!$1:$1048576,$B586,MATCH("Impact Area",'RAID Log'!$1:$1,0)),"")="","",IFERROR(INDEX('RAID Log'!$1:$1048576,$B586,MATCH("Impact Area",'RAID Log'!$1:$1,0)),"")))</f>
        <v/>
      </c>
      <c r="F586" s="85" t="str">
        <f>IF($B586="","",IF(IFERROR(INDEX('RAID Log'!$1:$1048576,$B586,MATCH("Impact Area",'RAID Log'!$1:$1,0)),"")="","",IFERROR(INDEX('RAID Log'!$1:$1048576,$B586,MATCH("Impact Area",'RAID Log'!$1:$1,0)),"")))</f>
        <v/>
      </c>
      <c r="G586" s="85" t="str">
        <f>IF($B586="","",IF(IFERROR(INDEX('RAID Log'!$1:$1048576,$B586,MATCH("Impact Rating",'RAID Log'!$1:$1,0)),"")="","",IFERROR(INDEX('RAID Log'!$1:$1048576,$B586,MATCH("Impact Rating",'RAID Log'!$1:$1,0)),"")))</f>
        <v/>
      </c>
      <c r="H586" s="85" t="str">
        <f>IF($B586="","",IF(IFERROR(INDEX('RAID Log'!$1:$1048576,$B586,MATCH("Initial Probability",'RAID Log'!$1:$1,0)),"")="","",IFERROR(INDEX('RAID Log'!$1:$1048576,$B586,MATCH("Initial Probability",'RAID Log'!$1:$1,0)),"")))</f>
        <v/>
      </c>
      <c r="I586" s="86" t="str">
        <f t="shared" si="27"/>
        <v/>
      </c>
      <c r="J586" s="85" t="str">
        <f t="shared" si="28"/>
        <v/>
      </c>
      <c r="K586" s="86" t="str">
        <f t="shared" si="29"/>
        <v/>
      </c>
      <c r="L586" s="85" t="str">
        <f>IF($B586="","",IF(IFERROR(INDEX('RAID Log'!$1:$1048576,$B586,MATCH("Status",'RAID Log'!$1:$1,0)),"")="","",IFERROR(INDEX('RAID Log'!$1:$1048576,$B586,MATCH("Status",'RAID Log'!$1:$1,0)),"")))</f>
        <v/>
      </c>
      <c r="M586" s="85" t="str">
        <f>IF($B586="","",IF(IFERROR(INDEX('RAID Log'!$1:$1048576,$B586,MATCH("RAID Owner",'RAID Log'!$1:$1,0)),"")="","",IFERROR(INDEX('RAID Log'!$1:$1048576,$B586,MATCH("RAID Owner",'RAID Log'!$1:$1,0)),"")))</f>
        <v/>
      </c>
      <c r="N586" s="87" t="str">
        <f>IF($B586="","",IF(IFERROR(INDEX('RAID Log'!$1:$1048576,$B586,MATCH("Date Raised",'RAID Log'!$1:$1,0)),"")="","",IFERROR(INDEX('RAID Log'!$1:$1048576,$B586,MATCH("Date Raised",'RAID Log'!$1:$1,0)),"")))</f>
        <v/>
      </c>
      <c r="O586" s="87" t="str">
        <f>IF($B586="","",IF(IFERROR(INDEX('RAID Log'!$1:$1048576,$B586,MATCH("Closed Date",'RAID Log'!$1:$1,0)),"")="","",IFERROR(INDEX('RAID Log'!$1:$1048576,$B586,MATCH("Closed Date",'RAID Log'!$1:$1,0)),"")))</f>
        <v/>
      </c>
      <c r="P586" s="85" t="str">
        <f>IF($B586="","",IF(IFERROR(INDEX('RAID Log'!$1:$1048576,$B586,MATCH("Mitigation Strategy",'RAID Log'!$1:$1,0)),"")="","",IFERROR(INDEX('RAID Log'!$1:$1048576,$B586,MATCH("Mitigation Strategy",'RAID Log'!$1:$1,0)),"")))</f>
        <v/>
      </c>
      <c r="Q586" s="88" t="str">
        <f>IF($B586="","",IF(IFERROR(INDEX('RAID Log'!$1:$1048576,$B586,MATCH("RAID Response/Plan",'RAID Log'!$1:$1,0)),"")="","",IFERROR(INDEX('RAID Log'!$1:$1048576,$B586,MATCH("RAID Response/Plan",'RAID Log'!$1:$1,0)),"")))</f>
        <v/>
      </c>
    </row>
    <row r="587" spans="1:17" ht="14.25" customHeight="1">
      <c r="A587" s="82" t="str">
        <f>IF($B587="","",IF(IFERROR(INDEX('RAID Log'!$1:$1048576,$B587,MATCH("RAID ID",'RAID Log'!$1:$1,0)),"")="","",IFERROR(INDEX('RAID Log'!$1:$1048576,$B587,MATCH("RAID ID",'RAID Log'!$1:$1,0)),"")))</f>
        <v/>
      </c>
      <c r="B587" s="83" t="str">
        <f>IFERROR(MATCH(ROW()-1,'RAID Log'!$S:$S,0),"")</f>
        <v/>
      </c>
      <c r="C587" s="84" t="str">
        <f>IF($B587="","",IF(IFERROR(INDEX('RAID Log'!$1:$1048576,$B587,MATCH("Description",'RAID Log'!$1:$1,0)),"")="","",IFERROR(INDEX('RAID Log'!$1:$1048576,$B587,MATCH("Description",'RAID Log'!$1:$1,0)),"")))</f>
        <v/>
      </c>
      <c r="D587" s="84" t="str">
        <f>IF($B587="","",IF(IFERROR(INDEX('RAID Log'!$1:$1048576,$B587,MATCH("Impact/Effect of the RAID",'RAID Log'!$1:$1,0)),"")="","",IFERROR(INDEX('RAID Log'!$1:$1048576,$B587,MATCH("Impact/Effect of the RAID",'RAID Log'!$1:$1,0)),"")))</f>
        <v/>
      </c>
      <c r="E587" s="85" t="str">
        <f>IF($B587="","",IF(IFERROR(INDEX('RAID Log'!$1:$1048576,$B587,MATCH("Impact Area",'RAID Log'!$1:$1,0)),"")="","",IFERROR(INDEX('RAID Log'!$1:$1048576,$B587,MATCH("Impact Area",'RAID Log'!$1:$1,0)),"")))</f>
        <v/>
      </c>
      <c r="F587" s="85" t="str">
        <f>IF($B587="","",IF(IFERROR(INDEX('RAID Log'!$1:$1048576,$B587,MATCH("Impact Area",'RAID Log'!$1:$1,0)),"")="","",IFERROR(INDEX('RAID Log'!$1:$1048576,$B587,MATCH("Impact Area",'RAID Log'!$1:$1,0)),"")))</f>
        <v/>
      </c>
      <c r="G587" s="85" t="str">
        <f>IF($B587="","",IF(IFERROR(INDEX('RAID Log'!$1:$1048576,$B587,MATCH("Impact Rating",'RAID Log'!$1:$1,0)),"")="","",IFERROR(INDEX('RAID Log'!$1:$1048576,$B587,MATCH("Impact Rating",'RAID Log'!$1:$1,0)),"")))</f>
        <v/>
      </c>
      <c r="H587" s="85" t="str">
        <f>IF($B587="","",IF(IFERROR(INDEX('RAID Log'!$1:$1048576,$B587,MATCH("Initial Probability",'RAID Log'!$1:$1,0)),"")="","",IFERROR(INDEX('RAID Log'!$1:$1048576,$B587,MATCH("Initial Probability",'RAID Log'!$1:$1,0)),"")))</f>
        <v/>
      </c>
      <c r="I587" s="86" t="str">
        <f t="shared" si="27"/>
        <v/>
      </c>
      <c r="J587" s="85" t="str">
        <f t="shared" si="28"/>
        <v/>
      </c>
      <c r="K587" s="86" t="str">
        <f t="shared" si="29"/>
        <v/>
      </c>
      <c r="L587" s="85" t="str">
        <f>IF($B587="","",IF(IFERROR(INDEX('RAID Log'!$1:$1048576,$B587,MATCH("Status",'RAID Log'!$1:$1,0)),"")="","",IFERROR(INDEX('RAID Log'!$1:$1048576,$B587,MATCH("Status",'RAID Log'!$1:$1,0)),"")))</f>
        <v/>
      </c>
      <c r="M587" s="85" t="str">
        <f>IF($B587="","",IF(IFERROR(INDEX('RAID Log'!$1:$1048576,$B587,MATCH("RAID Owner",'RAID Log'!$1:$1,0)),"")="","",IFERROR(INDEX('RAID Log'!$1:$1048576,$B587,MATCH("RAID Owner",'RAID Log'!$1:$1,0)),"")))</f>
        <v/>
      </c>
      <c r="N587" s="87" t="str">
        <f>IF($B587="","",IF(IFERROR(INDEX('RAID Log'!$1:$1048576,$B587,MATCH("Date Raised",'RAID Log'!$1:$1,0)),"")="","",IFERROR(INDEX('RAID Log'!$1:$1048576,$B587,MATCH("Date Raised",'RAID Log'!$1:$1,0)),"")))</f>
        <v/>
      </c>
      <c r="O587" s="87" t="str">
        <f>IF($B587="","",IF(IFERROR(INDEX('RAID Log'!$1:$1048576,$B587,MATCH("Closed Date",'RAID Log'!$1:$1,0)),"")="","",IFERROR(INDEX('RAID Log'!$1:$1048576,$B587,MATCH("Closed Date",'RAID Log'!$1:$1,0)),"")))</f>
        <v/>
      </c>
      <c r="P587" s="85" t="str">
        <f>IF($B587="","",IF(IFERROR(INDEX('RAID Log'!$1:$1048576,$B587,MATCH("Mitigation Strategy",'RAID Log'!$1:$1,0)),"")="","",IFERROR(INDEX('RAID Log'!$1:$1048576,$B587,MATCH("Mitigation Strategy",'RAID Log'!$1:$1,0)),"")))</f>
        <v/>
      </c>
      <c r="Q587" s="88" t="str">
        <f>IF($B587="","",IF(IFERROR(INDEX('RAID Log'!$1:$1048576,$B587,MATCH("RAID Response/Plan",'RAID Log'!$1:$1,0)),"")="","",IFERROR(INDEX('RAID Log'!$1:$1048576,$B587,MATCH("RAID Response/Plan",'RAID Log'!$1:$1,0)),"")))</f>
        <v/>
      </c>
    </row>
    <row r="588" spans="1:17" ht="14.25" customHeight="1">
      <c r="A588" s="82" t="str">
        <f>IF($B588="","",IF(IFERROR(INDEX('RAID Log'!$1:$1048576,$B588,MATCH("RAID ID",'RAID Log'!$1:$1,0)),"")="","",IFERROR(INDEX('RAID Log'!$1:$1048576,$B588,MATCH("RAID ID",'RAID Log'!$1:$1,0)),"")))</f>
        <v/>
      </c>
      <c r="B588" s="83" t="str">
        <f>IFERROR(MATCH(ROW()-1,'RAID Log'!$S:$S,0),"")</f>
        <v/>
      </c>
      <c r="C588" s="84" t="str">
        <f>IF($B588="","",IF(IFERROR(INDEX('RAID Log'!$1:$1048576,$B588,MATCH("Description",'RAID Log'!$1:$1,0)),"")="","",IFERROR(INDEX('RAID Log'!$1:$1048576,$B588,MATCH("Description",'RAID Log'!$1:$1,0)),"")))</f>
        <v/>
      </c>
      <c r="D588" s="84" t="str">
        <f>IF($B588="","",IF(IFERROR(INDEX('RAID Log'!$1:$1048576,$B588,MATCH("Impact/Effect of the RAID",'RAID Log'!$1:$1,0)),"")="","",IFERROR(INDEX('RAID Log'!$1:$1048576,$B588,MATCH("Impact/Effect of the RAID",'RAID Log'!$1:$1,0)),"")))</f>
        <v/>
      </c>
      <c r="E588" s="85" t="str">
        <f>IF($B588="","",IF(IFERROR(INDEX('RAID Log'!$1:$1048576,$B588,MATCH("Impact Area",'RAID Log'!$1:$1,0)),"")="","",IFERROR(INDEX('RAID Log'!$1:$1048576,$B588,MATCH("Impact Area",'RAID Log'!$1:$1,0)),"")))</f>
        <v/>
      </c>
      <c r="F588" s="85" t="str">
        <f>IF($B588="","",IF(IFERROR(INDEX('RAID Log'!$1:$1048576,$B588,MATCH("Impact Area",'RAID Log'!$1:$1,0)),"")="","",IFERROR(INDEX('RAID Log'!$1:$1048576,$B588,MATCH("Impact Area",'RAID Log'!$1:$1,0)),"")))</f>
        <v/>
      </c>
      <c r="G588" s="85" t="str">
        <f>IF($B588="","",IF(IFERROR(INDEX('RAID Log'!$1:$1048576,$B588,MATCH("Impact Rating",'RAID Log'!$1:$1,0)),"")="","",IFERROR(INDEX('RAID Log'!$1:$1048576,$B588,MATCH("Impact Rating",'RAID Log'!$1:$1,0)),"")))</f>
        <v/>
      </c>
      <c r="H588" s="85" t="str">
        <f>IF($B588="","",IF(IFERROR(INDEX('RAID Log'!$1:$1048576,$B588,MATCH("Initial Probability",'RAID Log'!$1:$1,0)),"")="","",IFERROR(INDEX('RAID Log'!$1:$1048576,$B588,MATCH("Initial Probability",'RAID Log'!$1:$1,0)),"")))</f>
        <v/>
      </c>
      <c r="I588" s="86" t="str">
        <f t="shared" si="27"/>
        <v/>
      </c>
      <c r="J588" s="85" t="str">
        <f t="shared" si="28"/>
        <v/>
      </c>
      <c r="K588" s="86" t="str">
        <f t="shared" si="29"/>
        <v/>
      </c>
      <c r="L588" s="85" t="str">
        <f>IF($B588="","",IF(IFERROR(INDEX('RAID Log'!$1:$1048576,$B588,MATCH("Status",'RAID Log'!$1:$1,0)),"")="","",IFERROR(INDEX('RAID Log'!$1:$1048576,$B588,MATCH("Status",'RAID Log'!$1:$1,0)),"")))</f>
        <v/>
      </c>
      <c r="M588" s="85" t="str">
        <f>IF($B588="","",IF(IFERROR(INDEX('RAID Log'!$1:$1048576,$B588,MATCH("RAID Owner",'RAID Log'!$1:$1,0)),"")="","",IFERROR(INDEX('RAID Log'!$1:$1048576,$B588,MATCH("RAID Owner",'RAID Log'!$1:$1,0)),"")))</f>
        <v/>
      </c>
      <c r="N588" s="87" t="str">
        <f>IF($B588="","",IF(IFERROR(INDEX('RAID Log'!$1:$1048576,$B588,MATCH("Date Raised",'RAID Log'!$1:$1,0)),"")="","",IFERROR(INDEX('RAID Log'!$1:$1048576,$B588,MATCH("Date Raised",'RAID Log'!$1:$1,0)),"")))</f>
        <v/>
      </c>
      <c r="O588" s="87" t="str">
        <f>IF($B588="","",IF(IFERROR(INDEX('RAID Log'!$1:$1048576,$B588,MATCH("Closed Date",'RAID Log'!$1:$1,0)),"")="","",IFERROR(INDEX('RAID Log'!$1:$1048576,$B588,MATCH("Closed Date",'RAID Log'!$1:$1,0)),"")))</f>
        <v/>
      </c>
      <c r="P588" s="85" t="str">
        <f>IF($B588="","",IF(IFERROR(INDEX('RAID Log'!$1:$1048576,$B588,MATCH("Mitigation Strategy",'RAID Log'!$1:$1,0)),"")="","",IFERROR(INDEX('RAID Log'!$1:$1048576,$B588,MATCH("Mitigation Strategy",'RAID Log'!$1:$1,0)),"")))</f>
        <v/>
      </c>
      <c r="Q588" s="88" t="str">
        <f>IF($B588="","",IF(IFERROR(INDEX('RAID Log'!$1:$1048576,$B588,MATCH("RAID Response/Plan",'RAID Log'!$1:$1,0)),"")="","",IFERROR(INDEX('RAID Log'!$1:$1048576,$B588,MATCH("RAID Response/Plan",'RAID Log'!$1:$1,0)),"")))</f>
        <v/>
      </c>
    </row>
    <row r="589" spans="1:17" ht="14.25" customHeight="1">
      <c r="A589" s="82" t="str">
        <f>IF($B589="","",IF(IFERROR(INDEX('RAID Log'!$1:$1048576,$B589,MATCH("RAID ID",'RAID Log'!$1:$1,0)),"")="","",IFERROR(INDEX('RAID Log'!$1:$1048576,$B589,MATCH("RAID ID",'RAID Log'!$1:$1,0)),"")))</f>
        <v/>
      </c>
      <c r="B589" s="83" t="str">
        <f>IFERROR(MATCH(ROW()-1,'RAID Log'!$S:$S,0),"")</f>
        <v/>
      </c>
      <c r="C589" s="84" t="str">
        <f>IF($B589="","",IF(IFERROR(INDEX('RAID Log'!$1:$1048576,$B589,MATCH("Description",'RAID Log'!$1:$1,0)),"")="","",IFERROR(INDEX('RAID Log'!$1:$1048576,$B589,MATCH("Description",'RAID Log'!$1:$1,0)),"")))</f>
        <v/>
      </c>
      <c r="D589" s="84" t="str">
        <f>IF($B589="","",IF(IFERROR(INDEX('RAID Log'!$1:$1048576,$B589,MATCH("Impact/Effect of the RAID",'RAID Log'!$1:$1,0)),"")="","",IFERROR(INDEX('RAID Log'!$1:$1048576,$B589,MATCH("Impact/Effect of the RAID",'RAID Log'!$1:$1,0)),"")))</f>
        <v/>
      </c>
      <c r="E589" s="85" t="str">
        <f>IF($B589="","",IF(IFERROR(INDEX('RAID Log'!$1:$1048576,$B589,MATCH("Impact Area",'RAID Log'!$1:$1,0)),"")="","",IFERROR(INDEX('RAID Log'!$1:$1048576,$B589,MATCH("Impact Area",'RAID Log'!$1:$1,0)),"")))</f>
        <v/>
      </c>
      <c r="F589" s="85" t="str">
        <f>IF($B589="","",IF(IFERROR(INDEX('RAID Log'!$1:$1048576,$B589,MATCH("Impact Area",'RAID Log'!$1:$1,0)),"")="","",IFERROR(INDEX('RAID Log'!$1:$1048576,$B589,MATCH("Impact Area",'RAID Log'!$1:$1,0)),"")))</f>
        <v/>
      </c>
      <c r="G589" s="85" t="str">
        <f>IF($B589="","",IF(IFERROR(INDEX('RAID Log'!$1:$1048576,$B589,MATCH("Impact Rating",'RAID Log'!$1:$1,0)),"")="","",IFERROR(INDEX('RAID Log'!$1:$1048576,$B589,MATCH("Impact Rating",'RAID Log'!$1:$1,0)),"")))</f>
        <v/>
      </c>
      <c r="H589" s="85" t="str">
        <f>IF($B589="","",IF(IFERROR(INDEX('RAID Log'!$1:$1048576,$B589,MATCH("Initial Probability",'RAID Log'!$1:$1,0)),"")="","",IFERROR(INDEX('RAID Log'!$1:$1048576,$B589,MATCH("Initial Probability",'RAID Log'!$1:$1,0)),"")))</f>
        <v/>
      </c>
      <c r="I589" s="86" t="str">
        <f t="shared" si="27"/>
        <v/>
      </c>
      <c r="J589" s="85" t="str">
        <f t="shared" si="28"/>
        <v/>
      </c>
      <c r="K589" s="86" t="str">
        <f t="shared" si="29"/>
        <v/>
      </c>
      <c r="L589" s="85" t="str">
        <f>IF($B589="","",IF(IFERROR(INDEX('RAID Log'!$1:$1048576,$B589,MATCH("Status",'RAID Log'!$1:$1,0)),"")="","",IFERROR(INDEX('RAID Log'!$1:$1048576,$B589,MATCH("Status",'RAID Log'!$1:$1,0)),"")))</f>
        <v/>
      </c>
      <c r="M589" s="85" t="str">
        <f>IF($B589="","",IF(IFERROR(INDEX('RAID Log'!$1:$1048576,$B589,MATCH("RAID Owner",'RAID Log'!$1:$1,0)),"")="","",IFERROR(INDEX('RAID Log'!$1:$1048576,$B589,MATCH("RAID Owner",'RAID Log'!$1:$1,0)),"")))</f>
        <v/>
      </c>
      <c r="N589" s="87" t="str">
        <f>IF($B589="","",IF(IFERROR(INDEX('RAID Log'!$1:$1048576,$B589,MATCH("Date Raised",'RAID Log'!$1:$1,0)),"")="","",IFERROR(INDEX('RAID Log'!$1:$1048576,$B589,MATCH("Date Raised",'RAID Log'!$1:$1,0)),"")))</f>
        <v/>
      </c>
      <c r="O589" s="87" t="str">
        <f>IF($B589="","",IF(IFERROR(INDEX('RAID Log'!$1:$1048576,$B589,MATCH("Closed Date",'RAID Log'!$1:$1,0)),"")="","",IFERROR(INDEX('RAID Log'!$1:$1048576,$B589,MATCH("Closed Date",'RAID Log'!$1:$1,0)),"")))</f>
        <v/>
      </c>
      <c r="P589" s="85" t="str">
        <f>IF($B589="","",IF(IFERROR(INDEX('RAID Log'!$1:$1048576,$B589,MATCH("Mitigation Strategy",'RAID Log'!$1:$1,0)),"")="","",IFERROR(INDEX('RAID Log'!$1:$1048576,$B589,MATCH("Mitigation Strategy",'RAID Log'!$1:$1,0)),"")))</f>
        <v/>
      </c>
      <c r="Q589" s="88" t="str">
        <f>IF($B589="","",IF(IFERROR(INDEX('RAID Log'!$1:$1048576,$B589,MATCH("RAID Response/Plan",'RAID Log'!$1:$1,0)),"")="","",IFERROR(INDEX('RAID Log'!$1:$1048576,$B589,MATCH("RAID Response/Plan",'RAID Log'!$1:$1,0)),"")))</f>
        <v/>
      </c>
    </row>
    <row r="590" spans="1:17" ht="14.25" customHeight="1">
      <c r="A590" s="82" t="str">
        <f>IF($B590="","",IF(IFERROR(INDEX('RAID Log'!$1:$1048576,$B590,MATCH("RAID ID",'RAID Log'!$1:$1,0)),"")="","",IFERROR(INDEX('RAID Log'!$1:$1048576,$B590,MATCH("RAID ID",'RAID Log'!$1:$1,0)),"")))</f>
        <v/>
      </c>
      <c r="B590" s="83" t="str">
        <f>IFERROR(MATCH(ROW()-1,'RAID Log'!$S:$S,0),"")</f>
        <v/>
      </c>
      <c r="C590" s="84" t="str">
        <f>IF($B590="","",IF(IFERROR(INDEX('RAID Log'!$1:$1048576,$B590,MATCH("Description",'RAID Log'!$1:$1,0)),"")="","",IFERROR(INDEX('RAID Log'!$1:$1048576,$B590,MATCH("Description",'RAID Log'!$1:$1,0)),"")))</f>
        <v/>
      </c>
      <c r="D590" s="84" t="str">
        <f>IF($B590="","",IF(IFERROR(INDEX('RAID Log'!$1:$1048576,$B590,MATCH("Impact/Effect of the RAID",'RAID Log'!$1:$1,0)),"")="","",IFERROR(INDEX('RAID Log'!$1:$1048576,$B590,MATCH("Impact/Effect of the RAID",'RAID Log'!$1:$1,0)),"")))</f>
        <v/>
      </c>
      <c r="E590" s="85" t="str">
        <f>IF($B590="","",IF(IFERROR(INDEX('RAID Log'!$1:$1048576,$B590,MATCH("Impact Area",'RAID Log'!$1:$1,0)),"")="","",IFERROR(INDEX('RAID Log'!$1:$1048576,$B590,MATCH("Impact Area",'RAID Log'!$1:$1,0)),"")))</f>
        <v/>
      </c>
      <c r="F590" s="85" t="str">
        <f>IF($B590="","",IF(IFERROR(INDEX('RAID Log'!$1:$1048576,$B590,MATCH("Impact Area",'RAID Log'!$1:$1,0)),"")="","",IFERROR(INDEX('RAID Log'!$1:$1048576,$B590,MATCH("Impact Area",'RAID Log'!$1:$1,0)),"")))</f>
        <v/>
      </c>
      <c r="G590" s="85" t="str">
        <f>IF($B590="","",IF(IFERROR(INDEX('RAID Log'!$1:$1048576,$B590,MATCH("Impact Rating",'RAID Log'!$1:$1,0)),"")="","",IFERROR(INDEX('RAID Log'!$1:$1048576,$B590,MATCH("Impact Rating",'RAID Log'!$1:$1,0)),"")))</f>
        <v/>
      </c>
      <c r="H590" s="85" t="str">
        <f>IF($B590="","",IF(IFERROR(INDEX('RAID Log'!$1:$1048576,$B590,MATCH("Initial Probability",'RAID Log'!$1:$1,0)),"")="","",IFERROR(INDEX('RAID Log'!$1:$1048576,$B590,MATCH("Initial Probability",'RAID Log'!$1:$1,0)),"")))</f>
        <v/>
      </c>
      <c r="I590" s="86" t="str">
        <f t="shared" si="27"/>
        <v/>
      </c>
      <c r="J590" s="85" t="str">
        <f t="shared" si="28"/>
        <v/>
      </c>
      <c r="K590" s="86" t="str">
        <f t="shared" si="29"/>
        <v/>
      </c>
      <c r="L590" s="85" t="str">
        <f>IF($B590="","",IF(IFERROR(INDEX('RAID Log'!$1:$1048576,$B590,MATCH("Status",'RAID Log'!$1:$1,0)),"")="","",IFERROR(INDEX('RAID Log'!$1:$1048576,$B590,MATCH("Status",'RAID Log'!$1:$1,0)),"")))</f>
        <v/>
      </c>
      <c r="M590" s="85" t="str">
        <f>IF($B590="","",IF(IFERROR(INDEX('RAID Log'!$1:$1048576,$B590,MATCH("RAID Owner",'RAID Log'!$1:$1,0)),"")="","",IFERROR(INDEX('RAID Log'!$1:$1048576,$B590,MATCH("RAID Owner",'RAID Log'!$1:$1,0)),"")))</f>
        <v/>
      </c>
      <c r="N590" s="87" t="str">
        <f>IF($B590="","",IF(IFERROR(INDEX('RAID Log'!$1:$1048576,$B590,MATCH("Date Raised",'RAID Log'!$1:$1,0)),"")="","",IFERROR(INDEX('RAID Log'!$1:$1048576,$B590,MATCH("Date Raised",'RAID Log'!$1:$1,0)),"")))</f>
        <v/>
      </c>
      <c r="O590" s="87" t="str">
        <f>IF($B590="","",IF(IFERROR(INDEX('RAID Log'!$1:$1048576,$B590,MATCH("Closed Date",'RAID Log'!$1:$1,0)),"")="","",IFERROR(INDEX('RAID Log'!$1:$1048576,$B590,MATCH("Closed Date",'RAID Log'!$1:$1,0)),"")))</f>
        <v/>
      </c>
      <c r="P590" s="85" t="str">
        <f>IF($B590="","",IF(IFERROR(INDEX('RAID Log'!$1:$1048576,$B590,MATCH("Mitigation Strategy",'RAID Log'!$1:$1,0)),"")="","",IFERROR(INDEX('RAID Log'!$1:$1048576,$B590,MATCH("Mitigation Strategy",'RAID Log'!$1:$1,0)),"")))</f>
        <v/>
      </c>
      <c r="Q590" s="88" t="str">
        <f>IF($B590="","",IF(IFERROR(INDEX('RAID Log'!$1:$1048576,$B590,MATCH("RAID Response/Plan",'RAID Log'!$1:$1,0)),"")="","",IFERROR(INDEX('RAID Log'!$1:$1048576,$B590,MATCH("RAID Response/Plan",'RAID Log'!$1:$1,0)),"")))</f>
        <v/>
      </c>
    </row>
    <row r="591" spans="1:17" ht="14.25" customHeight="1">
      <c r="A591" s="82" t="str">
        <f>IF($B591="","",IF(IFERROR(INDEX('RAID Log'!$1:$1048576,$B591,MATCH("RAID ID",'RAID Log'!$1:$1,0)),"")="","",IFERROR(INDEX('RAID Log'!$1:$1048576,$B591,MATCH("RAID ID",'RAID Log'!$1:$1,0)),"")))</f>
        <v/>
      </c>
      <c r="B591" s="83" t="str">
        <f>IFERROR(MATCH(ROW()-1,'RAID Log'!$S:$S,0),"")</f>
        <v/>
      </c>
      <c r="C591" s="84" t="str">
        <f>IF($B591="","",IF(IFERROR(INDEX('RAID Log'!$1:$1048576,$B591,MATCH("Description",'RAID Log'!$1:$1,0)),"")="","",IFERROR(INDEX('RAID Log'!$1:$1048576,$B591,MATCH("Description",'RAID Log'!$1:$1,0)),"")))</f>
        <v/>
      </c>
      <c r="D591" s="84" t="str">
        <f>IF($B591="","",IF(IFERROR(INDEX('RAID Log'!$1:$1048576,$B591,MATCH("Impact/Effect of the RAID",'RAID Log'!$1:$1,0)),"")="","",IFERROR(INDEX('RAID Log'!$1:$1048576,$B591,MATCH("Impact/Effect of the RAID",'RAID Log'!$1:$1,0)),"")))</f>
        <v/>
      </c>
      <c r="E591" s="85" t="str">
        <f>IF($B591="","",IF(IFERROR(INDEX('RAID Log'!$1:$1048576,$B591,MATCH("Impact Area",'RAID Log'!$1:$1,0)),"")="","",IFERROR(INDEX('RAID Log'!$1:$1048576,$B591,MATCH("Impact Area",'RAID Log'!$1:$1,0)),"")))</f>
        <v/>
      </c>
      <c r="F591" s="85" t="str">
        <f>IF($B591="","",IF(IFERROR(INDEX('RAID Log'!$1:$1048576,$B591,MATCH("Impact Area",'RAID Log'!$1:$1,0)),"")="","",IFERROR(INDEX('RAID Log'!$1:$1048576,$B591,MATCH("Impact Area",'RAID Log'!$1:$1,0)),"")))</f>
        <v/>
      </c>
      <c r="G591" s="85" t="str">
        <f>IF($B591="","",IF(IFERROR(INDEX('RAID Log'!$1:$1048576,$B591,MATCH("Impact Rating",'RAID Log'!$1:$1,0)),"")="","",IFERROR(INDEX('RAID Log'!$1:$1048576,$B591,MATCH("Impact Rating",'RAID Log'!$1:$1,0)),"")))</f>
        <v/>
      </c>
      <c r="H591" s="85" t="str">
        <f>IF($B591="","",IF(IFERROR(INDEX('RAID Log'!$1:$1048576,$B591,MATCH("Initial Probability",'RAID Log'!$1:$1,0)),"")="","",IFERROR(INDEX('RAID Log'!$1:$1048576,$B591,MATCH("Initial Probability",'RAID Log'!$1:$1,0)),"")))</f>
        <v/>
      </c>
      <c r="I591" s="86" t="str">
        <f t="shared" si="27"/>
        <v/>
      </c>
      <c r="J591" s="85" t="str">
        <f t="shared" si="28"/>
        <v/>
      </c>
      <c r="K591" s="86" t="str">
        <f t="shared" si="29"/>
        <v/>
      </c>
      <c r="L591" s="85" t="str">
        <f>IF($B591="","",IF(IFERROR(INDEX('RAID Log'!$1:$1048576,$B591,MATCH("Status",'RAID Log'!$1:$1,0)),"")="","",IFERROR(INDEX('RAID Log'!$1:$1048576,$B591,MATCH("Status",'RAID Log'!$1:$1,0)),"")))</f>
        <v/>
      </c>
      <c r="M591" s="85" t="str">
        <f>IF($B591="","",IF(IFERROR(INDEX('RAID Log'!$1:$1048576,$B591,MATCH("RAID Owner",'RAID Log'!$1:$1,0)),"")="","",IFERROR(INDEX('RAID Log'!$1:$1048576,$B591,MATCH("RAID Owner",'RAID Log'!$1:$1,0)),"")))</f>
        <v/>
      </c>
      <c r="N591" s="87" t="str">
        <f>IF($B591="","",IF(IFERROR(INDEX('RAID Log'!$1:$1048576,$B591,MATCH("Date Raised",'RAID Log'!$1:$1,0)),"")="","",IFERROR(INDEX('RAID Log'!$1:$1048576,$B591,MATCH("Date Raised",'RAID Log'!$1:$1,0)),"")))</f>
        <v/>
      </c>
      <c r="O591" s="87" t="str">
        <f>IF($B591="","",IF(IFERROR(INDEX('RAID Log'!$1:$1048576,$B591,MATCH("Closed Date",'RAID Log'!$1:$1,0)),"")="","",IFERROR(INDEX('RAID Log'!$1:$1048576,$B591,MATCH("Closed Date",'RAID Log'!$1:$1,0)),"")))</f>
        <v/>
      </c>
      <c r="P591" s="85" t="str">
        <f>IF($B591="","",IF(IFERROR(INDEX('RAID Log'!$1:$1048576,$B591,MATCH("Mitigation Strategy",'RAID Log'!$1:$1,0)),"")="","",IFERROR(INDEX('RAID Log'!$1:$1048576,$B591,MATCH("Mitigation Strategy",'RAID Log'!$1:$1,0)),"")))</f>
        <v/>
      </c>
      <c r="Q591" s="88" t="str">
        <f>IF($B591="","",IF(IFERROR(INDEX('RAID Log'!$1:$1048576,$B591,MATCH("RAID Response/Plan",'RAID Log'!$1:$1,0)),"")="","",IFERROR(INDEX('RAID Log'!$1:$1048576,$B591,MATCH("RAID Response/Plan",'RAID Log'!$1:$1,0)),"")))</f>
        <v/>
      </c>
    </row>
    <row r="592" spans="1:17" ht="14.25" customHeight="1">
      <c r="A592" s="82" t="str">
        <f>IF($B592="","",IF(IFERROR(INDEX('RAID Log'!$1:$1048576,$B592,MATCH("RAID ID",'RAID Log'!$1:$1,0)),"")="","",IFERROR(INDEX('RAID Log'!$1:$1048576,$B592,MATCH("RAID ID",'RAID Log'!$1:$1,0)),"")))</f>
        <v/>
      </c>
      <c r="B592" s="83" t="str">
        <f>IFERROR(MATCH(ROW()-1,'RAID Log'!$S:$S,0),"")</f>
        <v/>
      </c>
      <c r="C592" s="84" t="str">
        <f>IF($B592="","",IF(IFERROR(INDEX('RAID Log'!$1:$1048576,$B592,MATCH("Description",'RAID Log'!$1:$1,0)),"")="","",IFERROR(INDEX('RAID Log'!$1:$1048576,$B592,MATCH("Description",'RAID Log'!$1:$1,0)),"")))</f>
        <v/>
      </c>
      <c r="D592" s="84" t="str">
        <f>IF($B592="","",IF(IFERROR(INDEX('RAID Log'!$1:$1048576,$B592,MATCH("Impact/Effect of the RAID",'RAID Log'!$1:$1,0)),"")="","",IFERROR(INDEX('RAID Log'!$1:$1048576,$B592,MATCH("Impact/Effect of the RAID",'RAID Log'!$1:$1,0)),"")))</f>
        <v/>
      </c>
      <c r="E592" s="85" t="str">
        <f>IF($B592="","",IF(IFERROR(INDEX('RAID Log'!$1:$1048576,$B592,MATCH("Impact Area",'RAID Log'!$1:$1,0)),"")="","",IFERROR(INDEX('RAID Log'!$1:$1048576,$B592,MATCH("Impact Area",'RAID Log'!$1:$1,0)),"")))</f>
        <v/>
      </c>
      <c r="F592" s="85" t="str">
        <f>IF($B592="","",IF(IFERROR(INDEX('RAID Log'!$1:$1048576,$B592,MATCH("Impact Area",'RAID Log'!$1:$1,0)),"")="","",IFERROR(INDEX('RAID Log'!$1:$1048576,$B592,MATCH("Impact Area",'RAID Log'!$1:$1,0)),"")))</f>
        <v/>
      </c>
      <c r="G592" s="85" t="str">
        <f>IF($B592="","",IF(IFERROR(INDEX('RAID Log'!$1:$1048576,$B592,MATCH("Impact Rating",'RAID Log'!$1:$1,0)),"")="","",IFERROR(INDEX('RAID Log'!$1:$1048576,$B592,MATCH("Impact Rating",'RAID Log'!$1:$1,0)),"")))</f>
        <v/>
      </c>
      <c r="H592" s="85" t="str">
        <f>IF($B592="","",IF(IFERROR(INDEX('RAID Log'!$1:$1048576,$B592,MATCH("Initial Probability",'RAID Log'!$1:$1,0)),"")="","",IFERROR(INDEX('RAID Log'!$1:$1048576,$B592,MATCH("Initial Probability",'RAID Log'!$1:$1,0)),"")))</f>
        <v/>
      </c>
      <c r="I592" s="86" t="str">
        <f t="shared" si="27"/>
        <v/>
      </c>
      <c r="J592" s="85" t="str">
        <f t="shared" si="28"/>
        <v/>
      </c>
      <c r="K592" s="86" t="str">
        <f t="shared" si="29"/>
        <v/>
      </c>
      <c r="L592" s="85" t="str">
        <f>IF($B592="","",IF(IFERROR(INDEX('RAID Log'!$1:$1048576,$B592,MATCH("Status",'RAID Log'!$1:$1,0)),"")="","",IFERROR(INDEX('RAID Log'!$1:$1048576,$B592,MATCH("Status",'RAID Log'!$1:$1,0)),"")))</f>
        <v/>
      </c>
      <c r="M592" s="85" t="str">
        <f>IF($B592="","",IF(IFERROR(INDEX('RAID Log'!$1:$1048576,$B592,MATCH("RAID Owner",'RAID Log'!$1:$1,0)),"")="","",IFERROR(INDEX('RAID Log'!$1:$1048576,$B592,MATCH("RAID Owner",'RAID Log'!$1:$1,0)),"")))</f>
        <v/>
      </c>
      <c r="N592" s="87" t="str">
        <f>IF($B592="","",IF(IFERROR(INDEX('RAID Log'!$1:$1048576,$B592,MATCH("Date Raised",'RAID Log'!$1:$1,0)),"")="","",IFERROR(INDEX('RAID Log'!$1:$1048576,$B592,MATCH("Date Raised",'RAID Log'!$1:$1,0)),"")))</f>
        <v/>
      </c>
      <c r="O592" s="87" t="str">
        <f>IF($B592="","",IF(IFERROR(INDEX('RAID Log'!$1:$1048576,$B592,MATCH("Closed Date",'RAID Log'!$1:$1,0)),"")="","",IFERROR(INDEX('RAID Log'!$1:$1048576,$B592,MATCH("Closed Date",'RAID Log'!$1:$1,0)),"")))</f>
        <v/>
      </c>
      <c r="P592" s="85" t="str">
        <f>IF($B592="","",IF(IFERROR(INDEX('RAID Log'!$1:$1048576,$B592,MATCH("Mitigation Strategy",'RAID Log'!$1:$1,0)),"")="","",IFERROR(INDEX('RAID Log'!$1:$1048576,$B592,MATCH("Mitigation Strategy",'RAID Log'!$1:$1,0)),"")))</f>
        <v/>
      </c>
      <c r="Q592" s="88" t="str">
        <f>IF($B592="","",IF(IFERROR(INDEX('RAID Log'!$1:$1048576,$B592,MATCH("RAID Response/Plan",'RAID Log'!$1:$1,0)),"")="","",IFERROR(INDEX('RAID Log'!$1:$1048576,$B592,MATCH("RAID Response/Plan",'RAID Log'!$1:$1,0)),"")))</f>
        <v/>
      </c>
    </row>
    <row r="593" spans="1:17" ht="14.25" customHeight="1">
      <c r="A593" s="82" t="str">
        <f>IF($B593="","",IF(IFERROR(INDEX('RAID Log'!$1:$1048576,$B593,MATCH("RAID ID",'RAID Log'!$1:$1,0)),"")="","",IFERROR(INDEX('RAID Log'!$1:$1048576,$B593,MATCH("RAID ID",'RAID Log'!$1:$1,0)),"")))</f>
        <v/>
      </c>
      <c r="B593" s="83" t="str">
        <f>IFERROR(MATCH(ROW()-1,'RAID Log'!$S:$S,0),"")</f>
        <v/>
      </c>
      <c r="C593" s="84" t="str">
        <f>IF($B593="","",IF(IFERROR(INDEX('RAID Log'!$1:$1048576,$B593,MATCH("Description",'RAID Log'!$1:$1,0)),"")="","",IFERROR(INDEX('RAID Log'!$1:$1048576,$B593,MATCH("Description",'RAID Log'!$1:$1,0)),"")))</f>
        <v/>
      </c>
      <c r="D593" s="84" t="str">
        <f>IF($B593="","",IF(IFERROR(INDEX('RAID Log'!$1:$1048576,$B593,MATCH("Impact/Effect of the RAID",'RAID Log'!$1:$1,0)),"")="","",IFERROR(INDEX('RAID Log'!$1:$1048576,$B593,MATCH("Impact/Effect of the RAID",'RAID Log'!$1:$1,0)),"")))</f>
        <v/>
      </c>
      <c r="E593" s="85" t="str">
        <f>IF($B593="","",IF(IFERROR(INDEX('RAID Log'!$1:$1048576,$B593,MATCH("Impact Area",'RAID Log'!$1:$1,0)),"")="","",IFERROR(INDEX('RAID Log'!$1:$1048576,$B593,MATCH("Impact Area",'RAID Log'!$1:$1,0)),"")))</f>
        <v/>
      </c>
      <c r="F593" s="85" t="str">
        <f>IF($B593="","",IF(IFERROR(INDEX('RAID Log'!$1:$1048576,$B593,MATCH("Impact Area",'RAID Log'!$1:$1,0)),"")="","",IFERROR(INDEX('RAID Log'!$1:$1048576,$B593,MATCH("Impact Area",'RAID Log'!$1:$1,0)),"")))</f>
        <v/>
      </c>
      <c r="G593" s="85" t="str">
        <f>IF($B593="","",IF(IFERROR(INDEX('RAID Log'!$1:$1048576,$B593,MATCH("Impact Rating",'RAID Log'!$1:$1,0)),"")="","",IFERROR(INDEX('RAID Log'!$1:$1048576,$B593,MATCH("Impact Rating",'RAID Log'!$1:$1,0)),"")))</f>
        <v/>
      </c>
      <c r="H593" s="85" t="str">
        <f>IF($B593="","",IF(IFERROR(INDEX('RAID Log'!$1:$1048576,$B593,MATCH("Initial Probability",'RAID Log'!$1:$1,0)),"")="","",IFERROR(INDEX('RAID Log'!$1:$1048576,$B593,MATCH("Initial Probability",'RAID Log'!$1:$1,0)),"")))</f>
        <v/>
      </c>
      <c r="I593" s="86" t="str">
        <f t="shared" si="27"/>
        <v/>
      </c>
      <c r="J593" s="85" t="str">
        <f t="shared" si="28"/>
        <v/>
      </c>
      <c r="K593" s="86" t="str">
        <f t="shared" si="29"/>
        <v/>
      </c>
      <c r="L593" s="85" t="str">
        <f>IF($B593="","",IF(IFERROR(INDEX('RAID Log'!$1:$1048576,$B593,MATCH("Status",'RAID Log'!$1:$1,0)),"")="","",IFERROR(INDEX('RAID Log'!$1:$1048576,$B593,MATCH("Status",'RAID Log'!$1:$1,0)),"")))</f>
        <v/>
      </c>
      <c r="M593" s="85" t="str">
        <f>IF($B593="","",IF(IFERROR(INDEX('RAID Log'!$1:$1048576,$B593,MATCH("RAID Owner",'RAID Log'!$1:$1,0)),"")="","",IFERROR(INDEX('RAID Log'!$1:$1048576,$B593,MATCH("RAID Owner",'RAID Log'!$1:$1,0)),"")))</f>
        <v/>
      </c>
      <c r="N593" s="87" t="str">
        <f>IF($B593="","",IF(IFERROR(INDEX('RAID Log'!$1:$1048576,$B593,MATCH("Date Raised",'RAID Log'!$1:$1,0)),"")="","",IFERROR(INDEX('RAID Log'!$1:$1048576,$B593,MATCH("Date Raised",'RAID Log'!$1:$1,0)),"")))</f>
        <v/>
      </c>
      <c r="O593" s="87" t="str">
        <f>IF($B593="","",IF(IFERROR(INDEX('RAID Log'!$1:$1048576,$B593,MATCH("Closed Date",'RAID Log'!$1:$1,0)),"")="","",IFERROR(INDEX('RAID Log'!$1:$1048576,$B593,MATCH("Closed Date",'RAID Log'!$1:$1,0)),"")))</f>
        <v/>
      </c>
      <c r="P593" s="85" t="str">
        <f>IF($B593="","",IF(IFERROR(INDEX('RAID Log'!$1:$1048576,$B593,MATCH("Mitigation Strategy",'RAID Log'!$1:$1,0)),"")="","",IFERROR(INDEX('RAID Log'!$1:$1048576,$B593,MATCH("Mitigation Strategy",'RAID Log'!$1:$1,0)),"")))</f>
        <v/>
      </c>
      <c r="Q593" s="88" t="str">
        <f>IF($B593="","",IF(IFERROR(INDEX('RAID Log'!$1:$1048576,$B593,MATCH("RAID Response/Plan",'RAID Log'!$1:$1,0)),"")="","",IFERROR(INDEX('RAID Log'!$1:$1048576,$B593,MATCH("RAID Response/Plan",'RAID Log'!$1:$1,0)),"")))</f>
        <v/>
      </c>
    </row>
    <row r="594" spans="1:17" ht="14.25" customHeight="1">
      <c r="A594" s="82" t="str">
        <f>IF($B594="","",IF(IFERROR(INDEX('RAID Log'!$1:$1048576,$B594,MATCH("RAID ID",'RAID Log'!$1:$1,0)),"")="","",IFERROR(INDEX('RAID Log'!$1:$1048576,$B594,MATCH("RAID ID",'RAID Log'!$1:$1,0)),"")))</f>
        <v/>
      </c>
      <c r="B594" s="83" t="str">
        <f>IFERROR(MATCH(ROW()-1,'RAID Log'!$S:$S,0),"")</f>
        <v/>
      </c>
      <c r="C594" s="84" t="str">
        <f>IF($B594="","",IF(IFERROR(INDEX('RAID Log'!$1:$1048576,$B594,MATCH("Description",'RAID Log'!$1:$1,0)),"")="","",IFERROR(INDEX('RAID Log'!$1:$1048576,$B594,MATCH("Description",'RAID Log'!$1:$1,0)),"")))</f>
        <v/>
      </c>
      <c r="D594" s="84" t="str">
        <f>IF($B594="","",IF(IFERROR(INDEX('RAID Log'!$1:$1048576,$B594,MATCH("Impact/Effect of the RAID",'RAID Log'!$1:$1,0)),"")="","",IFERROR(INDEX('RAID Log'!$1:$1048576,$B594,MATCH("Impact/Effect of the RAID",'RAID Log'!$1:$1,0)),"")))</f>
        <v/>
      </c>
      <c r="E594" s="85" t="str">
        <f>IF($B594="","",IF(IFERROR(INDEX('RAID Log'!$1:$1048576,$B594,MATCH("Impact Area",'RAID Log'!$1:$1,0)),"")="","",IFERROR(INDEX('RAID Log'!$1:$1048576,$B594,MATCH("Impact Area",'RAID Log'!$1:$1,0)),"")))</f>
        <v/>
      </c>
      <c r="F594" s="85" t="str">
        <f>IF($B594="","",IF(IFERROR(INDEX('RAID Log'!$1:$1048576,$B594,MATCH("Impact Area",'RAID Log'!$1:$1,0)),"")="","",IFERROR(INDEX('RAID Log'!$1:$1048576,$B594,MATCH("Impact Area",'RAID Log'!$1:$1,0)),"")))</f>
        <v/>
      </c>
      <c r="G594" s="85" t="str">
        <f>IF($B594="","",IF(IFERROR(INDEX('RAID Log'!$1:$1048576,$B594,MATCH("Impact Rating",'RAID Log'!$1:$1,0)),"")="","",IFERROR(INDEX('RAID Log'!$1:$1048576,$B594,MATCH("Impact Rating",'RAID Log'!$1:$1,0)),"")))</f>
        <v/>
      </c>
      <c r="H594" s="85" t="str">
        <f>IF($B594="","",IF(IFERROR(INDEX('RAID Log'!$1:$1048576,$B594,MATCH("Initial Probability",'RAID Log'!$1:$1,0)),"")="","",IFERROR(INDEX('RAID Log'!$1:$1048576,$B594,MATCH("Initial Probability",'RAID Log'!$1:$1,0)),"")))</f>
        <v/>
      </c>
      <c r="I594" s="86" t="str">
        <f t="shared" si="27"/>
        <v/>
      </c>
      <c r="J594" s="85" t="str">
        <f t="shared" si="28"/>
        <v/>
      </c>
      <c r="K594" s="86" t="str">
        <f t="shared" si="29"/>
        <v/>
      </c>
      <c r="L594" s="85" t="str">
        <f>IF($B594="","",IF(IFERROR(INDEX('RAID Log'!$1:$1048576,$B594,MATCH("Status",'RAID Log'!$1:$1,0)),"")="","",IFERROR(INDEX('RAID Log'!$1:$1048576,$B594,MATCH("Status",'RAID Log'!$1:$1,0)),"")))</f>
        <v/>
      </c>
      <c r="M594" s="85" t="str">
        <f>IF($B594="","",IF(IFERROR(INDEX('RAID Log'!$1:$1048576,$B594,MATCH("RAID Owner",'RAID Log'!$1:$1,0)),"")="","",IFERROR(INDEX('RAID Log'!$1:$1048576,$B594,MATCH("RAID Owner",'RAID Log'!$1:$1,0)),"")))</f>
        <v/>
      </c>
      <c r="N594" s="87" t="str">
        <f>IF($B594="","",IF(IFERROR(INDEX('RAID Log'!$1:$1048576,$B594,MATCH("Date Raised",'RAID Log'!$1:$1,0)),"")="","",IFERROR(INDEX('RAID Log'!$1:$1048576,$B594,MATCH("Date Raised",'RAID Log'!$1:$1,0)),"")))</f>
        <v/>
      </c>
      <c r="O594" s="87" t="str">
        <f>IF($B594="","",IF(IFERROR(INDEX('RAID Log'!$1:$1048576,$B594,MATCH("Closed Date",'RAID Log'!$1:$1,0)),"")="","",IFERROR(INDEX('RAID Log'!$1:$1048576,$B594,MATCH("Closed Date",'RAID Log'!$1:$1,0)),"")))</f>
        <v/>
      </c>
      <c r="P594" s="85" t="str">
        <f>IF($B594="","",IF(IFERROR(INDEX('RAID Log'!$1:$1048576,$B594,MATCH("Mitigation Strategy",'RAID Log'!$1:$1,0)),"")="","",IFERROR(INDEX('RAID Log'!$1:$1048576,$B594,MATCH("Mitigation Strategy",'RAID Log'!$1:$1,0)),"")))</f>
        <v/>
      </c>
      <c r="Q594" s="88" t="str">
        <f>IF($B594="","",IF(IFERROR(INDEX('RAID Log'!$1:$1048576,$B594,MATCH("RAID Response/Plan",'RAID Log'!$1:$1,0)),"")="","",IFERROR(INDEX('RAID Log'!$1:$1048576,$B594,MATCH("RAID Response/Plan",'RAID Log'!$1:$1,0)),"")))</f>
        <v/>
      </c>
    </row>
    <row r="595" spans="1:17" ht="14.25" customHeight="1">
      <c r="A595" s="82" t="str">
        <f>IF($B595="","",IF(IFERROR(INDEX('RAID Log'!$1:$1048576,$B595,MATCH("RAID ID",'RAID Log'!$1:$1,0)),"")="","",IFERROR(INDEX('RAID Log'!$1:$1048576,$B595,MATCH("RAID ID",'RAID Log'!$1:$1,0)),"")))</f>
        <v/>
      </c>
      <c r="B595" s="83" t="str">
        <f>IFERROR(MATCH(ROW()-1,'RAID Log'!$S:$S,0),"")</f>
        <v/>
      </c>
      <c r="C595" s="84" t="str">
        <f>IF($B595="","",IF(IFERROR(INDEX('RAID Log'!$1:$1048576,$B595,MATCH("Description",'RAID Log'!$1:$1,0)),"")="","",IFERROR(INDEX('RAID Log'!$1:$1048576,$B595,MATCH("Description",'RAID Log'!$1:$1,0)),"")))</f>
        <v/>
      </c>
      <c r="D595" s="84" t="str">
        <f>IF($B595="","",IF(IFERROR(INDEX('RAID Log'!$1:$1048576,$B595,MATCH("Impact/Effect of the RAID",'RAID Log'!$1:$1,0)),"")="","",IFERROR(INDEX('RAID Log'!$1:$1048576,$B595,MATCH("Impact/Effect of the RAID",'RAID Log'!$1:$1,0)),"")))</f>
        <v/>
      </c>
      <c r="E595" s="85" t="str">
        <f>IF($B595="","",IF(IFERROR(INDEX('RAID Log'!$1:$1048576,$B595,MATCH("Impact Area",'RAID Log'!$1:$1,0)),"")="","",IFERROR(INDEX('RAID Log'!$1:$1048576,$B595,MATCH("Impact Area",'RAID Log'!$1:$1,0)),"")))</f>
        <v/>
      </c>
      <c r="F595" s="85" t="str">
        <f>IF($B595="","",IF(IFERROR(INDEX('RAID Log'!$1:$1048576,$B595,MATCH("Impact Area",'RAID Log'!$1:$1,0)),"")="","",IFERROR(INDEX('RAID Log'!$1:$1048576,$B595,MATCH("Impact Area",'RAID Log'!$1:$1,0)),"")))</f>
        <v/>
      </c>
      <c r="G595" s="85" t="str">
        <f>IF($B595="","",IF(IFERROR(INDEX('RAID Log'!$1:$1048576,$B595,MATCH("Impact Rating",'RAID Log'!$1:$1,0)),"")="","",IFERROR(INDEX('RAID Log'!$1:$1048576,$B595,MATCH("Impact Rating",'RAID Log'!$1:$1,0)),"")))</f>
        <v/>
      </c>
      <c r="H595" s="85" t="str">
        <f>IF($B595="","",IF(IFERROR(INDEX('RAID Log'!$1:$1048576,$B595,MATCH("Initial Probability",'RAID Log'!$1:$1,0)),"")="","",IFERROR(INDEX('RAID Log'!$1:$1048576,$B595,MATCH("Initial Probability",'RAID Log'!$1:$1,0)),"")))</f>
        <v/>
      </c>
      <c r="I595" s="86" t="str">
        <f t="shared" si="27"/>
        <v/>
      </c>
      <c r="J595" s="85" t="str">
        <f t="shared" si="28"/>
        <v/>
      </c>
      <c r="K595" s="86" t="str">
        <f t="shared" si="29"/>
        <v/>
      </c>
      <c r="L595" s="85" t="str">
        <f>IF($B595="","",IF(IFERROR(INDEX('RAID Log'!$1:$1048576,$B595,MATCH("Status",'RAID Log'!$1:$1,0)),"")="","",IFERROR(INDEX('RAID Log'!$1:$1048576,$B595,MATCH("Status",'RAID Log'!$1:$1,0)),"")))</f>
        <v/>
      </c>
      <c r="M595" s="85" t="str">
        <f>IF($B595="","",IF(IFERROR(INDEX('RAID Log'!$1:$1048576,$B595,MATCH("RAID Owner",'RAID Log'!$1:$1,0)),"")="","",IFERROR(INDEX('RAID Log'!$1:$1048576,$B595,MATCH("RAID Owner",'RAID Log'!$1:$1,0)),"")))</f>
        <v/>
      </c>
      <c r="N595" s="87" t="str">
        <f>IF($B595="","",IF(IFERROR(INDEX('RAID Log'!$1:$1048576,$B595,MATCH("Date Raised",'RAID Log'!$1:$1,0)),"")="","",IFERROR(INDEX('RAID Log'!$1:$1048576,$B595,MATCH("Date Raised",'RAID Log'!$1:$1,0)),"")))</f>
        <v/>
      </c>
      <c r="O595" s="87" t="str">
        <f>IF($B595="","",IF(IFERROR(INDEX('RAID Log'!$1:$1048576,$B595,MATCH("Closed Date",'RAID Log'!$1:$1,0)),"")="","",IFERROR(INDEX('RAID Log'!$1:$1048576,$B595,MATCH("Closed Date",'RAID Log'!$1:$1,0)),"")))</f>
        <v/>
      </c>
      <c r="P595" s="85" t="str">
        <f>IF($B595="","",IF(IFERROR(INDEX('RAID Log'!$1:$1048576,$B595,MATCH("Mitigation Strategy",'RAID Log'!$1:$1,0)),"")="","",IFERROR(INDEX('RAID Log'!$1:$1048576,$B595,MATCH("Mitigation Strategy",'RAID Log'!$1:$1,0)),"")))</f>
        <v/>
      </c>
      <c r="Q595" s="88" t="str">
        <f>IF($B595="","",IF(IFERROR(INDEX('RAID Log'!$1:$1048576,$B595,MATCH("RAID Response/Plan",'RAID Log'!$1:$1,0)),"")="","",IFERROR(INDEX('RAID Log'!$1:$1048576,$B595,MATCH("RAID Response/Plan",'RAID Log'!$1:$1,0)),"")))</f>
        <v/>
      </c>
    </row>
    <row r="596" spans="1:17" ht="14.25" customHeight="1">
      <c r="A596" s="82" t="str">
        <f>IF($B596="","",IF(IFERROR(INDEX('RAID Log'!$1:$1048576,$B596,MATCH("RAID ID",'RAID Log'!$1:$1,0)),"")="","",IFERROR(INDEX('RAID Log'!$1:$1048576,$B596,MATCH("RAID ID",'RAID Log'!$1:$1,0)),"")))</f>
        <v/>
      </c>
      <c r="B596" s="83" t="str">
        <f>IFERROR(MATCH(ROW()-1,'RAID Log'!$S:$S,0),"")</f>
        <v/>
      </c>
      <c r="C596" s="84" t="str">
        <f>IF($B596="","",IF(IFERROR(INDEX('RAID Log'!$1:$1048576,$B596,MATCH("Description",'RAID Log'!$1:$1,0)),"")="","",IFERROR(INDEX('RAID Log'!$1:$1048576,$B596,MATCH("Description",'RAID Log'!$1:$1,0)),"")))</f>
        <v/>
      </c>
      <c r="D596" s="84" t="str">
        <f>IF($B596="","",IF(IFERROR(INDEX('RAID Log'!$1:$1048576,$B596,MATCH("Impact/Effect of the RAID",'RAID Log'!$1:$1,0)),"")="","",IFERROR(INDEX('RAID Log'!$1:$1048576,$B596,MATCH("Impact/Effect of the RAID",'RAID Log'!$1:$1,0)),"")))</f>
        <v/>
      </c>
      <c r="E596" s="85" t="str">
        <f>IF($B596="","",IF(IFERROR(INDEX('RAID Log'!$1:$1048576,$B596,MATCH("Impact Area",'RAID Log'!$1:$1,0)),"")="","",IFERROR(INDEX('RAID Log'!$1:$1048576,$B596,MATCH("Impact Area",'RAID Log'!$1:$1,0)),"")))</f>
        <v/>
      </c>
      <c r="F596" s="85" t="str">
        <f>IF($B596="","",IF(IFERROR(INDEX('RAID Log'!$1:$1048576,$B596,MATCH("Impact Area",'RAID Log'!$1:$1,0)),"")="","",IFERROR(INDEX('RAID Log'!$1:$1048576,$B596,MATCH("Impact Area",'RAID Log'!$1:$1,0)),"")))</f>
        <v/>
      </c>
      <c r="G596" s="85" t="str">
        <f>IF($B596="","",IF(IFERROR(INDEX('RAID Log'!$1:$1048576,$B596,MATCH("Impact Rating",'RAID Log'!$1:$1,0)),"")="","",IFERROR(INDEX('RAID Log'!$1:$1048576,$B596,MATCH("Impact Rating",'RAID Log'!$1:$1,0)),"")))</f>
        <v/>
      </c>
      <c r="H596" s="85" t="str">
        <f>IF($B596="","",IF(IFERROR(INDEX('RAID Log'!$1:$1048576,$B596,MATCH("Initial Probability",'RAID Log'!$1:$1,0)),"")="","",IFERROR(INDEX('RAID Log'!$1:$1048576,$B596,MATCH("Initial Probability",'RAID Log'!$1:$1,0)),"")))</f>
        <v/>
      </c>
      <c r="I596" s="86" t="str">
        <f t="shared" si="27"/>
        <v/>
      </c>
      <c r="J596" s="85" t="str">
        <f t="shared" si="28"/>
        <v/>
      </c>
      <c r="K596" s="86" t="str">
        <f t="shared" si="29"/>
        <v/>
      </c>
      <c r="L596" s="85" t="str">
        <f>IF($B596="","",IF(IFERROR(INDEX('RAID Log'!$1:$1048576,$B596,MATCH("Status",'RAID Log'!$1:$1,0)),"")="","",IFERROR(INDEX('RAID Log'!$1:$1048576,$B596,MATCH("Status",'RAID Log'!$1:$1,0)),"")))</f>
        <v/>
      </c>
      <c r="M596" s="85" t="str">
        <f>IF($B596="","",IF(IFERROR(INDEX('RAID Log'!$1:$1048576,$B596,MATCH("RAID Owner",'RAID Log'!$1:$1,0)),"")="","",IFERROR(INDEX('RAID Log'!$1:$1048576,$B596,MATCH("RAID Owner",'RAID Log'!$1:$1,0)),"")))</f>
        <v/>
      </c>
      <c r="N596" s="87" t="str">
        <f>IF($B596="","",IF(IFERROR(INDEX('RAID Log'!$1:$1048576,$B596,MATCH("Date Raised",'RAID Log'!$1:$1,0)),"")="","",IFERROR(INDEX('RAID Log'!$1:$1048576,$B596,MATCH("Date Raised",'RAID Log'!$1:$1,0)),"")))</f>
        <v/>
      </c>
      <c r="O596" s="87" t="str">
        <f>IF($B596="","",IF(IFERROR(INDEX('RAID Log'!$1:$1048576,$B596,MATCH("Closed Date",'RAID Log'!$1:$1,0)),"")="","",IFERROR(INDEX('RAID Log'!$1:$1048576,$B596,MATCH("Closed Date",'RAID Log'!$1:$1,0)),"")))</f>
        <v/>
      </c>
      <c r="P596" s="85" t="str">
        <f>IF($B596="","",IF(IFERROR(INDEX('RAID Log'!$1:$1048576,$B596,MATCH("Mitigation Strategy",'RAID Log'!$1:$1,0)),"")="","",IFERROR(INDEX('RAID Log'!$1:$1048576,$B596,MATCH("Mitigation Strategy",'RAID Log'!$1:$1,0)),"")))</f>
        <v/>
      </c>
      <c r="Q596" s="88" t="str">
        <f>IF($B596="","",IF(IFERROR(INDEX('RAID Log'!$1:$1048576,$B596,MATCH("RAID Response/Plan",'RAID Log'!$1:$1,0)),"")="","",IFERROR(INDEX('RAID Log'!$1:$1048576,$B596,MATCH("RAID Response/Plan",'RAID Log'!$1:$1,0)),"")))</f>
        <v/>
      </c>
    </row>
    <row r="597" spans="1:17" ht="14.25" customHeight="1">
      <c r="A597" s="82" t="str">
        <f>IF($B597="","",IF(IFERROR(INDEX('RAID Log'!$1:$1048576,$B597,MATCH("RAID ID",'RAID Log'!$1:$1,0)),"")="","",IFERROR(INDEX('RAID Log'!$1:$1048576,$B597,MATCH("RAID ID",'RAID Log'!$1:$1,0)),"")))</f>
        <v/>
      </c>
      <c r="B597" s="83" t="str">
        <f>IFERROR(MATCH(ROW()-1,'RAID Log'!$S:$S,0),"")</f>
        <v/>
      </c>
      <c r="C597" s="84" t="str">
        <f>IF($B597="","",IF(IFERROR(INDEX('RAID Log'!$1:$1048576,$B597,MATCH("Description",'RAID Log'!$1:$1,0)),"")="","",IFERROR(INDEX('RAID Log'!$1:$1048576,$B597,MATCH("Description",'RAID Log'!$1:$1,0)),"")))</f>
        <v/>
      </c>
      <c r="D597" s="84" t="str">
        <f>IF($B597="","",IF(IFERROR(INDEX('RAID Log'!$1:$1048576,$B597,MATCH("Impact/Effect of the RAID",'RAID Log'!$1:$1,0)),"")="","",IFERROR(INDEX('RAID Log'!$1:$1048576,$B597,MATCH("Impact/Effect of the RAID",'RAID Log'!$1:$1,0)),"")))</f>
        <v/>
      </c>
      <c r="E597" s="85" t="str">
        <f>IF($B597="","",IF(IFERROR(INDEX('RAID Log'!$1:$1048576,$B597,MATCH("Impact Area",'RAID Log'!$1:$1,0)),"")="","",IFERROR(INDEX('RAID Log'!$1:$1048576,$B597,MATCH("Impact Area",'RAID Log'!$1:$1,0)),"")))</f>
        <v/>
      </c>
      <c r="F597" s="85" t="str">
        <f>IF($B597="","",IF(IFERROR(INDEX('RAID Log'!$1:$1048576,$B597,MATCH("Impact Area",'RAID Log'!$1:$1,0)),"")="","",IFERROR(INDEX('RAID Log'!$1:$1048576,$B597,MATCH("Impact Area",'RAID Log'!$1:$1,0)),"")))</f>
        <v/>
      </c>
      <c r="G597" s="85" t="str">
        <f>IF($B597="","",IF(IFERROR(INDEX('RAID Log'!$1:$1048576,$B597,MATCH("Impact Rating",'RAID Log'!$1:$1,0)),"")="","",IFERROR(INDEX('RAID Log'!$1:$1048576,$B597,MATCH("Impact Rating",'RAID Log'!$1:$1,0)),"")))</f>
        <v/>
      </c>
      <c r="H597" s="85" t="str">
        <f>IF($B597="","",IF(IFERROR(INDEX('RAID Log'!$1:$1048576,$B597,MATCH("Initial Probability",'RAID Log'!$1:$1,0)),"")="","",IFERROR(INDEX('RAID Log'!$1:$1048576,$B597,MATCH("Initial Probability",'RAID Log'!$1:$1,0)),"")))</f>
        <v/>
      </c>
      <c r="I597" s="86" t="str">
        <f t="shared" si="27"/>
        <v/>
      </c>
      <c r="J597" s="85" t="str">
        <f t="shared" si="28"/>
        <v/>
      </c>
      <c r="K597" s="86" t="str">
        <f t="shared" si="29"/>
        <v/>
      </c>
      <c r="L597" s="85" t="str">
        <f>IF($B597="","",IF(IFERROR(INDEX('RAID Log'!$1:$1048576,$B597,MATCH("Status",'RAID Log'!$1:$1,0)),"")="","",IFERROR(INDEX('RAID Log'!$1:$1048576,$B597,MATCH("Status",'RAID Log'!$1:$1,0)),"")))</f>
        <v/>
      </c>
      <c r="M597" s="85" t="str">
        <f>IF($B597="","",IF(IFERROR(INDEX('RAID Log'!$1:$1048576,$B597,MATCH("RAID Owner",'RAID Log'!$1:$1,0)),"")="","",IFERROR(INDEX('RAID Log'!$1:$1048576,$B597,MATCH("RAID Owner",'RAID Log'!$1:$1,0)),"")))</f>
        <v/>
      </c>
      <c r="N597" s="87" t="str">
        <f>IF($B597="","",IF(IFERROR(INDEX('RAID Log'!$1:$1048576,$B597,MATCH("Date Raised",'RAID Log'!$1:$1,0)),"")="","",IFERROR(INDEX('RAID Log'!$1:$1048576,$B597,MATCH("Date Raised",'RAID Log'!$1:$1,0)),"")))</f>
        <v/>
      </c>
      <c r="O597" s="87" t="str">
        <f>IF($B597="","",IF(IFERROR(INDEX('RAID Log'!$1:$1048576,$B597,MATCH("Closed Date",'RAID Log'!$1:$1,0)),"")="","",IFERROR(INDEX('RAID Log'!$1:$1048576,$B597,MATCH("Closed Date",'RAID Log'!$1:$1,0)),"")))</f>
        <v/>
      </c>
      <c r="P597" s="85" t="str">
        <f>IF($B597="","",IF(IFERROR(INDEX('RAID Log'!$1:$1048576,$B597,MATCH("Mitigation Strategy",'RAID Log'!$1:$1,0)),"")="","",IFERROR(INDEX('RAID Log'!$1:$1048576,$B597,MATCH("Mitigation Strategy",'RAID Log'!$1:$1,0)),"")))</f>
        <v/>
      </c>
      <c r="Q597" s="88" t="str">
        <f>IF($B597="","",IF(IFERROR(INDEX('RAID Log'!$1:$1048576,$B597,MATCH("RAID Response/Plan",'RAID Log'!$1:$1,0)),"")="","",IFERROR(INDEX('RAID Log'!$1:$1048576,$B597,MATCH("RAID Response/Plan",'RAID Log'!$1:$1,0)),"")))</f>
        <v/>
      </c>
    </row>
    <row r="598" spans="1:17" ht="14.25" customHeight="1">
      <c r="A598" s="82" t="str">
        <f>IF($B598="","",IF(IFERROR(INDEX('RAID Log'!$1:$1048576,$B598,MATCH("RAID ID",'RAID Log'!$1:$1,0)),"")="","",IFERROR(INDEX('RAID Log'!$1:$1048576,$B598,MATCH("RAID ID",'RAID Log'!$1:$1,0)),"")))</f>
        <v/>
      </c>
      <c r="B598" s="83" t="str">
        <f>IFERROR(MATCH(ROW()-1,'RAID Log'!$S:$S,0),"")</f>
        <v/>
      </c>
      <c r="C598" s="84" t="str">
        <f>IF($B598="","",IF(IFERROR(INDEX('RAID Log'!$1:$1048576,$B598,MATCH("Description",'RAID Log'!$1:$1,0)),"")="","",IFERROR(INDEX('RAID Log'!$1:$1048576,$B598,MATCH("Description",'RAID Log'!$1:$1,0)),"")))</f>
        <v/>
      </c>
      <c r="D598" s="84" t="str">
        <f>IF($B598="","",IF(IFERROR(INDEX('RAID Log'!$1:$1048576,$B598,MATCH("Impact/Effect of the RAID",'RAID Log'!$1:$1,0)),"")="","",IFERROR(INDEX('RAID Log'!$1:$1048576,$B598,MATCH("Impact/Effect of the RAID",'RAID Log'!$1:$1,0)),"")))</f>
        <v/>
      </c>
      <c r="E598" s="85" t="str">
        <f>IF($B598="","",IF(IFERROR(INDEX('RAID Log'!$1:$1048576,$B598,MATCH("Impact Area",'RAID Log'!$1:$1,0)),"")="","",IFERROR(INDEX('RAID Log'!$1:$1048576,$B598,MATCH("Impact Area",'RAID Log'!$1:$1,0)),"")))</f>
        <v/>
      </c>
      <c r="F598" s="85" t="str">
        <f>IF($B598="","",IF(IFERROR(INDEX('RAID Log'!$1:$1048576,$B598,MATCH("Impact Area",'RAID Log'!$1:$1,0)),"")="","",IFERROR(INDEX('RAID Log'!$1:$1048576,$B598,MATCH("Impact Area",'RAID Log'!$1:$1,0)),"")))</f>
        <v/>
      </c>
      <c r="G598" s="85" t="str">
        <f>IF($B598="","",IF(IFERROR(INDEX('RAID Log'!$1:$1048576,$B598,MATCH("Impact Rating",'RAID Log'!$1:$1,0)),"")="","",IFERROR(INDEX('RAID Log'!$1:$1048576,$B598,MATCH("Impact Rating",'RAID Log'!$1:$1,0)),"")))</f>
        <v/>
      </c>
      <c r="H598" s="85" t="str">
        <f>IF($B598="","",IF(IFERROR(INDEX('RAID Log'!$1:$1048576,$B598,MATCH("Initial Probability",'RAID Log'!$1:$1,0)),"")="","",IFERROR(INDEX('RAID Log'!$1:$1048576,$B598,MATCH("Initial Probability",'RAID Log'!$1:$1,0)),"")))</f>
        <v/>
      </c>
      <c r="I598" s="86" t="str">
        <f t="shared" si="27"/>
        <v/>
      </c>
      <c r="J598" s="85" t="str">
        <f t="shared" si="28"/>
        <v/>
      </c>
      <c r="K598" s="86" t="str">
        <f t="shared" si="29"/>
        <v/>
      </c>
      <c r="L598" s="85" t="str">
        <f>IF($B598="","",IF(IFERROR(INDEX('RAID Log'!$1:$1048576,$B598,MATCH("Status",'RAID Log'!$1:$1,0)),"")="","",IFERROR(INDEX('RAID Log'!$1:$1048576,$B598,MATCH("Status",'RAID Log'!$1:$1,0)),"")))</f>
        <v/>
      </c>
      <c r="M598" s="85" t="str">
        <f>IF($B598="","",IF(IFERROR(INDEX('RAID Log'!$1:$1048576,$B598,MATCH("RAID Owner",'RAID Log'!$1:$1,0)),"")="","",IFERROR(INDEX('RAID Log'!$1:$1048576,$B598,MATCH("RAID Owner",'RAID Log'!$1:$1,0)),"")))</f>
        <v/>
      </c>
      <c r="N598" s="87" t="str">
        <f>IF($B598="","",IF(IFERROR(INDEX('RAID Log'!$1:$1048576,$B598,MATCH("Date Raised",'RAID Log'!$1:$1,0)),"")="","",IFERROR(INDEX('RAID Log'!$1:$1048576,$B598,MATCH("Date Raised",'RAID Log'!$1:$1,0)),"")))</f>
        <v/>
      </c>
      <c r="O598" s="87" t="str">
        <f>IF($B598="","",IF(IFERROR(INDEX('RAID Log'!$1:$1048576,$B598,MATCH("Closed Date",'RAID Log'!$1:$1,0)),"")="","",IFERROR(INDEX('RAID Log'!$1:$1048576,$B598,MATCH("Closed Date",'RAID Log'!$1:$1,0)),"")))</f>
        <v/>
      </c>
      <c r="P598" s="85" t="str">
        <f>IF($B598="","",IF(IFERROR(INDEX('RAID Log'!$1:$1048576,$B598,MATCH("Mitigation Strategy",'RAID Log'!$1:$1,0)),"")="","",IFERROR(INDEX('RAID Log'!$1:$1048576,$B598,MATCH("Mitigation Strategy",'RAID Log'!$1:$1,0)),"")))</f>
        <v/>
      </c>
      <c r="Q598" s="88" t="str">
        <f>IF($B598="","",IF(IFERROR(INDEX('RAID Log'!$1:$1048576,$B598,MATCH("RAID Response/Plan",'RAID Log'!$1:$1,0)),"")="","",IFERROR(INDEX('RAID Log'!$1:$1048576,$B598,MATCH("RAID Response/Plan",'RAID Log'!$1:$1,0)),"")))</f>
        <v/>
      </c>
    </row>
    <row r="599" spans="1:17" ht="14.25" customHeight="1">
      <c r="A599" s="82" t="str">
        <f>IF($B599="","",IF(IFERROR(INDEX('RAID Log'!$1:$1048576,$B599,MATCH("RAID ID",'RAID Log'!$1:$1,0)),"")="","",IFERROR(INDEX('RAID Log'!$1:$1048576,$B599,MATCH("RAID ID",'RAID Log'!$1:$1,0)),"")))</f>
        <v/>
      </c>
      <c r="B599" s="83" t="str">
        <f>IFERROR(MATCH(ROW()-1,'RAID Log'!$S:$S,0),"")</f>
        <v/>
      </c>
      <c r="C599" s="84" t="str">
        <f>IF($B599="","",IF(IFERROR(INDEX('RAID Log'!$1:$1048576,$B599,MATCH("Description",'RAID Log'!$1:$1,0)),"")="","",IFERROR(INDEX('RAID Log'!$1:$1048576,$B599,MATCH("Description",'RAID Log'!$1:$1,0)),"")))</f>
        <v/>
      </c>
      <c r="D599" s="84" t="str">
        <f>IF($B599="","",IF(IFERROR(INDEX('RAID Log'!$1:$1048576,$B599,MATCH("Impact/Effect of the RAID",'RAID Log'!$1:$1,0)),"")="","",IFERROR(INDEX('RAID Log'!$1:$1048576,$B599,MATCH("Impact/Effect of the RAID",'RAID Log'!$1:$1,0)),"")))</f>
        <v/>
      </c>
      <c r="E599" s="85" t="str">
        <f>IF($B599="","",IF(IFERROR(INDEX('RAID Log'!$1:$1048576,$B599,MATCH("Impact Area",'RAID Log'!$1:$1,0)),"")="","",IFERROR(INDEX('RAID Log'!$1:$1048576,$B599,MATCH("Impact Area",'RAID Log'!$1:$1,0)),"")))</f>
        <v/>
      </c>
      <c r="F599" s="85" t="str">
        <f>IF($B599="","",IF(IFERROR(INDEX('RAID Log'!$1:$1048576,$B599,MATCH("Impact Area",'RAID Log'!$1:$1,0)),"")="","",IFERROR(INDEX('RAID Log'!$1:$1048576,$B599,MATCH("Impact Area",'RAID Log'!$1:$1,0)),"")))</f>
        <v/>
      </c>
      <c r="G599" s="85" t="str">
        <f>IF($B599="","",IF(IFERROR(INDEX('RAID Log'!$1:$1048576,$B599,MATCH("Impact Rating",'RAID Log'!$1:$1,0)),"")="","",IFERROR(INDEX('RAID Log'!$1:$1048576,$B599,MATCH("Impact Rating",'RAID Log'!$1:$1,0)),"")))</f>
        <v/>
      </c>
      <c r="H599" s="85" t="str">
        <f>IF($B599="","",IF(IFERROR(INDEX('RAID Log'!$1:$1048576,$B599,MATCH("Initial Probability",'RAID Log'!$1:$1,0)),"")="","",IFERROR(INDEX('RAID Log'!$1:$1048576,$B599,MATCH("Initial Probability",'RAID Log'!$1:$1,0)),"")))</f>
        <v/>
      </c>
      <c r="I599" s="86" t="str">
        <f t="shared" si="27"/>
        <v/>
      </c>
      <c r="J599" s="85" t="str">
        <f t="shared" si="28"/>
        <v/>
      </c>
      <c r="K599" s="86" t="str">
        <f t="shared" si="29"/>
        <v/>
      </c>
      <c r="L599" s="85" t="str">
        <f>IF($B599="","",IF(IFERROR(INDEX('RAID Log'!$1:$1048576,$B599,MATCH("Status",'RAID Log'!$1:$1,0)),"")="","",IFERROR(INDEX('RAID Log'!$1:$1048576,$B599,MATCH("Status",'RAID Log'!$1:$1,0)),"")))</f>
        <v/>
      </c>
      <c r="M599" s="85" t="str">
        <f>IF($B599="","",IF(IFERROR(INDEX('RAID Log'!$1:$1048576,$B599,MATCH("RAID Owner",'RAID Log'!$1:$1,0)),"")="","",IFERROR(INDEX('RAID Log'!$1:$1048576,$B599,MATCH("RAID Owner",'RAID Log'!$1:$1,0)),"")))</f>
        <v/>
      </c>
      <c r="N599" s="87" t="str">
        <f>IF($B599="","",IF(IFERROR(INDEX('RAID Log'!$1:$1048576,$B599,MATCH("Date Raised",'RAID Log'!$1:$1,0)),"")="","",IFERROR(INDEX('RAID Log'!$1:$1048576,$B599,MATCH("Date Raised",'RAID Log'!$1:$1,0)),"")))</f>
        <v/>
      </c>
      <c r="O599" s="87" t="str">
        <f>IF($B599="","",IF(IFERROR(INDEX('RAID Log'!$1:$1048576,$B599,MATCH("Closed Date",'RAID Log'!$1:$1,0)),"")="","",IFERROR(INDEX('RAID Log'!$1:$1048576,$B599,MATCH("Closed Date",'RAID Log'!$1:$1,0)),"")))</f>
        <v/>
      </c>
      <c r="P599" s="85" t="str">
        <f>IF($B599="","",IF(IFERROR(INDEX('RAID Log'!$1:$1048576,$B599,MATCH("Mitigation Strategy",'RAID Log'!$1:$1,0)),"")="","",IFERROR(INDEX('RAID Log'!$1:$1048576,$B599,MATCH("Mitigation Strategy",'RAID Log'!$1:$1,0)),"")))</f>
        <v/>
      </c>
      <c r="Q599" s="88" t="str">
        <f>IF($B599="","",IF(IFERROR(INDEX('RAID Log'!$1:$1048576,$B599,MATCH("RAID Response/Plan",'RAID Log'!$1:$1,0)),"")="","",IFERROR(INDEX('RAID Log'!$1:$1048576,$B599,MATCH("RAID Response/Plan",'RAID Log'!$1:$1,0)),"")))</f>
        <v/>
      </c>
    </row>
    <row r="600" spans="1:17" ht="14.25" customHeight="1">
      <c r="A600" s="82" t="str">
        <f>IF($B600="","",IF(IFERROR(INDEX('RAID Log'!$1:$1048576,$B600,MATCH("RAID ID",'RAID Log'!$1:$1,0)),"")="","",IFERROR(INDEX('RAID Log'!$1:$1048576,$B600,MATCH("RAID ID",'RAID Log'!$1:$1,0)),"")))</f>
        <v/>
      </c>
      <c r="B600" s="83" t="str">
        <f>IFERROR(MATCH(ROW()-1,'RAID Log'!$S:$S,0),"")</f>
        <v/>
      </c>
      <c r="C600" s="84" t="str">
        <f>IF($B600="","",IF(IFERROR(INDEX('RAID Log'!$1:$1048576,$B600,MATCH("Description",'RAID Log'!$1:$1,0)),"")="","",IFERROR(INDEX('RAID Log'!$1:$1048576,$B600,MATCH("Description",'RAID Log'!$1:$1,0)),"")))</f>
        <v/>
      </c>
      <c r="D600" s="84" t="str">
        <f>IF($B600="","",IF(IFERROR(INDEX('RAID Log'!$1:$1048576,$B600,MATCH("Impact/Effect of the RAID",'RAID Log'!$1:$1,0)),"")="","",IFERROR(INDEX('RAID Log'!$1:$1048576,$B600,MATCH("Impact/Effect of the RAID",'RAID Log'!$1:$1,0)),"")))</f>
        <v/>
      </c>
      <c r="E600" s="85" t="str">
        <f>IF($B600="","",IF(IFERROR(INDEX('RAID Log'!$1:$1048576,$B600,MATCH("Impact Area",'RAID Log'!$1:$1,0)),"")="","",IFERROR(INDEX('RAID Log'!$1:$1048576,$B600,MATCH("Impact Area",'RAID Log'!$1:$1,0)),"")))</f>
        <v/>
      </c>
      <c r="F600" s="85" t="str">
        <f>IF($B600="","",IF(IFERROR(INDEX('RAID Log'!$1:$1048576,$B600,MATCH("Impact Area",'RAID Log'!$1:$1,0)),"")="","",IFERROR(INDEX('RAID Log'!$1:$1048576,$B600,MATCH("Impact Area",'RAID Log'!$1:$1,0)),"")))</f>
        <v/>
      </c>
      <c r="G600" s="85" t="str">
        <f>IF($B600="","",IF(IFERROR(INDEX('RAID Log'!$1:$1048576,$B600,MATCH("Impact Rating",'RAID Log'!$1:$1,0)),"")="","",IFERROR(INDEX('RAID Log'!$1:$1048576,$B600,MATCH("Impact Rating",'RAID Log'!$1:$1,0)),"")))</f>
        <v/>
      </c>
      <c r="H600" s="85" t="str">
        <f>IF($B600="","",IF(IFERROR(INDEX('RAID Log'!$1:$1048576,$B600,MATCH("Initial Probability",'RAID Log'!$1:$1,0)),"")="","",IFERROR(INDEX('RAID Log'!$1:$1048576,$B600,MATCH("Initial Probability",'RAID Log'!$1:$1,0)),"")))</f>
        <v/>
      </c>
      <c r="I600" s="86" t="str">
        <f t="shared" si="27"/>
        <v/>
      </c>
      <c r="J600" s="85" t="str">
        <f t="shared" si="28"/>
        <v/>
      </c>
      <c r="K600" s="86" t="str">
        <f t="shared" si="29"/>
        <v/>
      </c>
      <c r="L600" s="85" t="str">
        <f>IF($B600="","",IF(IFERROR(INDEX('RAID Log'!$1:$1048576,$B600,MATCH("Status",'RAID Log'!$1:$1,0)),"")="","",IFERROR(INDEX('RAID Log'!$1:$1048576,$B600,MATCH("Status",'RAID Log'!$1:$1,0)),"")))</f>
        <v/>
      </c>
      <c r="M600" s="85" t="str">
        <f>IF($B600="","",IF(IFERROR(INDEX('RAID Log'!$1:$1048576,$B600,MATCH("RAID Owner",'RAID Log'!$1:$1,0)),"")="","",IFERROR(INDEX('RAID Log'!$1:$1048576,$B600,MATCH("RAID Owner",'RAID Log'!$1:$1,0)),"")))</f>
        <v/>
      </c>
      <c r="N600" s="87" t="str">
        <f>IF($B600="","",IF(IFERROR(INDEX('RAID Log'!$1:$1048576,$B600,MATCH("Date Raised",'RAID Log'!$1:$1,0)),"")="","",IFERROR(INDEX('RAID Log'!$1:$1048576,$B600,MATCH("Date Raised",'RAID Log'!$1:$1,0)),"")))</f>
        <v/>
      </c>
      <c r="O600" s="87" t="str">
        <f>IF($B600="","",IF(IFERROR(INDEX('RAID Log'!$1:$1048576,$B600,MATCH("Closed Date",'RAID Log'!$1:$1,0)),"")="","",IFERROR(INDEX('RAID Log'!$1:$1048576,$B600,MATCH("Closed Date",'RAID Log'!$1:$1,0)),"")))</f>
        <v/>
      </c>
      <c r="P600" s="85" t="str">
        <f>IF($B600="","",IF(IFERROR(INDEX('RAID Log'!$1:$1048576,$B600,MATCH("Mitigation Strategy",'RAID Log'!$1:$1,0)),"")="","",IFERROR(INDEX('RAID Log'!$1:$1048576,$B600,MATCH("Mitigation Strategy",'RAID Log'!$1:$1,0)),"")))</f>
        <v/>
      </c>
      <c r="Q600" s="88" t="str">
        <f>IF($B600="","",IF(IFERROR(INDEX('RAID Log'!$1:$1048576,$B600,MATCH("RAID Response/Plan",'RAID Log'!$1:$1,0)),"")="","",IFERROR(INDEX('RAID Log'!$1:$1048576,$B600,MATCH("RAID Response/Plan",'RAID Log'!$1:$1,0)),"")))</f>
        <v/>
      </c>
    </row>
    <row r="601" spans="1:17" ht="14.25" customHeight="1">
      <c r="A601" s="82" t="str">
        <f>IF($B601="","",IF(IFERROR(INDEX('RAID Log'!$1:$1048576,$B601,MATCH("RAID ID",'RAID Log'!$1:$1,0)),"")="","",IFERROR(INDEX('RAID Log'!$1:$1048576,$B601,MATCH("RAID ID",'RAID Log'!$1:$1,0)),"")))</f>
        <v/>
      </c>
      <c r="B601" s="83" t="str">
        <f>IFERROR(MATCH(ROW()-1,'RAID Log'!$S:$S,0),"")</f>
        <v/>
      </c>
      <c r="C601" s="84" t="str">
        <f>IF($B601="","",IF(IFERROR(INDEX('RAID Log'!$1:$1048576,$B601,MATCH("Description",'RAID Log'!$1:$1,0)),"")="","",IFERROR(INDEX('RAID Log'!$1:$1048576,$B601,MATCH("Description",'RAID Log'!$1:$1,0)),"")))</f>
        <v/>
      </c>
      <c r="D601" s="84" t="str">
        <f>IF($B601="","",IF(IFERROR(INDEX('RAID Log'!$1:$1048576,$B601,MATCH("Impact/Effect of the RAID",'RAID Log'!$1:$1,0)),"")="","",IFERROR(INDEX('RAID Log'!$1:$1048576,$B601,MATCH("Impact/Effect of the RAID",'RAID Log'!$1:$1,0)),"")))</f>
        <v/>
      </c>
      <c r="E601" s="85" t="str">
        <f>IF($B601="","",IF(IFERROR(INDEX('RAID Log'!$1:$1048576,$B601,MATCH("Impact Area",'RAID Log'!$1:$1,0)),"")="","",IFERROR(INDEX('RAID Log'!$1:$1048576,$B601,MATCH("Impact Area",'RAID Log'!$1:$1,0)),"")))</f>
        <v/>
      </c>
      <c r="F601" s="85" t="str">
        <f>IF($B601="","",IF(IFERROR(INDEX('RAID Log'!$1:$1048576,$B601,MATCH("Impact Area",'RAID Log'!$1:$1,0)),"")="","",IFERROR(INDEX('RAID Log'!$1:$1048576,$B601,MATCH("Impact Area",'RAID Log'!$1:$1,0)),"")))</f>
        <v/>
      </c>
      <c r="G601" s="85" t="str">
        <f>IF($B601="","",IF(IFERROR(INDEX('RAID Log'!$1:$1048576,$B601,MATCH("Impact Rating",'RAID Log'!$1:$1,0)),"")="","",IFERROR(INDEX('RAID Log'!$1:$1048576,$B601,MATCH("Impact Rating",'RAID Log'!$1:$1,0)),"")))</f>
        <v/>
      </c>
      <c r="H601" s="85" t="str">
        <f>IF($B601="","",IF(IFERROR(INDEX('RAID Log'!$1:$1048576,$B601,MATCH("Initial Probability",'RAID Log'!$1:$1,0)),"")="","",IFERROR(INDEX('RAID Log'!$1:$1048576,$B601,MATCH("Initial Probability",'RAID Log'!$1:$1,0)),"")))</f>
        <v/>
      </c>
      <c r="I601" s="86" t="str">
        <f t="shared" si="27"/>
        <v/>
      </c>
      <c r="J601" s="85" t="str">
        <f t="shared" si="28"/>
        <v/>
      </c>
      <c r="K601" s="86" t="str">
        <f t="shared" si="29"/>
        <v/>
      </c>
      <c r="L601" s="85" t="str">
        <f>IF($B601="","",IF(IFERROR(INDEX('RAID Log'!$1:$1048576,$B601,MATCH("Status",'RAID Log'!$1:$1,0)),"")="","",IFERROR(INDEX('RAID Log'!$1:$1048576,$B601,MATCH("Status",'RAID Log'!$1:$1,0)),"")))</f>
        <v/>
      </c>
      <c r="M601" s="85" t="str">
        <f>IF($B601="","",IF(IFERROR(INDEX('RAID Log'!$1:$1048576,$B601,MATCH("RAID Owner",'RAID Log'!$1:$1,0)),"")="","",IFERROR(INDEX('RAID Log'!$1:$1048576,$B601,MATCH("RAID Owner",'RAID Log'!$1:$1,0)),"")))</f>
        <v/>
      </c>
      <c r="N601" s="87" t="str">
        <f>IF($B601="","",IF(IFERROR(INDEX('RAID Log'!$1:$1048576,$B601,MATCH("Date Raised",'RAID Log'!$1:$1,0)),"")="","",IFERROR(INDEX('RAID Log'!$1:$1048576,$B601,MATCH("Date Raised",'RAID Log'!$1:$1,0)),"")))</f>
        <v/>
      </c>
      <c r="O601" s="87" t="str">
        <f>IF($B601="","",IF(IFERROR(INDEX('RAID Log'!$1:$1048576,$B601,MATCH("Closed Date",'RAID Log'!$1:$1,0)),"")="","",IFERROR(INDEX('RAID Log'!$1:$1048576,$B601,MATCH("Closed Date",'RAID Log'!$1:$1,0)),"")))</f>
        <v/>
      </c>
      <c r="P601" s="85" t="str">
        <f>IF($B601="","",IF(IFERROR(INDEX('RAID Log'!$1:$1048576,$B601,MATCH("Mitigation Strategy",'RAID Log'!$1:$1,0)),"")="","",IFERROR(INDEX('RAID Log'!$1:$1048576,$B601,MATCH("Mitigation Strategy",'RAID Log'!$1:$1,0)),"")))</f>
        <v/>
      </c>
      <c r="Q601" s="88" t="str">
        <f>IF($B601="","",IF(IFERROR(INDEX('RAID Log'!$1:$1048576,$B601,MATCH("RAID Response/Plan",'RAID Log'!$1:$1,0)),"")="","",IFERROR(INDEX('RAID Log'!$1:$1048576,$B601,MATCH("RAID Response/Plan",'RAID Log'!$1:$1,0)),"")))</f>
        <v/>
      </c>
    </row>
    <row r="602" spans="1:17" ht="14.25" customHeight="1">
      <c r="A602" s="82" t="str">
        <f>IF($B602="","",IF(IFERROR(INDEX('RAID Log'!$1:$1048576,$B602,MATCH("RAID ID",'RAID Log'!$1:$1,0)),"")="","",IFERROR(INDEX('RAID Log'!$1:$1048576,$B602,MATCH("RAID ID",'RAID Log'!$1:$1,0)),"")))</f>
        <v/>
      </c>
      <c r="B602" s="83" t="str">
        <f>IFERROR(MATCH(ROW()-1,'RAID Log'!$S:$S,0),"")</f>
        <v/>
      </c>
      <c r="C602" s="84" t="str">
        <f>IF($B602="","",IF(IFERROR(INDEX('RAID Log'!$1:$1048576,$B602,MATCH("Description",'RAID Log'!$1:$1,0)),"")="","",IFERROR(INDEX('RAID Log'!$1:$1048576,$B602,MATCH("Description",'RAID Log'!$1:$1,0)),"")))</f>
        <v/>
      </c>
      <c r="D602" s="84" t="str">
        <f>IF($B602="","",IF(IFERROR(INDEX('RAID Log'!$1:$1048576,$B602,MATCH("Impact/Effect of the RAID",'RAID Log'!$1:$1,0)),"")="","",IFERROR(INDEX('RAID Log'!$1:$1048576,$B602,MATCH("Impact/Effect of the RAID",'RAID Log'!$1:$1,0)),"")))</f>
        <v/>
      </c>
      <c r="E602" s="85" t="str">
        <f>IF($B602="","",IF(IFERROR(INDEX('RAID Log'!$1:$1048576,$B602,MATCH("Impact Area",'RAID Log'!$1:$1,0)),"")="","",IFERROR(INDEX('RAID Log'!$1:$1048576,$B602,MATCH("Impact Area",'RAID Log'!$1:$1,0)),"")))</f>
        <v/>
      </c>
      <c r="F602" s="85" t="str">
        <f>IF($B602="","",IF(IFERROR(INDEX('RAID Log'!$1:$1048576,$B602,MATCH("Impact Area",'RAID Log'!$1:$1,0)),"")="","",IFERROR(INDEX('RAID Log'!$1:$1048576,$B602,MATCH("Impact Area",'RAID Log'!$1:$1,0)),"")))</f>
        <v/>
      </c>
      <c r="G602" s="85" t="str">
        <f>IF($B602="","",IF(IFERROR(INDEX('RAID Log'!$1:$1048576,$B602,MATCH("Impact Rating",'RAID Log'!$1:$1,0)),"")="","",IFERROR(INDEX('RAID Log'!$1:$1048576,$B602,MATCH("Impact Rating",'RAID Log'!$1:$1,0)),"")))</f>
        <v/>
      </c>
      <c r="H602" s="85" t="str">
        <f>IF($B602="","",IF(IFERROR(INDEX('RAID Log'!$1:$1048576,$B602,MATCH("Initial Probability",'RAID Log'!$1:$1,0)),"")="","",IFERROR(INDEX('RAID Log'!$1:$1048576,$B602,MATCH("Initial Probability",'RAID Log'!$1:$1,0)),"")))</f>
        <v/>
      </c>
      <c r="I602" s="86" t="str">
        <f t="shared" si="27"/>
        <v/>
      </c>
      <c r="J602" s="85" t="str">
        <f t="shared" si="28"/>
        <v/>
      </c>
      <c r="K602" s="86" t="str">
        <f t="shared" si="29"/>
        <v/>
      </c>
      <c r="L602" s="85" t="str">
        <f>IF($B602="","",IF(IFERROR(INDEX('RAID Log'!$1:$1048576,$B602,MATCH("Status",'RAID Log'!$1:$1,0)),"")="","",IFERROR(INDEX('RAID Log'!$1:$1048576,$B602,MATCH("Status",'RAID Log'!$1:$1,0)),"")))</f>
        <v/>
      </c>
      <c r="M602" s="85" t="str">
        <f>IF($B602="","",IF(IFERROR(INDEX('RAID Log'!$1:$1048576,$B602,MATCH("RAID Owner",'RAID Log'!$1:$1,0)),"")="","",IFERROR(INDEX('RAID Log'!$1:$1048576,$B602,MATCH("RAID Owner",'RAID Log'!$1:$1,0)),"")))</f>
        <v/>
      </c>
      <c r="N602" s="87" t="str">
        <f>IF($B602="","",IF(IFERROR(INDEX('RAID Log'!$1:$1048576,$B602,MATCH("Date Raised",'RAID Log'!$1:$1,0)),"")="","",IFERROR(INDEX('RAID Log'!$1:$1048576,$B602,MATCH("Date Raised",'RAID Log'!$1:$1,0)),"")))</f>
        <v/>
      </c>
      <c r="O602" s="87" t="str">
        <f>IF($B602="","",IF(IFERROR(INDEX('RAID Log'!$1:$1048576,$B602,MATCH("Closed Date",'RAID Log'!$1:$1,0)),"")="","",IFERROR(INDEX('RAID Log'!$1:$1048576,$B602,MATCH("Closed Date",'RAID Log'!$1:$1,0)),"")))</f>
        <v/>
      </c>
      <c r="P602" s="85" t="str">
        <f>IF($B602="","",IF(IFERROR(INDEX('RAID Log'!$1:$1048576,$B602,MATCH("Mitigation Strategy",'RAID Log'!$1:$1,0)),"")="","",IFERROR(INDEX('RAID Log'!$1:$1048576,$B602,MATCH("Mitigation Strategy",'RAID Log'!$1:$1,0)),"")))</f>
        <v/>
      </c>
      <c r="Q602" s="88" t="str">
        <f>IF($B602="","",IF(IFERROR(INDEX('RAID Log'!$1:$1048576,$B602,MATCH("RAID Response/Plan",'RAID Log'!$1:$1,0)),"")="","",IFERROR(INDEX('RAID Log'!$1:$1048576,$B602,MATCH("RAID Response/Plan",'RAID Log'!$1:$1,0)),"")))</f>
        <v/>
      </c>
    </row>
    <row r="603" spans="1:17" ht="14.25" customHeight="1">
      <c r="A603" s="82" t="str">
        <f>IF($B603="","",IF(IFERROR(INDEX('RAID Log'!$1:$1048576,$B603,MATCH("RAID ID",'RAID Log'!$1:$1,0)),"")="","",IFERROR(INDEX('RAID Log'!$1:$1048576,$B603,MATCH("RAID ID",'RAID Log'!$1:$1,0)),"")))</f>
        <v/>
      </c>
      <c r="B603" s="83" t="str">
        <f>IFERROR(MATCH(ROW()-1,'RAID Log'!$S:$S,0),"")</f>
        <v/>
      </c>
      <c r="C603" s="84" t="str">
        <f>IF($B603="","",IF(IFERROR(INDEX('RAID Log'!$1:$1048576,$B603,MATCH("Description",'RAID Log'!$1:$1,0)),"")="","",IFERROR(INDEX('RAID Log'!$1:$1048576,$B603,MATCH("Description",'RAID Log'!$1:$1,0)),"")))</f>
        <v/>
      </c>
      <c r="D603" s="84" t="str">
        <f>IF($B603="","",IF(IFERROR(INDEX('RAID Log'!$1:$1048576,$B603,MATCH("Impact/Effect of the RAID",'RAID Log'!$1:$1,0)),"")="","",IFERROR(INDEX('RAID Log'!$1:$1048576,$B603,MATCH("Impact/Effect of the RAID",'RAID Log'!$1:$1,0)),"")))</f>
        <v/>
      </c>
      <c r="E603" s="85" t="str">
        <f>IF($B603="","",IF(IFERROR(INDEX('RAID Log'!$1:$1048576,$B603,MATCH("Impact Area",'RAID Log'!$1:$1,0)),"")="","",IFERROR(INDEX('RAID Log'!$1:$1048576,$B603,MATCH("Impact Area",'RAID Log'!$1:$1,0)),"")))</f>
        <v/>
      </c>
      <c r="F603" s="85" t="str">
        <f>IF($B603="","",IF(IFERROR(INDEX('RAID Log'!$1:$1048576,$B603,MATCH("Impact Area",'RAID Log'!$1:$1,0)),"")="","",IFERROR(INDEX('RAID Log'!$1:$1048576,$B603,MATCH("Impact Area",'RAID Log'!$1:$1,0)),"")))</f>
        <v/>
      </c>
      <c r="G603" s="85" t="str">
        <f>IF($B603="","",IF(IFERROR(INDEX('RAID Log'!$1:$1048576,$B603,MATCH("Impact Rating",'RAID Log'!$1:$1,0)),"")="","",IFERROR(INDEX('RAID Log'!$1:$1048576,$B603,MATCH("Impact Rating",'RAID Log'!$1:$1,0)),"")))</f>
        <v/>
      </c>
      <c r="H603" s="85" t="str">
        <f>IF($B603="","",IF(IFERROR(INDEX('RAID Log'!$1:$1048576,$B603,MATCH("Initial Probability",'RAID Log'!$1:$1,0)),"")="","",IFERROR(INDEX('RAID Log'!$1:$1048576,$B603,MATCH("Initial Probability",'RAID Log'!$1:$1,0)),"")))</f>
        <v/>
      </c>
      <c r="I603" s="86" t="str">
        <f t="shared" si="27"/>
        <v/>
      </c>
      <c r="J603" s="85" t="str">
        <f t="shared" si="28"/>
        <v/>
      </c>
      <c r="K603" s="86" t="str">
        <f t="shared" si="29"/>
        <v/>
      </c>
      <c r="L603" s="85" t="str">
        <f>IF($B603="","",IF(IFERROR(INDEX('RAID Log'!$1:$1048576,$B603,MATCH("Status",'RAID Log'!$1:$1,0)),"")="","",IFERROR(INDEX('RAID Log'!$1:$1048576,$B603,MATCH("Status",'RAID Log'!$1:$1,0)),"")))</f>
        <v/>
      </c>
      <c r="M603" s="85" t="str">
        <f>IF($B603="","",IF(IFERROR(INDEX('RAID Log'!$1:$1048576,$B603,MATCH("RAID Owner",'RAID Log'!$1:$1,0)),"")="","",IFERROR(INDEX('RAID Log'!$1:$1048576,$B603,MATCH("RAID Owner",'RAID Log'!$1:$1,0)),"")))</f>
        <v/>
      </c>
      <c r="N603" s="87" t="str">
        <f>IF($B603="","",IF(IFERROR(INDEX('RAID Log'!$1:$1048576,$B603,MATCH("Date Raised",'RAID Log'!$1:$1,0)),"")="","",IFERROR(INDEX('RAID Log'!$1:$1048576,$B603,MATCH("Date Raised",'RAID Log'!$1:$1,0)),"")))</f>
        <v/>
      </c>
      <c r="O603" s="87" t="str">
        <f>IF($B603="","",IF(IFERROR(INDEX('RAID Log'!$1:$1048576,$B603,MATCH("Closed Date",'RAID Log'!$1:$1,0)),"")="","",IFERROR(INDEX('RAID Log'!$1:$1048576,$B603,MATCH("Closed Date",'RAID Log'!$1:$1,0)),"")))</f>
        <v/>
      </c>
      <c r="P603" s="85" t="str">
        <f>IF($B603="","",IF(IFERROR(INDEX('RAID Log'!$1:$1048576,$B603,MATCH("Mitigation Strategy",'RAID Log'!$1:$1,0)),"")="","",IFERROR(INDEX('RAID Log'!$1:$1048576,$B603,MATCH("Mitigation Strategy",'RAID Log'!$1:$1,0)),"")))</f>
        <v/>
      </c>
      <c r="Q603" s="88" t="str">
        <f>IF($B603="","",IF(IFERROR(INDEX('RAID Log'!$1:$1048576,$B603,MATCH("RAID Response/Plan",'RAID Log'!$1:$1,0)),"")="","",IFERROR(INDEX('RAID Log'!$1:$1048576,$B603,MATCH("RAID Response/Plan",'RAID Log'!$1:$1,0)),"")))</f>
        <v/>
      </c>
    </row>
    <row r="604" spans="1:17" ht="14.25" customHeight="1">
      <c r="A604" s="82" t="str">
        <f>IF($B604="","",IF(IFERROR(INDEX('RAID Log'!$1:$1048576,$B604,MATCH("RAID ID",'RAID Log'!$1:$1,0)),"")="","",IFERROR(INDEX('RAID Log'!$1:$1048576,$B604,MATCH("RAID ID",'RAID Log'!$1:$1,0)),"")))</f>
        <v/>
      </c>
      <c r="B604" s="83" t="str">
        <f>IFERROR(MATCH(ROW()-1,'RAID Log'!$S:$S,0),"")</f>
        <v/>
      </c>
      <c r="C604" s="84" t="str">
        <f>IF($B604="","",IF(IFERROR(INDEX('RAID Log'!$1:$1048576,$B604,MATCH("Description",'RAID Log'!$1:$1,0)),"")="","",IFERROR(INDEX('RAID Log'!$1:$1048576,$B604,MATCH("Description",'RAID Log'!$1:$1,0)),"")))</f>
        <v/>
      </c>
      <c r="D604" s="84" t="str">
        <f>IF($B604="","",IF(IFERROR(INDEX('RAID Log'!$1:$1048576,$B604,MATCH("Impact/Effect of the RAID",'RAID Log'!$1:$1,0)),"")="","",IFERROR(INDEX('RAID Log'!$1:$1048576,$B604,MATCH("Impact/Effect of the RAID",'RAID Log'!$1:$1,0)),"")))</f>
        <v/>
      </c>
      <c r="E604" s="85" t="str">
        <f>IF($B604="","",IF(IFERROR(INDEX('RAID Log'!$1:$1048576,$B604,MATCH("Impact Area",'RAID Log'!$1:$1,0)),"")="","",IFERROR(INDEX('RAID Log'!$1:$1048576,$B604,MATCH("Impact Area",'RAID Log'!$1:$1,0)),"")))</f>
        <v/>
      </c>
      <c r="F604" s="85" t="str">
        <f>IF($B604="","",IF(IFERROR(INDEX('RAID Log'!$1:$1048576,$B604,MATCH("Impact Area",'RAID Log'!$1:$1,0)),"")="","",IFERROR(INDEX('RAID Log'!$1:$1048576,$B604,MATCH("Impact Area",'RAID Log'!$1:$1,0)),"")))</f>
        <v/>
      </c>
      <c r="G604" s="85" t="str">
        <f>IF($B604="","",IF(IFERROR(INDEX('RAID Log'!$1:$1048576,$B604,MATCH("Impact Rating",'RAID Log'!$1:$1,0)),"")="","",IFERROR(INDEX('RAID Log'!$1:$1048576,$B604,MATCH("Impact Rating",'RAID Log'!$1:$1,0)),"")))</f>
        <v/>
      </c>
      <c r="H604" s="85" t="str">
        <f>IF($B604="","",IF(IFERROR(INDEX('RAID Log'!$1:$1048576,$B604,MATCH("Initial Probability",'RAID Log'!$1:$1,0)),"")="","",IFERROR(INDEX('RAID Log'!$1:$1048576,$B604,MATCH("Initial Probability",'RAID Log'!$1:$1,0)),"")))</f>
        <v/>
      </c>
      <c r="I604" s="86" t="str">
        <f t="shared" si="27"/>
        <v/>
      </c>
      <c r="J604" s="85" t="str">
        <f t="shared" si="28"/>
        <v/>
      </c>
      <c r="K604" s="86" t="str">
        <f t="shared" si="29"/>
        <v/>
      </c>
      <c r="L604" s="85" t="str">
        <f>IF($B604="","",IF(IFERROR(INDEX('RAID Log'!$1:$1048576,$B604,MATCH("Status",'RAID Log'!$1:$1,0)),"")="","",IFERROR(INDEX('RAID Log'!$1:$1048576,$B604,MATCH("Status",'RAID Log'!$1:$1,0)),"")))</f>
        <v/>
      </c>
      <c r="M604" s="85" t="str">
        <f>IF($B604="","",IF(IFERROR(INDEX('RAID Log'!$1:$1048576,$B604,MATCH("RAID Owner",'RAID Log'!$1:$1,0)),"")="","",IFERROR(INDEX('RAID Log'!$1:$1048576,$B604,MATCH("RAID Owner",'RAID Log'!$1:$1,0)),"")))</f>
        <v/>
      </c>
      <c r="N604" s="87" t="str">
        <f>IF($B604="","",IF(IFERROR(INDEX('RAID Log'!$1:$1048576,$B604,MATCH("Date Raised",'RAID Log'!$1:$1,0)),"")="","",IFERROR(INDEX('RAID Log'!$1:$1048576,$B604,MATCH("Date Raised",'RAID Log'!$1:$1,0)),"")))</f>
        <v/>
      </c>
      <c r="O604" s="87" t="str">
        <f>IF($B604="","",IF(IFERROR(INDEX('RAID Log'!$1:$1048576,$B604,MATCH("Closed Date",'RAID Log'!$1:$1,0)),"")="","",IFERROR(INDEX('RAID Log'!$1:$1048576,$B604,MATCH("Closed Date",'RAID Log'!$1:$1,0)),"")))</f>
        <v/>
      </c>
      <c r="P604" s="85" t="str">
        <f>IF($B604="","",IF(IFERROR(INDEX('RAID Log'!$1:$1048576,$B604,MATCH("Mitigation Strategy",'RAID Log'!$1:$1,0)),"")="","",IFERROR(INDEX('RAID Log'!$1:$1048576,$B604,MATCH("Mitigation Strategy",'RAID Log'!$1:$1,0)),"")))</f>
        <v/>
      </c>
      <c r="Q604" s="88" t="str">
        <f>IF($B604="","",IF(IFERROR(INDEX('RAID Log'!$1:$1048576,$B604,MATCH("RAID Response/Plan",'RAID Log'!$1:$1,0)),"")="","",IFERROR(INDEX('RAID Log'!$1:$1048576,$B604,MATCH("RAID Response/Plan",'RAID Log'!$1:$1,0)),"")))</f>
        <v/>
      </c>
    </row>
    <row r="605" spans="1:17" ht="14.25" customHeight="1">
      <c r="A605" s="82" t="str">
        <f>IF($B605="","",IF(IFERROR(INDEX('RAID Log'!$1:$1048576,$B605,MATCH("RAID ID",'RAID Log'!$1:$1,0)),"")="","",IFERROR(INDEX('RAID Log'!$1:$1048576,$B605,MATCH("RAID ID",'RAID Log'!$1:$1,0)),"")))</f>
        <v/>
      </c>
      <c r="B605" s="83" t="str">
        <f>IFERROR(MATCH(ROW()-1,'RAID Log'!$S:$S,0),"")</f>
        <v/>
      </c>
      <c r="C605" s="84" t="str">
        <f>IF($B605="","",IF(IFERROR(INDEX('RAID Log'!$1:$1048576,$B605,MATCH("Description",'RAID Log'!$1:$1,0)),"")="","",IFERROR(INDEX('RAID Log'!$1:$1048576,$B605,MATCH("Description",'RAID Log'!$1:$1,0)),"")))</f>
        <v/>
      </c>
      <c r="D605" s="84" t="str">
        <f>IF($B605="","",IF(IFERROR(INDEX('RAID Log'!$1:$1048576,$B605,MATCH("Impact/Effect of the RAID",'RAID Log'!$1:$1,0)),"")="","",IFERROR(INDEX('RAID Log'!$1:$1048576,$B605,MATCH("Impact/Effect of the RAID",'RAID Log'!$1:$1,0)),"")))</f>
        <v/>
      </c>
      <c r="E605" s="85" t="str">
        <f>IF($B605="","",IF(IFERROR(INDEX('RAID Log'!$1:$1048576,$B605,MATCH("Impact Area",'RAID Log'!$1:$1,0)),"")="","",IFERROR(INDEX('RAID Log'!$1:$1048576,$B605,MATCH("Impact Area",'RAID Log'!$1:$1,0)),"")))</f>
        <v/>
      </c>
      <c r="F605" s="85" t="str">
        <f>IF($B605="","",IF(IFERROR(INDEX('RAID Log'!$1:$1048576,$B605,MATCH("Impact Area",'RAID Log'!$1:$1,0)),"")="","",IFERROR(INDEX('RAID Log'!$1:$1048576,$B605,MATCH("Impact Area",'RAID Log'!$1:$1,0)),"")))</f>
        <v/>
      </c>
      <c r="G605" s="85" t="str">
        <f>IF($B605="","",IF(IFERROR(INDEX('RAID Log'!$1:$1048576,$B605,MATCH("Impact Rating",'RAID Log'!$1:$1,0)),"")="","",IFERROR(INDEX('RAID Log'!$1:$1048576,$B605,MATCH("Impact Rating",'RAID Log'!$1:$1,0)),"")))</f>
        <v/>
      </c>
      <c r="H605" s="85" t="str">
        <f>IF($B605="","",IF(IFERROR(INDEX('RAID Log'!$1:$1048576,$B605,MATCH("Initial Probability",'RAID Log'!$1:$1,0)),"")="","",IFERROR(INDEX('RAID Log'!$1:$1048576,$B605,MATCH("Initial Probability",'RAID Log'!$1:$1,0)),"")))</f>
        <v/>
      </c>
      <c r="I605" s="86" t="str">
        <f t="shared" si="27"/>
        <v/>
      </c>
      <c r="J605" s="85" t="str">
        <f t="shared" si="28"/>
        <v/>
      </c>
      <c r="K605" s="86" t="str">
        <f t="shared" si="29"/>
        <v/>
      </c>
      <c r="L605" s="85" t="str">
        <f>IF($B605="","",IF(IFERROR(INDEX('RAID Log'!$1:$1048576,$B605,MATCH("Status",'RAID Log'!$1:$1,0)),"")="","",IFERROR(INDEX('RAID Log'!$1:$1048576,$B605,MATCH("Status",'RAID Log'!$1:$1,0)),"")))</f>
        <v/>
      </c>
      <c r="M605" s="85" t="str">
        <f>IF($B605="","",IF(IFERROR(INDEX('RAID Log'!$1:$1048576,$B605,MATCH("RAID Owner",'RAID Log'!$1:$1,0)),"")="","",IFERROR(INDEX('RAID Log'!$1:$1048576,$B605,MATCH("RAID Owner",'RAID Log'!$1:$1,0)),"")))</f>
        <v/>
      </c>
      <c r="N605" s="87" t="str">
        <f>IF($B605="","",IF(IFERROR(INDEX('RAID Log'!$1:$1048576,$B605,MATCH("Date Raised",'RAID Log'!$1:$1,0)),"")="","",IFERROR(INDEX('RAID Log'!$1:$1048576,$B605,MATCH("Date Raised",'RAID Log'!$1:$1,0)),"")))</f>
        <v/>
      </c>
      <c r="O605" s="87" t="str">
        <f>IF($B605="","",IF(IFERROR(INDEX('RAID Log'!$1:$1048576,$B605,MATCH("Closed Date",'RAID Log'!$1:$1,0)),"")="","",IFERROR(INDEX('RAID Log'!$1:$1048576,$B605,MATCH("Closed Date",'RAID Log'!$1:$1,0)),"")))</f>
        <v/>
      </c>
      <c r="P605" s="85" t="str">
        <f>IF($B605="","",IF(IFERROR(INDEX('RAID Log'!$1:$1048576,$B605,MATCH("Mitigation Strategy",'RAID Log'!$1:$1,0)),"")="","",IFERROR(INDEX('RAID Log'!$1:$1048576,$B605,MATCH("Mitigation Strategy",'RAID Log'!$1:$1,0)),"")))</f>
        <v/>
      </c>
      <c r="Q605" s="88" t="str">
        <f>IF($B605="","",IF(IFERROR(INDEX('RAID Log'!$1:$1048576,$B605,MATCH("RAID Response/Plan",'RAID Log'!$1:$1,0)),"")="","",IFERROR(INDEX('RAID Log'!$1:$1048576,$B605,MATCH("RAID Response/Plan",'RAID Log'!$1:$1,0)),"")))</f>
        <v/>
      </c>
    </row>
    <row r="606" spans="1:17" ht="14.25" customHeight="1">
      <c r="A606" s="82" t="str">
        <f>IF($B606="","",IF(IFERROR(INDEX('RAID Log'!$1:$1048576,$B606,MATCH("RAID ID",'RAID Log'!$1:$1,0)),"")="","",IFERROR(INDEX('RAID Log'!$1:$1048576,$B606,MATCH("RAID ID",'RAID Log'!$1:$1,0)),"")))</f>
        <v/>
      </c>
      <c r="B606" s="83" t="str">
        <f>IFERROR(MATCH(ROW()-1,'RAID Log'!$S:$S,0),"")</f>
        <v/>
      </c>
      <c r="C606" s="84" t="str">
        <f>IF($B606="","",IF(IFERROR(INDEX('RAID Log'!$1:$1048576,$B606,MATCH("Description",'RAID Log'!$1:$1,0)),"")="","",IFERROR(INDEX('RAID Log'!$1:$1048576,$B606,MATCH("Description",'RAID Log'!$1:$1,0)),"")))</f>
        <v/>
      </c>
      <c r="D606" s="84" t="str">
        <f>IF($B606="","",IF(IFERROR(INDEX('RAID Log'!$1:$1048576,$B606,MATCH("Impact/Effect of the RAID",'RAID Log'!$1:$1,0)),"")="","",IFERROR(INDEX('RAID Log'!$1:$1048576,$B606,MATCH("Impact/Effect of the RAID",'RAID Log'!$1:$1,0)),"")))</f>
        <v/>
      </c>
      <c r="E606" s="85" t="str">
        <f>IF($B606="","",IF(IFERROR(INDEX('RAID Log'!$1:$1048576,$B606,MATCH("Impact Area",'RAID Log'!$1:$1,0)),"")="","",IFERROR(INDEX('RAID Log'!$1:$1048576,$B606,MATCH("Impact Area",'RAID Log'!$1:$1,0)),"")))</f>
        <v/>
      </c>
      <c r="F606" s="85" t="str">
        <f>IF($B606="","",IF(IFERROR(INDEX('RAID Log'!$1:$1048576,$B606,MATCH("Impact Area",'RAID Log'!$1:$1,0)),"")="","",IFERROR(INDEX('RAID Log'!$1:$1048576,$B606,MATCH("Impact Area",'RAID Log'!$1:$1,0)),"")))</f>
        <v/>
      </c>
      <c r="G606" s="85" t="str">
        <f>IF($B606="","",IF(IFERROR(INDEX('RAID Log'!$1:$1048576,$B606,MATCH("Impact Rating",'RAID Log'!$1:$1,0)),"")="","",IFERROR(INDEX('RAID Log'!$1:$1048576,$B606,MATCH("Impact Rating",'RAID Log'!$1:$1,0)),"")))</f>
        <v/>
      </c>
      <c r="H606" s="85" t="str">
        <f>IF($B606="","",IF(IFERROR(INDEX('RAID Log'!$1:$1048576,$B606,MATCH("Initial Probability",'RAID Log'!$1:$1,0)),"")="","",IFERROR(INDEX('RAID Log'!$1:$1048576,$B606,MATCH("Initial Probability",'RAID Log'!$1:$1,0)),"")))</f>
        <v/>
      </c>
      <c r="I606" s="86" t="str">
        <f t="shared" si="27"/>
        <v/>
      </c>
      <c r="J606" s="85" t="str">
        <f t="shared" si="28"/>
        <v/>
      </c>
      <c r="K606" s="86" t="str">
        <f t="shared" si="29"/>
        <v/>
      </c>
      <c r="L606" s="85" t="str">
        <f>IF($B606="","",IF(IFERROR(INDEX('RAID Log'!$1:$1048576,$B606,MATCH("Status",'RAID Log'!$1:$1,0)),"")="","",IFERROR(INDEX('RAID Log'!$1:$1048576,$B606,MATCH("Status",'RAID Log'!$1:$1,0)),"")))</f>
        <v/>
      </c>
      <c r="M606" s="85" t="str">
        <f>IF($B606="","",IF(IFERROR(INDEX('RAID Log'!$1:$1048576,$B606,MATCH("RAID Owner",'RAID Log'!$1:$1,0)),"")="","",IFERROR(INDEX('RAID Log'!$1:$1048576,$B606,MATCH("RAID Owner",'RAID Log'!$1:$1,0)),"")))</f>
        <v/>
      </c>
      <c r="N606" s="87" t="str">
        <f>IF($B606="","",IF(IFERROR(INDEX('RAID Log'!$1:$1048576,$B606,MATCH("Date Raised",'RAID Log'!$1:$1,0)),"")="","",IFERROR(INDEX('RAID Log'!$1:$1048576,$B606,MATCH("Date Raised",'RAID Log'!$1:$1,0)),"")))</f>
        <v/>
      </c>
      <c r="O606" s="87" t="str">
        <f>IF($B606="","",IF(IFERROR(INDEX('RAID Log'!$1:$1048576,$B606,MATCH("Closed Date",'RAID Log'!$1:$1,0)),"")="","",IFERROR(INDEX('RAID Log'!$1:$1048576,$B606,MATCH("Closed Date",'RAID Log'!$1:$1,0)),"")))</f>
        <v/>
      </c>
      <c r="P606" s="85" t="str">
        <f>IF($B606="","",IF(IFERROR(INDEX('RAID Log'!$1:$1048576,$B606,MATCH("Mitigation Strategy",'RAID Log'!$1:$1,0)),"")="","",IFERROR(INDEX('RAID Log'!$1:$1048576,$B606,MATCH("Mitigation Strategy",'RAID Log'!$1:$1,0)),"")))</f>
        <v/>
      </c>
      <c r="Q606" s="88" t="str">
        <f>IF($B606="","",IF(IFERROR(INDEX('RAID Log'!$1:$1048576,$B606,MATCH("RAID Response/Plan",'RAID Log'!$1:$1,0)),"")="","",IFERROR(INDEX('RAID Log'!$1:$1048576,$B606,MATCH("RAID Response/Plan",'RAID Log'!$1:$1,0)),"")))</f>
        <v/>
      </c>
    </row>
    <row r="607" spans="1:17" ht="14.25" customHeight="1">
      <c r="A607" s="82" t="str">
        <f>IF($B607="","",IF(IFERROR(INDEX('RAID Log'!$1:$1048576,$B607,MATCH("RAID ID",'RAID Log'!$1:$1,0)),"")="","",IFERROR(INDEX('RAID Log'!$1:$1048576,$B607,MATCH("RAID ID",'RAID Log'!$1:$1,0)),"")))</f>
        <v/>
      </c>
      <c r="B607" s="83" t="str">
        <f>IFERROR(MATCH(ROW()-1,'RAID Log'!$S:$S,0),"")</f>
        <v/>
      </c>
      <c r="C607" s="84" t="str">
        <f>IF($B607="","",IF(IFERROR(INDEX('RAID Log'!$1:$1048576,$B607,MATCH("Description",'RAID Log'!$1:$1,0)),"")="","",IFERROR(INDEX('RAID Log'!$1:$1048576,$B607,MATCH("Description",'RAID Log'!$1:$1,0)),"")))</f>
        <v/>
      </c>
      <c r="D607" s="84" t="str">
        <f>IF($B607="","",IF(IFERROR(INDEX('RAID Log'!$1:$1048576,$B607,MATCH("Impact/Effect of the RAID",'RAID Log'!$1:$1,0)),"")="","",IFERROR(INDEX('RAID Log'!$1:$1048576,$B607,MATCH("Impact/Effect of the RAID",'RAID Log'!$1:$1,0)),"")))</f>
        <v/>
      </c>
      <c r="E607" s="85" t="str">
        <f>IF($B607="","",IF(IFERROR(INDEX('RAID Log'!$1:$1048576,$B607,MATCH("Impact Area",'RAID Log'!$1:$1,0)),"")="","",IFERROR(INDEX('RAID Log'!$1:$1048576,$B607,MATCH("Impact Area",'RAID Log'!$1:$1,0)),"")))</f>
        <v/>
      </c>
      <c r="F607" s="85" t="str">
        <f>IF($B607="","",IF(IFERROR(INDEX('RAID Log'!$1:$1048576,$B607,MATCH("Impact Area",'RAID Log'!$1:$1,0)),"")="","",IFERROR(INDEX('RAID Log'!$1:$1048576,$B607,MATCH("Impact Area",'RAID Log'!$1:$1,0)),"")))</f>
        <v/>
      </c>
      <c r="G607" s="85" t="str">
        <f>IF($B607="","",IF(IFERROR(INDEX('RAID Log'!$1:$1048576,$B607,MATCH("Impact Rating",'RAID Log'!$1:$1,0)),"")="","",IFERROR(INDEX('RAID Log'!$1:$1048576,$B607,MATCH("Impact Rating",'RAID Log'!$1:$1,0)),"")))</f>
        <v/>
      </c>
      <c r="H607" s="85" t="str">
        <f>IF($B607="","",IF(IFERROR(INDEX('RAID Log'!$1:$1048576,$B607,MATCH("Initial Probability",'RAID Log'!$1:$1,0)),"")="","",IFERROR(INDEX('RAID Log'!$1:$1048576,$B607,MATCH("Initial Probability",'RAID Log'!$1:$1,0)),"")))</f>
        <v/>
      </c>
      <c r="I607" s="86" t="str">
        <f t="shared" si="27"/>
        <v/>
      </c>
      <c r="J607" s="85" t="str">
        <f t="shared" si="28"/>
        <v/>
      </c>
      <c r="K607" s="86" t="str">
        <f t="shared" si="29"/>
        <v/>
      </c>
      <c r="L607" s="85" t="str">
        <f>IF($B607="","",IF(IFERROR(INDEX('RAID Log'!$1:$1048576,$B607,MATCH("Status",'RAID Log'!$1:$1,0)),"")="","",IFERROR(INDEX('RAID Log'!$1:$1048576,$B607,MATCH("Status",'RAID Log'!$1:$1,0)),"")))</f>
        <v/>
      </c>
      <c r="M607" s="85" t="str">
        <f>IF($B607="","",IF(IFERROR(INDEX('RAID Log'!$1:$1048576,$B607,MATCH("RAID Owner",'RAID Log'!$1:$1,0)),"")="","",IFERROR(INDEX('RAID Log'!$1:$1048576,$B607,MATCH("RAID Owner",'RAID Log'!$1:$1,0)),"")))</f>
        <v/>
      </c>
      <c r="N607" s="87" t="str">
        <f>IF($B607="","",IF(IFERROR(INDEX('RAID Log'!$1:$1048576,$B607,MATCH("Date Raised",'RAID Log'!$1:$1,0)),"")="","",IFERROR(INDEX('RAID Log'!$1:$1048576,$B607,MATCH("Date Raised",'RAID Log'!$1:$1,0)),"")))</f>
        <v/>
      </c>
      <c r="O607" s="87" t="str">
        <f>IF($B607="","",IF(IFERROR(INDEX('RAID Log'!$1:$1048576,$B607,MATCH("Closed Date",'RAID Log'!$1:$1,0)),"")="","",IFERROR(INDEX('RAID Log'!$1:$1048576,$B607,MATCH("Closed Date",'RAID Log'!$1:$1,0)),"")))</f>
        <v/>
      </c>
      <c r="P607" s="85" t="str">
        <f>IF($B607="","",IF(IFERROR(INDEX('RAID Log'!$1:$1048576,$B607,MATCH("Mitigation Strategy",'RAID Log'!$1:$1,0)),"")="","",IFERROR(INDEX('RAID Log'!$1:$1048576,$B607,MATCH("Mitigation Strategy",'RAID Log'!$1:$1,0)),"")))</f>
        <v/>
      </c>
      <c r="Q607" s="88" t="str">
        <f>IF($B607="","",IF(IFERROR(INDEX('RAID Log'!$1:$1048576,$B607,MATCH("RAID Response/Plan",'RAID Log'!$1:$1,0)),"")="","",IFERROR(INDEX('RAID Log'!$1:$1048576,$B607,MATCH("RAID Response/Plan",'RAID Log'!$1:$1,0)),"")))</f>
        <v/>
      </c>
    </row>
    <row r="608" spans="1:17" ht="14.25" customHeight="1">
      <c r="A608" s="82" t="str">
        <f>IF($B608="","",IF(IFERROR(INDEX('RAID Log'!$1:$1048576,$B608,MATCH("RAID ID",'RAID Log'!$1:$1,0)),"")="","",IFERROR(INDEX('RAID Log'!$1:$1048576,$B608,MATCH("RAID ID",'RAID Log'!$1:$1,0)),"")))</f>
        <v/>
      </c>
      <c r="B608" s="83" t="str">
        <f>IFERROR(MATCH(ROW()-1,'RAID Log'!$S:$S,0),"")</f>
        <v/>
      </c>
      <c r="C608" s="84" t="str">
        <f>IF($B608="","",IF(IFERROR(INDEX('RAID Log'!$1:$1048576,$B608,MATCH("Description",'RAID Log'!$1:$1,0)),"")="","",IFERROR(INDEX('RAID Log'!$1:$1048576,$B608,MATCH("Description",'RAID Log'!$1:$1,0)),"")))</f>
        <v/>
      </c>
      <c r="D608" s="84" t="str">
        <f>IF($B608="","",IF(IFERROR(INDEX('RAID Log'!$1:$1048576,$B608,MATCH("Impact/Effect of the RAID",'RAID Log'!$1:$1,0)),"")="","",IFERROR(INDEX('RAID Log'!$1:$1048576,$B608,MATCH("Impact/Effect of the RAID",'RAID Log'!$1:$1,0)),"")))</f>
        <v/>
      </c>
      <c r="E608" s="85" t="str">
        <f>IF($B608="","",IF(IFERROR(INDEX('RAID Log'!$1:$1048576,$B608,MATCH("Impact Area",'RAID Log'!$1:$1,0)),"")="","",IFERROR(INDEX('RAID Log'!$1:$1048576,$B608,MATCH("Impact Area",'RAID Log'!$1:$1,0)),"")))</f>
        <v/>
      </c>
      <c r="F608" s="85" t="str">
        <f>IF($B608="","",IF(IFERROR(INDEX('RAID Log'!$1:$1048576,$B608,MATCH("Impact Area",'RAID Log'!$1:$1,0)),"")="","",IFERROR(INDEX('RAID Log'!$1:$1048576,$B608,MATCH("Impact Area",'RAID Log'!$1:$1,0)),"")))</f>
        <v/>
      </c>
      <c r="G608" s="85" t="str">
        <f>IF($B608="","",IF(IFERROR(INDEX('RAID Log'!$1:$1048576,$B608,MATCH("Impact Rating",'RAID Log'!$1:$1,0)),"")="","",IFERROR(INDEX('RAID Log'!$1:$1048576,$B608,MATCH("Impact Rating",'RAID Log'!$1:$1,0)),"")))</f>
        <v/>
      </c>
      <c r="H608" s="85" t="str">
        <f>IF($B608="","",IF(IFERROR(INDEX('RAID Log'!$1:$1048576,$B608,MATCH("Initial Probability",'RAID Log'!$1:$1,0)),"")="","",IFERROR(INDEX('RAID Log'!$1:$1048576,$B608,MATCH("Initial Probability",'RAID Log'!$1:$1,0)),"")))</f>
        <v/>
      </c>
      <c r="I608" s="86" t="str">
        <f t="shared" si="27"/>
        <v/>
      </c>
      <c r="J608" s="85" t="str">
        <f t="shared" si="28"/>
        <v/>
      </c>
      <c r="K608" s="86" t="str">
        <f t="shared" si="29"/>
        <v/>
      </c>
      <c r="L608" s="85" t="str">
        <f>IF($B608="","",IF(IFERROR(INDEX('RAID Log'!$1:$1048576,$B608,MATCH("Status",'RAID Log'!$1:$1,0)),"")="","",IFERROR(INDEX('RAID Log'!$1:$1048576,$B608,MATCH("Status",'RAID Log'!$1:$1,0)),"")))</f>
        <v/>
      </c>
      <c r="M608" s="85" t="str">
        <f>IF($B608="","",IF(IFERROR(INDEX('RAID Log'!$1:$1048576,$B608,MATCH("RAID Owner",'RAID Log'!$1:$1,0)),"")="","",IFERROR(INDEX('RAID Log'!$1:$1048576,$B608,MATCH("RAID Owner",'RAID Log'!$1:$1,0)),"")))</f>
        <v/>
      </c>
      <c r="N608" s="87" t="str">
        <f>IF($B608="","",IF(IFERROR(INDEX('RAID Log'!$1:$1048576,$B608,MATCH("Date Raised",'RAID Log'!$1:$1,0)),"")="","",IFERROR(INDEX('RAID Log'!$1:$1048576,$B608,MATCH("Date Raised",'RAID Log'!$1:$1,0)),"")))</f>
        <v/>
      </c>
      <c r="O608" s="87" t="str">
        <f>IF($B608="","",IF(IFERROR(INDEX('RAID Log'!$1:$1048576,$B608,MATCH("Closed Date",'RAID Log'!$1:$1,0)),"")="","",IFERROR(INDEX('RAID Log'!$1:$1048576,$B608,MATCH("Closed Date",'RAID Log'!$1:$1,0)),"")))</f>
        <v/>
      </c>
      <c r="P608" s="85" t="str">
        <f>IF($B608="","",IF(IFERROR(INDEX('RAID Log'!$1:$1048576,$B608,MATCH("Mitigation Strategy",'RAID Log'!$1:$1,0)),"")="","",IFERROR(INDEX('RAID Log'!$1:$1048576,$B608,MATCH("Mitigation Strategy",'RAID Log'!$1:$1,0)),"")))</f>
        <v/>
      </c>
      <c r="Q608" s="88" t="str">
        <f>IF($B608="","",IF(IFERROR(INDEX('RAID Log'!$1:$1048576,$B608,MATCH("RAID Response/Plan",'RAID Log'!$1:$1,0)),"")="","",IFERROR(INDEX('RAID Log'!$1:$1048576,$B608,MATCH("RAID Response/Plan",'RAID Log'!$1:$1,0)),"")))</f>
        <v/>
      </c>
    </row>
    <row r="609" spans="1:17" ht="14.25" customHeight="1">
      <c r="A609" s="82" t="str">
        <f>IF($B609="","",IF(IFERROR(INDEX('RAID Log'!$1:$1048576,$B609,MATCH("RAID ID",'RAID Log'!$1:$1,0)),"")="","",IFERROR(INDEX('RAID Log'!$1:$1048576,$B609,MATCH("RAID ID",'RAID Log'!$1:$1,0)),"")))</f>
        <v/>
      </c>
      <c r="B609" s="83" t="str">
        <f>IFERROR(MATCH(ROW()-1,'RAID Log'!$S:$S,0),"")</f>
        <v/>
      </c>
      <c r="C609" s="84" t="str">
        <f>IF($B609="","",IF(IFERROR(INDEX('RAID Log'!$1:$1048576,$B609,MATCH("Description",'RAID Log'!$1:$1,0)),"")="","",IFERROR(INDEX('RAID Log'!$1:$1048576,$B609,MATCH("Description",'RAID Log'!$1:$1,0)),"")))</f>
        <v/>
      </c>
      <c r="D609" s="84" t="str">
        <f>IF($B609="","",IF(IFERROR(INDEX('RAID Log'!$1:$1048576,$B609,MATCH("Impact/Effect of the RAID",'RAID Log'!$1:$1,0)),"")="","",IFERROR(INDEX('RAID Log'!$1:$1048576,$B609,MATCH("Impact/Effect of the RAID",'RAID Log'!$1:$1,0)),"")))</f>
        <v/>
      </c>
      <c r="E609" s="85" t="str">
        <f>IF($B609="","",IF(IFERROR(INDEX('RAID Log'!$1:$1048576,$B609,MATCH("Impact Area",'RAID Log'!$1:$1,0)),"")="","",IFERROR(INDEX('RAID Log'!$1:$1048576,$B609,MATCH("Impact Area",'RAID Log'!$1:$1,0)),"")))</f>
        <v/>
      </c>
      <c r="F609" s="85" t="str">
        <f>IF($B609="","",IF(IFERROR(INDEX('RAID Log'!$1:$1048576,$B609,MATCH("Impact Area",'RAID Log'!$1:$1,0)),"")="","",IFERROR(INDEX('RAID Log'!$1:$1048576,$B609,MATCH("Impact Area",'RAID Log'!$1:$1,0)),"")))</f>
        <v/>
      </c>
      <c r="G609" s="85" t="str">
        <f>IF($B609="","",IF(IFERROR(INDEX('RAID Log'!$1:$1048576,$B609,MATCH("Impact Rating",'RAID Log'!$1:$1,0)),"")="","",IFERROR(INDEX('RAID Log'!$1:$1048576,$B609,MATCH("Impact Rating",'RAID Log'!$1:$1,0)),"")))</f>
        <v/>
      </c>
      <c r="H609" s="85" t="str">
        <f>IF($B609="","",IF(IFERROR(INDEX('RAID Log'!$1:$1048576,$B609,MATCH("Initial Probability",'RAID Log'!$1:$1,0)),"")="","",IFERROR(INDEX('RAID Log'!$1:$1048576,$B609,MATCH("Initial Probability",'RAID Log'!$1:$1,0)),"")))</f>
        <v/>
      </c>
      <c r="I609" s="86" t="str">
        <f t="shared" si="27"/>
        <v/>
      </c>
      <c r="J609" s="85" t="str">
        <f t="shared" si="28"/>
        <v/>
      </c>
      <c r="K609" s="86" t="str">
        <f t="shared" si="29"/>
        <v/>
      </c>
      <c r="L609" s="85" t="str">
        <f>IF($B609="","",IF(IFERROR(INDEX('RAID Log'!$1:$1048576,$B609,MATCH("Status",'RAID Log'!$1:$1,0)),"")="","",IFERROR(INDEX('RAID Log'!$1:$1048576,$B609,MATCH("Status",'RAID Log'!$1:$1,0)),"")))</f>
        <v/>
      </c>
      <c r="M609" s="85" t="str">
        <f>IF($B609="","",IF(IFERROR(INDEX('RAID Log'!$1:$1048576,$B609,MATCH("RAID Owner",'RAID Log'!$1:$1,0)),"")="","",IFERROR(INDEX('RAID Log'!$1:$1048576,$B609,MATCH("RAID Owner",'RAID Log'!$1:$1,0)),"")))</f>
        <v/>
      </c>
      <c r="N609" s="87" t="str">
        <f>IF($B609="","",IF(IFERROR(INDEX('RAID Log'!$1:$1048576,$B609,MATCH("Date Raised",'RAID Log'!$1:$1,0)),"")="","",IFERROR(INDEX('RAID Log'!$1:$1048576,$B609,MATCH("Date Raised",'RAID Log'!$1:$1,0)),"")))</f>
        <v/>
      </c>
      <c r="O609" s="87" t="str">
        <f>IF($B609="","",IF(IFERROR(INDEX('RAID Log'!$1:$1048576,$B609,MATCH("Closed Date",'RAID Log'!$1:$1,0)),"")="","",IFERROR(INDEX('RAID Log'!$1:$1048576,$B609,MATCH("Closed Date",'RAID Log'!$1:$1,0)),"")))</f>
        <v/>
      </c>
      <c r="P609" s="85" t="str">
        <f>IF($B609="","",IF(IFERROR(INDEX('RAID Log'!$1:$1048576,$B609,MATCH("Mitigation Strategy",'RAID Log'!$1:$1,0)),"")="","",IFERROR(INDEX('RAID Log'!$1:$1048576,$B609,MATCH("Mitigation Strategy",'RAID Log'!$1:$1,0)),"")))</f>
        <v/>
      </c>
      <c r="Q609" s="88" t="str">
        <f>IF($B609="","",IF(IFERROR(INDEX('RAID Log'!$1:$1048576,$B609,MATCH("RAID Response/Plan",'RAID Log'!$1:$1,0)),"")="","",IFERROR(INDEX('RAID Log'!$1:$1048576,$B609,MATCH("RAID Response/Plan",'RAID Log'!$1:$1,0)),"")))</f>
        <v/>
      </c>
    </row>
    <row r="610" spans="1:17" ht="14.25" customHeight="1">
      <c r="A610" s="82" t="str">
        <f>IF($B610="","",IF(IFERROR(INDEX('RAID Log'!$1:$1048576,$B610,MATCH("RAID ID",'RAID Log'!$1:$1,0)),"")="","",IFERROR(INDEX('RAID Log'!$1:$1048576,$B610,MATCH("RAID ID",'RAID Log'!$1:$1,0)),"")))</f>
        <v/>
      </c>
      <c r="B610" s="83" t="str">
        <f>IFERROR(MATCH(ROW()-1,'RAID Log'!$S:$S,0),"")</f>
        <v/>
      </c>
      <c r="C610" s="84" t="str">
        <f>IF($B610="","",IF(IFERROR(INDEX('RAID Log'!$1:$1048576,$B610,MATCH("Description",'RAID Log'!$1:$1,0)),"")="","",IFERROR(INDEX('RAID Log'!$1:$1048576,$B610,MATCH("Description",'RAID Log'!$1:$1,0)),"")))</f>
        <v/>
      </c>
      <c r="D610" s="84" t="str">
        <f>IF($B610="","",IF(IFERROR(INDEX('RAID Log'!$1:$1048576,$B610,MATCH("Impact/Effect of the RAID",'RAID Log'!$1:$1,0)),"")="","",IFERROR(INDEX('RAID Log'!$1:$1048576,$B610,MATCH("Impact/Effect of the RAID",'RAID Log'!$1:$1,0)),"")))</f>
        <v/>
      </c>
      <c r="E610" s="85" t="str">
        <f>IF($B610="","",IF(IFERROR(INDEX('RAID Log'!$1:$1048576,$B610,MATCH("Impact Area",'RAID Log'!$1:$1,0)),"")="","",IFERROR(INDEX('RAID Log'!$1:$1048576,$B610,MATCH("Impact Area",'RAID Log'!$1:$1,0)),"")))</f>
        <v/>
      </c>
      <c r="F610" s="85" t="str">
        <f>IF($B610="","",IF(IFERROR(INDEX('RAID Log'!$1:$1048576,$B610,MATCH("Impact Area",'RAID Log'!$1:$1,0)),"")="","",IFERROR(INDEX('RAID Log'!$1:$1048576,$B610,MATCH("Impact Area",'RAID Log'!$1:$1,0)),"")))</f>
        <v/>
      </c>
      <c r="G610" s="85" t="str">
        <f>IF($B610="","",IF(IFERROR(INDEX('RAID Log'!$1:$1048576,$B610,MATCH("Impact Rating",'RAID Log'!$1:$1,0)),"")="","",IFERROR(INDEX('RAID Log'!$1:$1048576,$B610,MATCH("Impact Rating",'RAID Log'!$1:$1,0)),"")))</f>
        <v/>
      </c>
      <c r="H610" s="85" t="str">
        <f>IF($B610="","",IF(IFERROR(INDEX('RAID Log'!$1:$1048576,$B610,MATCH("Initial Probability",'RAID Log'!$1:$1,0)),"")="","",IFERROR(INDEX('RAID Log'!$1:$1048576,$B610,MATCH("Initial Probability",'RAID Log'!$1:$1,0)),"")))</f>
        <v/>
      </c>
      <c r="I610" s="86" t="str">
        <f t="shared" si="27"/>
        <v/>
      </c>
      <c r="J610" s="85" t="str">
        <f t="shared" si="28"/>
        <v/>
      </c>
      <c r="K610" s="86" t="str">
        <f t="shared" si="29"/>
        <v/>
      </c>
      <c r="L610" s="85" t="str">
        <f>IF($B610="","",IF(IFERROR(INDEX('RAID Log'!$1:$1048576,$B610,MATCH("Status",'RAID Log'!$1:$1,0)),"")="","",IFERROR(INDEX('RAID Log'!$1:$1048576,$B610,MATCH("Status",'RAID Log'!$1:$1,0)),"")))</f>
        <v/>
      </c>
      <c r="M610" s="85" t="str">
        <f>IF($B610="","",IF(IFERROR(INDEX('RAID Log'!$1:$1048576,$B610,MATCH("RAID Owner",'RAID Log'!$1:$1,0)),"")="","",IFERROR(INDEX('RAID Log'!$1:$1048576,$B610,MATCH("RAID Owner",'RAID Log'!$1:$1,0)),"")))</f>
        <v/>
      </c>
      <c r="N610" s="87" t="str">
        <f>IF($B610="","",IF(IFERROR(INDEX('RAID Log'!$1:$1048576,$B610,MATCH("Date Raised",'RAID Log'!$1:$1,0)),"")="","",IFERROR(INDEX('RAID Log'!$1:$1048576,$B610,MATCH("Date Raised",'RAID Log'!$1:$1,0)),"")))</f>
        <v/>
      </c>
      <c r="O610" s="87" t="str">
        <f>IF($B610="","",IF(IFERROR(INDEX('RAID Log'!$1:$1048576,$B610,MATCH("Closed Date",'RAID Log'!$1:$1,0)),"")="","",IFERROR(INDEX('RAID Log'!$1:$1048576,$B610,MATCH("Closed Date",'RAID Log'!$1:$1,0)),"")))</f>
        <v/>
      </c>
      <c r="P610" s="85" t="str">
        <f>IF($B610="","",IF(IFERROR(INDEX('RAID Log'!$1:$1048576,$B610,MATCH("Mitigation Strategy",'RAID Log'!$1:$1,0)),"")="","",IFERROR(INDEX('RAID Log'!$1:$1048576,$B610,MATCH("Mitigation Strategy",'RAID Log'!$1:$1,0)),"")))</f>
        <v/>
      </c>
      <c r="Q610" s="88" t="str">
        <f>IF($B610="","",IF(IFERROR(INDEX('RAID Log'!$1:$1048576,$B610,MATCH("RAID Response/Plan",'RAID Log'!$1:$1,0)),"")="","",IFERROR(INDEX('RAID Log'!$1:$1048576,$B610,MATCH("RAID Response/Plan",'RAID Log'!$1:$1,0)),"")))</f>
        <v/>
      </c>
    </row>
    <row r="611" spans="1:17" ht="14.25" customHeight="1">
      <c r="A611" s="82" t="str">
        <f>IF($B611="","",IF(IFERROR(INDEX('RAID Log'!$1:$1048576,$B611,MATCH("RAID ID",'RAID Log'!$1:$1,0)),"")="","",IFERROR(INDEX('RAID Log'!$1:$1048576,$B611,MATCH("RAID ID",'RAID Log'!$1:$1,0)),"")))</f>
        <v/>
      </c>
      <c r="B611" s="83" t="str">
        <f>IFERROR(MATCH(ROW()-1,'RAID Log'!$S:$S,0),"")</f>
        <v/>
      </c>
      <c r="C611" s="84" t="str">
        <f>IF($B611="","",IF(IFERROR(INDEX('RAID Log'!$1:$1048576,$B611,MATCH("Description",'RAID Log'!$1:$1,0)),"")="","",IFERROR(INDEX('RAID Log'!$1:$1048576,$B611,MATCH("Description",'RAID Log'!$1:$1,0)),"")))</f>
        <v/>
      </c>
      <c r="D611" s="84" t="str">
        <f>IF($B611="","",IF(IFERROR(INDEX('RAID Log'!$1:$1048576,$B611,MATCH("Impact/Effect of the RAID",'RAID Log'!$1:$1,0)),"")="","",IFERROR(INDEX('RAID Log'!$1:$1048576,$B611,MATCH("Impact/Effect of the RAID",'RAID Log'!$1:$1,0)),"")))</f>
        <v/>
      </c>
      <c r="E611" s="85" t="str">
        <f>IF($B611="","",IF(IFERROR(INDEX('RAID Log'!$1:$1048576,$B611,MATCH("Impact Area",'RAID Log'!$1:$1,0)),"")="","",IFERROR(INDEX('RAID Log'!$1:$1048576,$B611,MATCH("Impact Area",'RAID Log'!$1:$1,0)),"")))</f>
        <v/>
      </c>
      <c r="F611" s="85" t="str">
        <f>IF($B611="","",IF(IFERROR(INDEX('RAID Log'!$1:$1048576,$B611,MATCH("Impact Area",'RAID Log'!$1:$1,0)),"")="","",IFERROR(INDEX('RAID Log'!$1:$1048576,$B611,MATCH("Impact Area",'RAID Log'!$1:$1,0)),"")))</f>
        <v/>
      </c>
      <c r="G611" s="85" t="str">
        <f>IF($B611="","",IF(IFERROR(INDEX('RAID Log'!$1:$1048576,$B611,MATCH("Impact Rating",'RAID Log'!$1:$1,0)),"")="","",IFERROR(INDEX('RAID Log'!$1:$1048576,$B611,MATCH("Impact Rating",'RAID Log'!$1:$1,0)),"")))</f>
        <v/>
      </c>
      <c r="H611" s="85" t="str">
        <f>IF($B611="","",IF(IFERROR(INDEX('RAID Log'!$1:$1048576,$B611,MATCH("Initial Probability",'RAID Log'!$1:$1,0)),"")="","",IFERROR(INDEX('RAID Log'!$1:$1048576,$B611,MATCH("Initial Probability",'RAID Log'!$1:$1,0)),"")))</f>
        <v/>
      </c>
      <c r="I611" s="86" t="str">
        <f t="shared" si="27"/>
        <v/>
      </c>
      <c r="J611" s="85" t="str">
        <f t="shared" si="28"/>
        <v/>
      </c>
      <c r="K611" s="86" t="str">
        <f t="shared" si="29"/>
        <v/>
      </c>
      <c r="L611" s="85" t="str">
        <f>IF($B611="","",IF(IFERROR(INDEX('RAID Log'!$1:$1048576,$B611,MATCH("Status",'RAID Log'!$1:$1,0)),"")="","",IFERROR(INDEX('RAID Log'!$1:$1048576,$B611,MATCH("Status",'RAID Log'!$1:$1,0)),"")))</f>
        <v/>
      </c>
      <c r="M611" s="85" t="str">
        <f>IF($B611="","",IF(IFERROR(INDEX('RAID Log'!$1:$1048576,$B611,MATCH("RAID Owner",'RAID Log'!$1:$1,0)),"")="","",IFERROR(INDEX('RAID Log'!$1:$1048576,$B611,MATCH("RAID Owner",'RAID Log'!$1:$1,0)),"")))</f>
        <v/>
      </c>
      <c r="N611" s="87" t="str">
        <f>IF($B611="","",IF(IFERROR(INDEX('RAID Log'!$1:$1048576,$B611,MATCH("Date Raised",'RAID Log'!$1:$1,0)),"")="","",IFERROR(INDEX('RAID Log'!$1:$1048576,$B611,MATCH("Date Raised",'RAID Log'!$1:$1,0)),"")))</f>
        <v/>
      </c>
      <c r="O611" s="87" t="str">
        <f>IF($B611="","",IF(IFERROR(INDEX('RAID Log'!$1:$1048576,$B611,MATCH("Closed Date",'RAID Log'!$1:$1,0)),"")="","",IFERROR(INDEX('RAID Log'!$1:$1048576,$B611,MATCH("Closed Date",'RAID Log'!$1:$1,0)),"")))</f>
        <v/>
      </c>
      <c r="P611" s="85" t="str">
        <f>IF($B611="","",IF(IFERROR(INDEX('RAID Log'!$1:$1048576,$B611,MATCH("Mitigation Strategy",'RAID Log'!$1:$1,0)),"")="","",IFERROR(INDEX('RAID Log'!$1:$1048576,$B611,MATCH("Mitigation Strategy",'RAID Log'!$1:$1,0)),"")))</f>
        <v/>
      </c>
      <c r="Q611" s="88" t="str">
        <f>IF($B611="","",IF(IFERROR(INDEX('RAID Log'!$1:$1048576,$B611,MATCH("RAID Response/Plan",'RAID Log'!$1:$1,0)),"")="","",IFERROR(INDEX('RAID Log'!$1:$1048576,$B611,MATCH("RAID Response/Plan",'RAID Log'!$1:$1,0)),"")))</f>
        <v/>
      </c>
    </row>
    <row r="612" spans="1:17" ht="14.25" customHeight="1">
      <c r="A612" s="82" t="str">
        <f>IF($B612="","",IF(IFERROR(INDEX('RAID Log'!$1:$1048576,$B612,MATCH("RAID ID",'RAID Log'!$1:$1,0)),"")="","",IFERROR(INDEX('RAID Log'!$1:$1048576,$B612,MATCH("RAID ID",'RAID Log'!$1:$1,0)),"")))</f>
        <v/>
      </c>
      <c r="B612" s="83" t="str">
        <f>IFERROR(MATCH(ROW()-1,'RAID Log'!$S:$S,0),"")</f>
        <v/>
      </c>
      <c r="C612" s="84" t="str">
        <f>IF($B612="","",IF(IFERROR(INDEX('RAID Log'!$1:$1048576,$B612,MATCH("Description",'RAID Log'!$1:$1,0)),"")="","",IFERROR(INDEX('RAID Log'!$1:$1048576,$B612,MATCH("Description",'RAID Log'!$1:$1,0)),"")))</f>
        <v/>
      </c>
      <c r="D612" s="84" t="str">
        <f>IF($B612="","",IF(IFERROR(INDEX('RAID Log'!$1:$1048576,$B612,MATCH("Impact/Effect of the RAID",'RAID Log'!$1:$1,0)),"")="","",IFERROR(INDEX('RAID Log'!$1:$1048576,$B612,MATCH("Impact/Effect of the RAID",'RAID Log'!$1:$1,0)),"")))</f>
        <v/>
      </c>
      <c r="E612" s="85" t="str">
        <f>IF($B612="","",IF(IFERROR(INDEX('RAID Log'!$1:$1048576,$B612,MATCH("Impact Area",'RAID Log'!$1:$1,0)),"")="","",IFERROR(INDEX('RAID Log'!$1:$1048576,$B612,MATCH("Impact Area",'RAID Log'!$1:$1,0)),"")))</f>
        <v/>
      </c>
      <c r="F612" s="85" t="str">
        <f>IF($B612="","",IF(IFERROR(INDEX('RAID Log'!$1:$1048576,$B612,MATCH("Impact Area",'RAID Log'!$1:$1,0)),"")="","",IFERROR(INDEX('RAID Log'!$1:$1048576,$B612,MATCH("Impact Area",'RAID Log'!$1:$1,0)),"")))</f>
        <v/>
      </c>
      <c r="G612" s="85" t="str">
        <f>IF($B612="","",IF(IFERROR(INDEX('RAID Log'!$1:$1048576,$B612,MATCH("Impact Rating",'RAID Log'!$1:$1,0)),"")="","",IFERROR(INDEX('RAID Log'!$1:$1048576,$B612,MATCH("Impact Rating",'RAID Log'!$1:$1,0)),"")))</f>
        <v/>
      </c>
      <c r="H612" s="85" t="str">
        <f>IF($B612="","",IF(IFERROR(INDEX('RAID Log'!$1:$1048576,$B612,MATCH("Initial Probability",'RAID Log'!$1:$1,0)),"")="","",IFERROR(INDEX('RAID Log'!$1:$1048576,$B612,MATCH("Initial Probability",'RAID Log'!$1:$1,0)),"")))</f>
        <v/>
      </c>
      <c r="I612" s="86" t="str">
        <f t="shared" si="27"/>
        <v/>
      </c>
      <c r="J612" s="85" t="str">
        <f t="shared" si="28"/>
        <v/>
      </c>
      <c r="K612" s="86" t="str">
        <f t="shared" si="29"/>
        <v/>
      </c>
      <c r="L612" s="85" t="str">
        <f>IF($B612="","",IF(IFERROR(INDEX('RAID Log'!$1:$1048576,$B612,MATCH("Status",'RAID Log'!$1:$1,0)),"")="","",IFERROR(INDEX('RAID Log'!$1:$1048576,$B612,MATCH("Status",'RAID Log'!$1:$1,0)),"")))</f>
        <v/>
      </c>
      <c r="M612" s="85" t="str">
        <f>IF($B612="","",IF(IFERROR(INDEX('RAID Log'!$1:$1048576,$B612,MATCH("RAID Owner",'RAID Log'!$1:$1,0)),"")="","",IFERROR(INDEX('RAID Log'!$1:$1048576,$B612,MATCH("RAID Owner",'RAID Log'!$1:$1,0)),"")))</f>
        <v/>
      </c>
      <c r="N612" s="87" t="str">
        <f>IF($B612="","",IF(IFERROR(INDEX('RAID Log'!$1:$1048576,$B612,MATCH("Date Raised",'RAID Log'!$1:$1,0)),"")="","",IFERROR(INDEX('RAID Log'!$1:$1048576,$B612,MATCH("Date Raised",'RAID Log'!$1:$1,0)),"")))</f>
        <v/>
      </c>
      <c r="O612" s="87" t="str">
        <f>IF($B612="","",IF(IFERROR(INDEX('RAID Log'!$1:$1048576,$B612,MATCH("Closed Date",'RAID Log'!$1:$1,0)),"")="","",IFERROR(INDEX('RAID Log'!$1:$1048576,$B612,MATCH("Closed Date",'RAID Log'!$1:$1,0)),"")))</f>
        <v/>
      </c>
      <c r="P612" s="85" t="str">
        <f>IF($B612="","",IF(IFERROR(INDEX('RAID Log'!$1:$1048576,$B612,MATCH("Mitigation Strategy",'RAID Log'!$1:$1,0)),"")="","",IFERROR(INDEX('RAID Log'!$1:$1048576,$B612,MATCH("Mitigation Strategy",'RAID Log'!$1:$1,0)),"")))</f>
        <v/>
      </c>
      <c r="Q612" s="88" t="str">
        <f>IF($B612="","",IF(IFERROR(INDEX('RAID Log'!$1:$1048576,$B612,MATCH("RAID Response/Plan",'RAID Log'!$1:$1,0)),"")="","",IFERROR(INDEX('RAID Log'!$1:$1048576,$B612,MATCH("RAID Response/Plan",'RAID Log'!$1:$1,0)),"")))</f>
        <v/>
      </c>
    </row>
    <row r="613" spans="1:17" ht="14.25" customHeight="1">
      <c r="A613" s="82" t="str">
        <f>IF($B613="","",IF(IFERROR(INDEX('RAID Log'!$1:$1048576,$B613,MATCH("RAID ID",'RAID Log'!$1:$1,0)),"")="","",IFERROR(INDEX('RAID Log'!$1:$1048576,$B613,MATCH("RAID ID",'RAID Log'!$1:$1,0)),"")))</f>
        <v/>
      </c>
      <c r="B613" s="83" t="str">
        <f>IFERROR(MATCH(ROW()-1,'RAID Log'!$S:$S,0),"")</f>
        <v/>
      </c>
      <c r="C613" s="84" t="str">
        <f>IF($B613="","",IF(IFERROR(INDEX('RAID Log'!$1:$1048576,$B613,MATCH("Description",'RAID Log'!$1:$1,0)),"")="","",IFERROR(INDEX('RAID Log'!$1:$1048576,$B613,MATCH("Description",'RAID Log'!$1:$1,0)),"")))</f>
        <v/>
      </c>
      <c r="D613" s="84" t="str">
        <f>IF($B613="","",IF(IFERROR(INDEX('RAID Log'!$1:$1048576,$B613,MATCH("Impact/Effect of the RAID",'RAID Log'!$1:$1,0)),"")="","",IFERROR(INDEX('RAID Log'!$1:$1048576,$B613,MATCH("Impact/Effect of the RAID",'RAID Log'!$1:$1,0)),"")))</f>
        <v/>
      </c>
      <c r="E613" s="85" t="str">
        <f>IF($B613="","",IF(IFERROR(INDEX('RAID Log'!$1:$1048576,$B613,MATCH("Impact Area",'RAID Log'!$1:$1,0)),"")="","",IFERROR(INDEX('RAID Log'!$1:$1048576,$B613,MATCH("Impact Area",'RAID Log'!$1:$1,0)),"")))</f>
        <v/>
      </c>
      <c r="F613" s="85" t="str">
        <f>IF($B613="","",IF(IFERROR(INDEX('RAID Log'!$1:$1048576,$B613,MATCH("Impact Area",'RAID Log'!$1:$1,0)),"")="","",IFERROR(INDEX('RAID Log'!$1:$1048576,$B613,MATCH("Impact Area",'RAID Log'!$1:$1,0)),"")))</f>
        <v/>
      </c>
      <c r="G613" s="85" t="str">
        <f>IF($B613="","",IF(IFERROR(INDEX('RAID Log'!$1:$1048576,$B613,MATCH("Impact Rating",'RAID Log'!$1:$1,0)),"")="","",IFERROR(INDEX('RAID Log'!$1:$1048576,$B613,MATCH("Impact Rating",'RAID Log'!$1:$1,0)),"")))</f>
        <v/>
      </c>
      <c r="H613" s="85" t="str">
        <f>IF($B613="","",IF(IFERROR(INDEX('RAID Log'!$1:$1048576,$B613,MATCH("Initial Probability",'RAID Log'!$1:$1,0)),"")="","",IFERROR(INDEX('RAID Log'!$1:$1048576,$B613,MATCH("Initial Probability",'RAID Log'!$1:$1,0)),"")))</f>
        <v/>
      </c>
      <c r="I613" s="86" t="str">
        <f t="shared" si="27"/>
        <v/>
      </c>
      <c r="J613" s="85" t="str">
        <f t="shared" si="28"/>
        <v/>
      </c>
      <c r="K613" s="86" t="str">
        <f t="shared" si="29"/>
        <v/>
      </c>
      <c r="L613" s="85" t="str">
        <f>IF($B613="","",IF(IFERROR(INDEX('RAID Log'!$1:$1048576,$B613,MATCH("Status",'RAID Log'!$1:$1,0)),"")="","",IFERROR(INDEX('RAID Log'!$1:$1048576,$B613,MATCH("Status",'RAID Log'!$1:$1,0)),"")))</f>
        <v/>
      </c>
      <c r="M613" s="85" t="str">
        <f>IF($B613="","",IF(IFERROR(INDEX('RAID Log'!$1:$1048576,$B613,MATCH("RAID Owner",'RAID Log'!$1:$1,0)),"")="","",IFERROR(INDEX('RAID Log'!$1:$1048576,$B613,MATCH("RAID Owner",'RAID Log'!$1:$1,0)),"")))</f>
        <v/>
      </c>
      <c r="N613" s="87" t="str">
        <f>IF($B613="","",IF(IFERROR(INDEX('RAID Log'!$1:$1048576,$B613,MATCH("Date Raised",'RAID Log'!$1:$1,0)),"")="","",IFERROR(INDEX('RAID Log'!$1:$1048576,$B613,MATCH("Date Raised",'RAID Log'!$1:$1,0)),"")))</f>
        <v/>
      </c>
      <c r="O613" s="87" t="str">
        <f>IF($B613="","",IF(IFERROR(INDEX('RAID Log'!$1:$1048576,$B613,MATCH("Closed Date",'RAID Log'!$1:$1,0)),"")="","",IFERROR(INDEX('RAID Log'!$1:$1048576,$B613,MATCH("Closed Date",'RAID Log'!$1:$1,0)),"")))</f>
        <v/>
      </c>
      <c r="P613" s="85" t="str">
        <f>IF($B613="","",IF(IFERROR(INDEX('RAID Log'!$1:$1048576,$B613,MATCH("Mitigation Strategy",'RAID Log'!$1:$1,0)),"")="","",IFERROR(INDEX('RAID Log'!$1:$1048576,$B613,MATCH("Mitigation Strategy",'RAID Log'!$1:$1,0)),"")))</f>
        <v/>
      </c>
      <c r="Q613" s="88" t="str">
        <f>IF($B613="","",IF(IFERROR(INDEX('RAID Log'!$1:$1048576,$B613,MATCH("RAID Response/Plan",'RAID Log'!$1:$1,0)),"")="","",IFERROR(INDEX('RAID Log'!$1:$1048576,$B613,MATCH("RAID Response/Plan",'RAID Log'!$1:$1,0)),"")))</f>
        <v/>
      </c>
    </row>
    <row r="614" spans="1:17" ht="14.25" customHeight="1">
      <c r="A614" s="82" t="str">
        <f>IF($B614="","",IF(IFERROR(INDEX('RAID Log'!$1:$1048576,$B614,MATCH("RAID ID",'RAID Log'!$1:$1,0)),"")="","",IFERROR(INDEX('RAID Log'!$1:$1048576,$B614,MATCH("RAID ID",'RAID Log'!$1:$1,0)),"")))</f>
        <v/>
      </c>
      <c r="B614" s="83" t="str">
        <f>IFERROR(MATCH(ROW()-1,'RAID Log'!$S:$S,0),"")</f>
        <v/>
      </c>
      <c r="C614" s="84" t="str">
        <f>IF($B614="","",IF(IFERROR(INDEX('RAID Log'!$1:$1048576,$B614,MATCH("Description",'RAID Log'!$1:$1,0)),"")="","",IFERROR(INDEX('RAID Log'!$1:$1048576,$B614,MATCH("Description",'RAID Log'!$1:$1,0)),"")))</f>
        <v/>
      </c>
      <c r="D614" s="84" t="str">
        <f>IF($B614="","",IF(IFERROR(INDEX('RAID Log'!$1:$1048576,$B614,MATCH("Impact/Effect of the RAID",'RAID Log'!$1:$1,0)),"")="","",IFERROR(INDEX('RAID Log'!$1:$1048576,$B614,MATCH("Impact/Effect of the RAID",'RAID Log'!$1:$1,0)),"")))</f>
        <v/>
      </c>
      <c r="E614" s="85" t="str">
        <f>IF($B614="","",IF(IFERROR(INDEX('RAID Log'!$1:$1048576,$B614,MATCH("Impact Area",'RAID Log'!$1:$1,0)),"")="","",IFERROR(INDEX('RAID Log'!$1:$1048576,$B614,MATCH("Impact Area",'RAID Log'!$1:$1,0)),"")))</f>
        <v/>
      </c>
      <c r="F614" s="85" t="str">
        <f>IF($B614="","",IF(IFERROR(INDEX('RAID Log'!$1:$1048576,$B614,MATCH("Impact Area",'RAID Log'!$1:$1,0)),"")="","",IFERROR(INDEX('RAID Log'!$1:$1048576,$B614,MATCH("Impact Area",'RAID Log'!$1:$1,0)),"")))</f>
        <v/>
      </c>
      <c r="G614" s="85" t="str">
        <f>IF($B614="","",IF(IFERROR(INDEX('RAID Log'!$1:$1048576,$B614,MATCH("Impact Rating",'RAID Log'!$1:$1,0)),"")="","",IFERROR(INDEX('RAID Log'!$1:$1048576,$B614,MATCH("Impact Rating",'RAID Log'!$1:$1,0)),"")))</f>
        <v/>
      </c>
      <c r="H614" s="85" t="str">
        <f>IF($B614="","",IF(IFERROR(INDEX('RAID Log'!$1:$1048576,$B614,MATCH("Initial Probability",'RAID Log'!$1:$1,0)),"")="","",IFERROR(INDEX('RAID Log'!$1:$1048576,$B614,MATCH("Initial Probability",'RAID Log'!$1:$1,0)),"")))</f>
        <v/>
      </c>
      <c r="I614" s="86" t="str">
        <f t="shared" si="27"/>
        <v/>
      </c>
      <c r="J614" s="85" t="str">
        <f t="shared" si="28"/>
        <v/>
      </c>
      <c r="K614" s="86" t="str">
        <f t="shared" si="29"/>
        <v/>
      </c>
      <c r="L614" s="85" t="str">
        <f>IF($B614="","",IF(IFERROR(INDEX('RAID Log'!$1:$1048576,$B614,MATCH("Status",'RAID Log'!$1:$1,0)),"")="","",IFERROR(INDEX('RAID Log'!$1:$1048576,$B614,MATCH("Status",'RAID Log'!$1:$1,0)),"")))</f>
        <v/>
      </c>
      <c r="M614" s="85" t="str">
        <f>IF($B614="","",IF(IFERROR(INDEX('RAID Log'!$1:$1048576,$B614,MATCH("RAID Owner",'RAID Log'!$1:$1,0)),"")="","",IFERROR(INDEX('RAID Log'!$1:$1048576,$B614,MATCH("RAID Owner",'RAID Log'!$1:$1,0)),"")))</f>
        <v/>
      </c>
      <c r="N614" s="87" t="str">
        <f>IF($B614="","",IF(IFERROR(INDEX('RAID Log'!$1:$1048576,$B614,MATCH("Date Raised",'RAID Log'!$1:$1,0)),"")="","",IFERROR(INDEX('RAID Log'!$1:$1048576,$B614,MATCH("Date Raised",'RAID Log'!$1:$1,0)),"")))</f>
        <v/>
      </c>
      <c r="O614" s="87" t="str">
        <f>IF($B614="","",IF(IFERROR(INDEX('RAID Log'!$1:$1048576,$B614,MATCH("Closed Date",'RAID Log'!$1:$1,0)),"")="","",IFERROR(INDEX('RAID Log'!$1:$1048576,$B614,MATCH("Closed Date",'RAID Log'!$1:$1,0)),"")))</f>
        <v/>
      </c>
      <c r="P614" s="85" t="str">
        <f>IF($B614="","",IF(IFERROR(INDEX('RAID Log'!$1:$1048576,$B614,MATCH("Mitigation Strategy",'RAID Log'!$1:$1,0)),"")="","",IFERROR(INDEX('RAID Log'!$1:$1048576,$B614,MATCH("Mitigation Strategy",'RAID Log'!$1:$1,0)),"")))</f>
        <v/>
      </c>
      <c r="Q614" s="88" t="str">
        <f>IF($B614="","",IF(IFERROR(INDEX('RAID Log'!$1:$1048576,$B614,MATCH("RAID Response/Plan",'RAID Log'!$1:$1,0)),"")="","",IFERROR(INDEX('RAID Log'!$1:$1048576,$B614,MATCH("RAID Response/Plan",'RAID Log'!$1:$1,0)),"")))</f>
        <v/>
      </c>
    </row>
    <row r="615" spans="1:17" ht="14.25" customHeight="1">
      <c r="A615" s="82" t="str">
        <f>IF($B615="","",IF(IFERROR(INDEX('RAID Log'!$1:$1048576,$B615,MATCH("RAID ID",'RAID Log'!$1:$1,0)),"")="","",IFERROR(INDEX('RAID Log'!$1:$1048576,$B615,MATCH("RAID ID",'RAID Log'!$1:$1,0)),"")))</f>
        <v/>
      </c>
      <c r="B615" s="83" t="str">
        <f>IFERROR(MATCH(ROW()-1,'RAID Log'!$S:$S,0),"")</f>
        <v/>
      </c>
      <c r="C615" s="84" t="str">
        <f>IF($B615="","",IF(IFERROR(INDEX('RAID Log'!$1:$1048576,$B615,MATCH("Description",'RAID Log'!$1:$1,0)),"")="","",IFERROR(INDEX('RAID Log'!$1:$1048576,$B615,MATCH("Description",'RAID Log'!$1:$1,0)),"")))</f>
        <v/>
      </c>
      <c r="D615" s="84" t="str">
        <f>IF($B615="","",IF(IFERROR(INDEX('RAID Log'!$1:$1048576,$B615,MATCH("Impact/Effect of the RAID",'RAID Log'!$1:$1,0)),"")="","",IFERROR(INDEX('RAID Log'!$1:$1048576,$B615,MATCH("Impact/Effect of the RAID",'RAID Log'!$1:$1,0)),"")))</f>
        <v/>
      </c>
      <c r="E615" s="85" t="str">
        <f>IF($B615="","",IF(IFERROR(INDEX('RAID Log'!$1:$1048576,$B615,MATCH("Impact Area",'RAID Log'!$1:$1,0)),"")="","",IFERROR(INDEX('RAID Log'!$1:$1048576,$B615,MATCH("Impact Area",'RAID Log'!$1:$1,0)),"")))</f>
        <v/>
      </c>
      <c r="F615" s="85" t="str">
        <f>IF($B615="","",IF(IFERROR(INDEX('RAID Log'!$1:$1048576,$B615,MATCH("Impact Area",'RAID Log'!$1:$1,0)),"")="","",IFERROR(INDEX('RAID Log'!$1:$1048576,$B615,MATCH("Impact Area",'RAID Log'!$1:$1,0)),"")))</f>
        <v/>
      </c>
      <c r="G615" s="85" t="str">
        <f>IF($B615="","",IF(IFERROR(INDEX('RAID Log'!$1:$1048576,$B615,MATCH("Impact Rating",'RAID Log'!$1:$1,0)),"")="","",IFERROR(INDEX('RAID Log'!$1:$1048576,$B615,MATCH("Impact Rating",'RAID Log'!$1:$1,0)),"")))</f>
        <v/>
      </c>
      <c r="H615" s="85" t="str">
        <f>IF($B615="","",IF(IFERROR(INDEX('RAID Log'!$1:$1048576,$B615,MATCH("Initial Probability",'RAID Log'!$1:$1,0)),"")="","",IFERROR(INDEX('RAID Log'!$1:$1048576,$B615,MATCH("Initial Probability",'RAID Log'!$1:$1,0)),"")))</f>
        <v/>
      </c>
      <c r="I615" s="86" t="str">
        <f t="shared" si="27"/>
        <v/>
      </c>
      <c r="J615" s="85" t="str">
        <f t="shared" si="28"/>
        <v/>
      </c>
      <c r="K615" s="86" t="str">
        <f t="shared" si="29"/>
        <v/>
      </c>
      <c r="L615" s="85" t="str">
        <f>IF($B615="","",IF(IFERROR(INDEX('RAID Log'!$1:$1048576,$B615,MATCH("Status",'RAID Log'!$1:$1,0)),"")="","",IFERROR(INDEX('RAID Log'!$1:$1048576,$B615,MATCH("Status",'RAID Log'!$1:$1,0)),"")))</f>
        <v/>
      </c>
      <c r="M615" s="85" t="str">
        <f>IF($B615="","",IF(IFERROR(INDEX('RAID Log'!$1:$1048576,$B615,MATCH("RAID Owner",'RAID Log'!$1:$1,0)),"")="","",IFERROR(INDEX('RAID Log'!$1:$1048576,$B615,MATCH("RAID Owner",'RAID Log'!$1:$1,0)),"")))</f>
        <v/>
      </c>
      <c r="N615" s="87" t="str">
        <f>IF($B615="","",IF(IFERROR(INDEX('RAID Log'!$1:$1048576,$B615,MATCH("Date Raised",'RAID Log'!$1:$1,0)),"")="","",IFERROR(INDEX('RAID Log'!$1:$1048576,$B615,MATCH("Date Raised",'RAID Log'!$1:$1,0)),"")))</f>
        <v/>
      </c>
      <c r="O615" s="87" t="str">
        <f>IF($B615="","",IF(IFERROR(INDEX('RAID Log'!$1:$1048576,$B615,MATCH("Closed Date",'RAID Log'!$1:$1,0)),"")="","",IFERROR(INDEX('RAID Log'!$1:$1048576,$B615,MATCH("Closed Date",'RAID Log'!$1:$1,0)),"")))</f>
        <v/>
      </c>
      <c r="P615" s="85" t="str">
        <f>IF($B615="","",IF(IFERROR(INDEX('RAID Log'!$1:$1048576,$B615,MATCH("Mitigation Strategy",'RAID Log'!$1:$1,0)),"")="","",IFERROR(INDEX('RAID Log'!$1:$1048576,$B615,MATCH("Mitigation Strategy",'RAID Log'!$1:$1,0)),"")))</f>
        <v/>
      </c>
      <c r="Q615" s="88" t="str">
        <f>IF($B615="","",IF(IFERROR(INDEX('RAID Log'!$1:$1048576,$B615,MATCH("RAID Response/Plan",'RAID Log'!$1:$1,0)),"")="","",IFERROR(INDEX('RAID Log'!$1:$1048576,$B615,MATCH("RAID Response/Plan",'RAID Log'!$1:$1,0)),"")))</f>
        <v/>
      </c>
    </row>
    <row r="616" spans="1:17" ht="14.25" customHeight="1">
      <c r="A616" s="82" t="str">
        <f>IF($B616="","",IF(IFERROR(INDEX('RAID Log'!$1:$1048576,$B616,MATCH("RAID ID",'RAID Log'!$1:$1,0)),"")="","",IFERROR(INDEX('RAID Log'!$1:$1048576,$B616,MATCH("RAID ID",'RAID Log'!$1:$1,0)),"")))</f>
        <v/>
      </c>
      <c r="B616" s="83" t="str">
        <f>IFERROR(MATCH(ROW()-1,'RAID Log'!$S:$S,0),"")</f>
        <v/>
      </c>
      <c r="C616" s="84" t="str">
        <f>IF($B616="","",IF(IFERROR(INDEX('RAID Log'!$1:$1048576,$B616,MATCH("Description",'RAID Log'!$1:$1,0)),"")="","",IFERROR(INDEX('RAID Log'!$1:$1048576,$B616,MATCH("Description",'RAID Log'!$1:$1,0)),"")))</f>
        <v/>
      </c>
      <c r="D616" s="84" t="str">
        <f>IF($B616="","",IF(IFERROR(INDEX('RAID Log'!$1:$1048576,$B616,MATCH("Impact/Effect of the RAID",'RAID Log'!$1:$1,0)),"")="","",IFERROR(INDEX('RAID Log'!$1:$1048576,$B616,MATCH("Impact/Effect of the RAID",'RAID Log'!$1:$1,0)),"")))</f>
        <v/>
      </c>
      <c r="E616" s="85" t="str">
        <f>IF($B616="","",IF(IFERROR(INDEX('RAID Log'!$1:$1048576,$B616,MATCH("Impact Area",'RAID Log'!$1:$1,0)),"")="","",IFERROR(INDEX('RAID Log'!$1:$1048576,$B616,MATCH("Impact Area",'RAID Log'!$1:$1,0)),"")))</f>
        <v/>
      </c>
      <c r="F616" s="85" t="str">
        <f>IF($B616="","",IF(IFERROR(INDEX('RAID Log'!$1:$1048576,$B616,MATCH("Impact Area",'RAID Log'!$1:$1,0)),"")="","",IFERROR(INDEX('RAID Log'!$1:$1048576,$B616,MATCH("Impact Area",'RAID Log'!$1:$1,0)),"")))</f>
        <v/>
      </c>
      <c r="G616" s="85" t="str">
        <f>IF($B616="","",IF(IFERROR(INDEX('RAID Log'!$1:$1048576,$B616,MATCH("Impact Rating",'RAID Log'!$1:$1,0)),"")="","",IFERROR(INDEX('RAID Log'!$1:$1048576,$B616,MATCH("Impact Rating",'RAID Log'!$1:$1,0)),"")))</f>
        <v/>
      </c>
      <c r="H616" s="85" t="str">
        <f>IF($B616="","",IF(IFERROR(INDEX('RAID Log'!$1:$1048576,$B616,MATCH("Initial Probability",'RAID Log'!$1:$1,0)),"")="","",IFERROR(INDEX('RAID Log'!$1:$1048576,$B616,MATCH("Initial Probability",'RAID Log'!$1:$1,0)),"")))</f>
        <v/>
      </c>
      <c r="I616" s="86" t="str">
        <f t="shared" si="27"/>
        <v/>
      </c>
      <c r="J616" s="85" t="str">
        <f t="shared" si="28"/>
        <v/>
      </c>
      <c r="K616" s="86" t="str">
        <f t="shared" si="29"/>
        <v/>
      </c>
      <c r="L616" s="85" t="str">
        <f>IF($B616="","",IF(IFERROR(INDEX('RAID Log'!$1:$1048576,$B616,MATCH("Status",'RAID Log'!$1:$1,0)),"")="","",IFERROR(INDEX('RAID Log'!$1:$1048576,$B616,MATCH("Status",'RAID Log'!$1:$1,0)),"")))</f>
        <v/>
      </c>
      <c r="M616" s="85" t="str">
        <f>IF($B616="","",IF(IFERROR(INDEX('RAID Log'!$1:$1048576,$B616,MATCH("RAID Owner",'RAID Log'!$1:$1,0)),"")="","",IFERROR(INDEX('RAID Log'!$1:$1048576,$B616,MATCH("RAID Owner",'RAID Log'!$1:$1,0)),"")))</f>
        <v/>
      </c>
      <c r="N616" s="87" t="str">
        <f>IF($B616="","",IF(IFERROR(INDEX('RAID Log'!$1:$1048576,$B616,MATCH("Date Raised",'RAID Log'!$1:$1,0)),"")="","",IFERROR(INDEX('RAID Log'!$1:$1048576,$B616,MATCH("Date Raised",'RAID Log'!$1:$1,0)),"")))</f>
        <v/>
      </c>
      <c r="O616" s="87" t="str">
        <f>IF($B616="","",IF(IFERROR(INDEX('RAID Log'!$1:$1048576,$B616,MATCH("Closed Date",'RAID Log'!$1:$1,0)),"")="","",IFERROR(INDEX('RAID Log'!$1:$1048576,$B616,MATCH("Closed Date",'RAID Log'!$1:$1,0)),"")))</f>
        <v/>
      </c>
      <c r="P616" s="85" t="str">
        <f>IF($B616="","",IF(IFERROR(INDEX('RAID Log'!$1:$1048576,$B616,MATCH("Mitigation Strategy",'RAID Log'!$1:$1,0)),"")="","",IFERROR(INDEX('RAID Log'!$1:$1048576,$B616,MATCH("Mitigation Strategy",'RAID Log'!$1:$1,0)),"")))</f>
        <v/>
      </c>
      <c r="Q616" s="88" t="str">
        <f>IF($B616="","",IF(IFERROR(INDEX('RAID Log'!$1:$1048576,$B616,MATCH("RAID Response/Plan",'RAID Log'!$1:$1,0)),"")="","",IFERROR(INDEX('RAID Log'!$1:$1048576,$B616,MATCH("RAID Response/Plan",'RAID Log'!$1:$1,0)),"")))</f>
        <v/>
      </c>
    </row>
    <row r="617" spans="1:17" ht="14.25" customHeight="1">
      <c r="A617" s="82" t="str">
        <f>IF($B617="","",IF(IFERROR(INDEX('RAID Log'!$1:$1048576,$B617,MATCH("RAID ID",'RAID Log'!$1:$1,0)),"")="","",IFERROR(INDEX('RAID Log'!$1:$1048576,$B617,MATCH("RAID ID",'RAID Log'!$1:$1,0)),"")))</f>
        <v/>
      </c>
      <c r="B617" s="83" t="str">
        <f>IFERROR(MATCH(ROW()-1,'RAID Log'!$S:$S,0),"")</f>
        <v/>
      </c>
      <c r="C617" s="84" t="str">
        <f>IF($B617="","",IF(IFERROR(INDEX('RAID Log'!$1:$1048576,$B617,MATCH("Description",'RAID Log'!$1:$1,0)),"")="","",IFERROR(INDEX('RAID Log'!$1:$1048576,$B617,MATCH("Description",'RAID Log'!$1:$1,0)),"")))</f>
        <v/>
      </c>
      <c r="D617" s="84" t="str">
        <f>IF($B617="","",IF(IFERROR(INDEX('RAID Log'!$1:$1048576,$B617,MATCH("Impact/Effect of the RAID",'RAID Log'!$1:$1,0)),"")="","",IFERROR(INDEX('RAID Log'!$1:$1048576,$B617,MATCH("Impact/Effect of the RAID",'RAID Log'!$1:$1,0)),"")))</f>
        <v/>
      </c>
      <c r="E617" s="85" t="str">
        <f>IF($B617="","",IF(IFERROR(INDEX('RAID Log'!$1:$1048576,$B617,MATCH("Impact Area",'RAID Log'!$1:$1,0)),"")="","",IFERROR(INDEX('RAID Log'!$1:$1048576,$B617,MATCH("Impact Area",'RAID Log'!$1:$1,0)),"")))</f>
        <v/>
      </c>
      <c r="F617" s="85" t="str">
        <f>IF($B617="","",IF(IFERROR(INDEX('RAID Log'!$1:$1048576,$B617,MATCH("Impact Area",'RAID Log'!$1:$1,0)),"")="","",IFERROR(INDEX('RAID Log'!$1:$1048576,$B617,MATCH("Impact Area",'RAID Log'!$1:$1,0)),"")))</f>
        <v/>
      </c>
      <c r="G617" s="85" t="str">
        <f>IF($B617="","",IF(IFERROR(INDEX('RAID Log'!$1:$1048576,$B617,MATCH("Impact Rating",'RAID Log'!$1:$1,0)),"")="","",IFERROR(INDEX('RAID Log'!$1:$1048576,$B617,MATCH("Impact Rating",'RAID Log'!$1:$1,0)),"")))</f>
        <v/>
      </c>
      <c r="H617" s="85" t="str">
        <f>IF($B617="","",IF(IFERROR(INDEX('RAID Log'!$1:$1048576,$B617,MATCH("Initial Probability",'RAID Log'!$1:$1,0)),"")="","",IFERROR(INDEX('RAID Log'!$1:$1048576,$B617,MATCH("Initial Probability",'RAID Log'!$1:$1,0)),"")))</f>
        <v/>
      </c>
      <c r="I617" s="86" t="str">
        <f t="shared" si="27"/>
        <v/>
      </c>
      <c r="J617" s="85" t="str">
        <f t="shared" si="28"/>
        <v/>
      </c>
      <c r="K617" s="86" t="str">
        <f t="shared" si="29"/>
        <v/>
      </c>
      <c r="L617" s="85" t="str">
        <f>IF($B617="","",IF(IFERROR(INDEX('RAID Log'!$1:$1048576,$B617,MATCH("Status",'RAID Log'!$1:$1,0)),"")="","",IFERROR(INDEX('RAID Log'!$1:$1048576,$B617,MATCH("Status",'RAID Log'!$1:$1,0)),"")))</f>
        <v/>
      </c>
      <c r="M617" s="85" t="str">
        <f>IF($B617="","",IF(IFERROR(INDEX('RAID Log'!$1:$1048576,$B617,MATCH("RAID Owner",'RAID Log'!$1:$1,0)),"")="","",IFERROR(INDEX('RAID Log'!$1:$1048576,$B617,MATCH("RAID Owner",'RAID Log'!$1:$1,0)),"")))</f>
        <v/>
      </c>
      <c r="N617" s="87" t="str">
        <f>IF($B617="","",IF(IFERROR(INDEX('RAID Log'!$1:$1048576,$B617,MATCH("Date Raised",'RAID Log'!$1:$1,0)),"")="","",IFERROR(INDEX('RAID Log'!$1:$1048576,$B617,MATCH("Date Raised",'RAID Log'!$1:$1,0)),"")))</f>
        <v/>
      </c>
      <c r="O617" s="87" t="str">
        <f>IF($B617="","",IF(IFERROR(INDEX('RAID Log'!$1:$1048576,$B617,MATCH("Closed Date",'RAID Log'!$1:$1,0)),"")="","",IFERROR(INDEX('RAID Log'!$1:$1048576,$B617,MATCH("Closed Date",'RAID Log'!$1:$1,0)),"")))</f>
        <v/>
      </c>
      <c r="P617" s="85" t="str">
        <f>IF($B617="","",IF(IFERROR(INDEX('RAID Log'!$1:$1048576,$B617,MATCH("Mitigation Strategy",'RAID Log'!$1:$1,0)),"")="","",IFERROR(INDEX('RAID Log'!$1:$1048576,$B617,MATCH("Mitigation Strategy",'RAID Log'!$1:$1,0)),"")))</f>
        <v/>
      </c>
      <c r="Q617" s="88" t="str">
        <f>IF($B617="","",IF(IFERROR(INDEX('RAID Log'!$1:$1048576,$B617,MATCH("RAID Response/Plan",'RAID Log'!$1:$1,0)),"")="","",IFERROR(INDEX('RAID Log'!$1:$1048576,$B617,MATCH("RAID Response/Plan",'RAID Log'!$1:$1,0)),"")))</f>
        <v/>
      </c>
    </row>
    <row r="618" spans="1:17" ht="14.25" customHeight="1">
      <c r="A618" s="82" t="str">
        <f>IF($B618="","",IF(IFERROR(INDEX('RAID Log'!$1:$1048576,$B618,MATCH("RAID ID",'RAID Log'!$1:$1,0)),"")="","",IFERROR(INDEX('RAID Log'!$1:$1048576,$B618,MATCH("RAID ID",'RAID Log'!$1:$1,0)),"")))</f>
        <v/>
      </c>
      <c r="B618" s="83" t="str">
        <f>IFERROR(MATCH(ROW()-1,'RAID Log'!$S:$S,0),"")</f>
        <v/>
      </c>
      <c r="C618" s="84" t="str">
        <f>IF($B618="","",IF(IFERROR(INDEX('RAID Log'!$1:$1048576,$B618,MATCH("Description",'RAID Log'!$1:$1,0)),"")="","",IFERROR(INDEX('RAID Log'!$1:$1048576,$B618,MATCH("Description",'RAID Log'!$1:$1,0)),"")))</f>
        <v/>
      </c>
      <c r="D618" s="84" t="str">
        <f>IF($B618="","",IF(IFERROR(INDEX('RAID Log'!$1:$1048576,$B618,MATCH("Impact/Effect of the RAID",'RAID Log'!$1:$1,0)),"")="","",IFERROR(INDEX('RAID Log'!$1:$1048576,$B618,MATCH("Impact/Effect of the RAID",'RAID Log'!$1:$1,0)),"")))</f>
        <v/>
      </c>
      <c r="E618" s="85" t="str">
        <f>IF($B618="","",IF(IFERROR(INDEX('RAID Log'!$1:$1048576,$B618,MATCH("Impact Area",'RAID Log'!$1:$1,0)),"")="","",IFERROR(INDEX('RAID Log'!$1:$1048576,$B618,MATCH("Impact Area",'RAID Log'!$1:$1,0)),"")))</f>
        <v/>
      </c>
      <c r="F618" s="85" t="str">
        <f>IF($B618="","",IF(IFERROR(INDEX('RAID Log'!$1:$1048576,$B618,MATCH("Impact Area",'RAID Log'!$1:$1,0)),"")="","",IFERROR(INDEX('RAID Log'!$1:$1048576,$B618,MATCH("Impact Area",'RAID Log'!$1:$1,0)),"")))</f>
        <v/>
      </c>
      <c r="G618" s="85" t="str">
        <f>IF($B618="","",IF(IFERROR(INDEX('RAID Log'!$1:$1048576,$B618,MATCH("Impact Rating",'RAID Log'!$1:$1,0)),"")="","",IFERROR(INDEX('RAID Log'!$1:$1048576,$B618,MATCH("Impact Rating",'RAID Log'!$1:$1,0)),"")))</f>
        <v/>
      </c>
      <c r="H618" s="85" t="str">
        <f>IF($B618="","",IF(IFERROR(INDEX('RAID Log'!$1:$1048576,$B618,MATCH("Initial Probability",'RAID Log'!$1:$1,0)),"")="","",IFERROR(INDEX('RAID Log'!$1:$1048576,$B618,MATCH("Initial Probability",'RAID Log'!$1:$1,0)),"")))</f>
        <v/>
      </c>
      <c r="I618" s="86" t="str">
        <f t="shared" si="27"/>
        <v/>
      </c>
      <c r="J618" s="85" t="str">
        <f t="shared" si="28"/>
        <v/>
      </c>
      <c r="K618" s="86" t="str">
        <f t="shared" si="29"/>
        <v/>
      </c>
      <c r="L618" s="85" t="str">
        <f>IF($B618="","",IF(IFERROR(INDEX('RAID Log'!$1:$1048576,$B618,MATCH("Status",'RAID Log'!$1:$1,0)),"")="","",IFERROR(INDEX('RAID Log'!$1:$1048576,$B618,MATCH("Status",'RAID Log'!$1:$1,0)),"")))</f>
        <v/>
      </c>
      <c r="M618" s="85" t="str">
        <f>IF($B618="","",IF(IFERROR(INDEX('RAID Log'!$1:$1048576,$B618,MATCH("RAID Owner",'RAID Log'!$1:$1,0)),"")="","",IFERROR(INDEX('RAID Log'!$1:$1048576,$B618,MATCH("RAID Owner",'RAID Log'!$1:$1,0)),"")))</f>
        <v/>
      </c>
      <c r="N618" s="87" t="str">
        <f>IF($B618="","",IF(IFERROR(INDEX('RAID Log'!$1:$1048576,$B618,MATCH("Date Raised",'RAID Log'!$1:$1,0)),"")="","",IFERROR(INDEX('RAID Log'!$1:$1048576,$B618,MATCH("Date Raised",'RAID Log'!$1:$1,0)),"")))</f>
        <v/>
      </c>
      <c r="O618" s="87" t="str">
        <f>IF($B618="","",IF(IFERROR(INDEX('RAID Log'!$1:$1048576,$B618,MATCH("Closed Date",'RAID Log'!$1:$1,0)),"")="","",IFERROR(INDEX('RAID Log'!$1:$1048576,$B618,MATCH("Closed Date",'RAID Log'!$1:$1,0)),"")))</f>
        <v/>
      </c>
      <c r="P618" s="85" t="str">
        <f>IF($B618="","",IF(IFERROR(INDEX('RAID Log'!$1:$1048576,$B618,MATCH("Mitigation Strategy",'RAID Log'!$1:$1,0)),"")="","",IFERROR(INDEX('RAID Log'!$1:$1048576,$B618,MATCH("Mitigation Strategy",'RAID Log'!$1:$1,0)),"")))</f>
        <v/>
      </c>
      <c r="Q618" s="88" t="str">
        <f>IF($B618="","",IF(IFERROR(INDEX('RAID Log'!$1:$1048576,$B618,MATCH("RAID Response/Plan",'RAID Log'!$1:$1,0)),"")="","",IFERROR(INDEX('RAID Log'!$1:$1048576,$B618,MATCH("RAID Response/Plan",'RAID Log'!$1:$1,0)),"")))</f>
        <v/>
      </c>
    </row>
    <row r="619" spans="1:17" ht="14.25" customHeight="1">
      <c r="A619" s="82" t="str">
        <f>IF($B619="","",IF(IFERROR(INDEX('RAID Log'!$1:$1048576,$B619,MATCH("RAID ID",'RAID Log'!$1:$1,0)),"")="","",IFERROR(INDEX('RAID Log'!$1:$1048576,$B619,MATCH("RAID ID",'RAID Log'!$1:$1,0)),"")))</f>
        <v/>
      </c>
      <c r="B619" s="83" t="str">
        <f>IFERROR(MATCH(ROW()-1,'RAID Log'!$S:$S,0),"")</f>
        <v/>
      </c>
      <c r="C619" s="84" t="str">
        <f>IF($B619="","",IF(IFERROR(INDEX('RAID Log'!$1:$1048576,$B619,MATCH("Description",'RAID Log'!$1:$1,0)),"")="","",IFERROR(INDEX('RAID Log'!$1:$1048576,$B619,MATCH("Description",'RAID Log'!$1:$1,0)),"")))</f>
        <v/>
      </c>
      <c r="D619" s="84" t="str">
        <f>IF($B619="","",IF(IFERROR(INDEX('RAID Log'!$1:$1048576,$B619,MATCH("Impact/Effect of the RAID",'RAID Log'!$1:$1,0)),"")="","",IFERROR(INDEX('RAID Log'!$1:$1048576,$B619,MATCH("Impact/Effect of the RAID",'RAID Log'!$1:$1,0)),"")))</f>
        <v/>
      </c>
      <c r="E619" s="85" t="str">
        <f>IF($B619="","",IF(IFERROR(INDEX('RAID Log'!$1:$1048576,$B619,MATCH("Impact Area",'RAID Log'!$1:$1,0)),"")="","",IFERROR(INDEX('RAID Log'!$1:$1048576,$B619,MATCH("Impact Area",'RAID Log'!$1:$1,0)),"")))</f>
        <v/>
      </c>
      <c r="F619" s="85" t="str">
        <f>IF($B619="","",IF(IFERROR(INDEX('RAID Log'!$1:$1048576,$B619,MATCH("Impact Area",'RAID Log'!$1:$1,0)),"")="","",IFERROR(INDEX('RAID Log'!$1:$1048576,$B619,MATCH("Impact Area",'RAID Log'!$1:$1,0)),"")))</f>
        <v/>
      </c>
      <c r="G619" s="85" t="str">
        <f>IF($B619="","",IF(IFERROR(INDEX('RAID Log'!$1:$1048576,$B619,MATCH("Impact Rating",'RAID Log'!$1:$1,0)),"")="","",IFERROR(INDEX('RAID Log'!$1:$1048576,$B619,MATCH("Impact Rating",'RAID Log'!$1:$1,0)),"")))</f>
        <v/>
      </c>
      <c r="H619" s="85" t="str">
        <f>IF($B619="","",IF(IFERROR(INDEX('RAID Log'!$1:$1048576,$B619,MATCH("Initial Probability",'RAID Log'!$1:$1,0)),"")="","",IFERROR(INDEX('RAID Log'!$1:$1048576,$B619,MATCH("Initial Probability",'RAID Log'!$1:$1,0)),"")))</f>
        <v/>
      </c>
      <c r="I619" s="86" t="str">
        <f t="shared" si="27"/>
        <v/>
      </c>
      <c r="J619" s="85" t="str">
        <f t="shared" si="28"/>
        <v/>
      </c>
      <c r="K619" s="86" t="str">
        <f t="shared" si="29"/>
        <v/>
      </c>
      <c r="L619" s="85" t="str">
        <f>IF($B619="","",IF(IFERROR(INDEX('RAID Log'!$1:$1048576,$B619,MATCH("Status",'RAID Log'!$1:$1,0)),"")="","",IFERROR(INDEX('RAID Log'!$1:$1048576,$B619,MATCH("Status",'RAID Log'!$1:$1,0)),"")))</f>
        <v/>
      </c>
      <c r="M619" s="85" t="str">
        <f>IF($B619="","",IF(IFERROR(INDEX('RAID Log'!$1:$1048576,$B619,MATCH("RAID Owner",'RAID Log'!$1:$1,0)),"")="","",IFERROR(INDEX('RAID Log'!$1:$1048576,$B619,MATCH("RAID Owner",'RAID Log'!$1:$1,0)),"")))</f>
        <v/>
      </c>
      <c r="N619" s="87" t="str">
        <f>IF($B619="","",IF(IFERROR(INDEX('RAID Log'!$1:$1048576,$B619,MATCH("Date Raised",'RAID Log'!$1:$1,0)),"")="","",IFERROR(INDEX('RAID Log'!$1:$1048576,$B619,MATCH("Date Raised",'RAID Log'!$1:$1,0)),"")))</f>
        <v/>
      </c>
      <c r="O619" s="87" t="str">
        <f>IF($B619="","",IF(IFERROR(INDEX('RAID Log'!$1:$1048576,$B619,MATCH("Closed Date",'RAID Log'!$1:$1,0)),"")="","",IFERROR(INDEX('RAID Log'!$1:$1048576,$B619,MATCH("Closed Date",'RAID Log'!$1:$1,0)),"")))</f>
        <v/>
      </c>
      <c r="P619" s="85" t="str">
        <f>IF($B619="","",IF(IFERROR(INDEX('RAID Log'!$1:$1048576,$B619,MATCH("Mitigation Strategy",'RAID Log'!$1:$1,0)),"")="","",IFERROR(INDEX('RAID Log'!$1:$1048576,$B619,MATCH("Mitigation Strategy",'RAID Log'!$1:$1,0)),"")))</f>
        <v/>
      </c>
      <c r="Q619" s="88" t="str">
        <f>IF($B619="","",IF(IFERROR(INDEX('RAID Log'!$1:$1048576,$B619,MATCH("RAID Response/Plan",'RAID Log'!$1:$1,0)),"")="","",IFERROR(INDEX('RAID Log'!$1:$1048576,$B619,MATCH("RAID Response/Plan",'RAID Log'!$1:$1,0)),"")))</f>
        <v/>
      </c>
    </row>
    <row r="620" spans="1:17" ht="14.25" customHeight="1">
      <c r="A620" s="82" t="str">
        <f>IF($B620="","",IF(IFERROR(INDEX('RAID Log'!$1:$1048576,$B620,MATCH("RAID ID",'RAID Log'!$1:$1,0)),"")="","",IFERROR(INDEX('RAID Log'!$1:$1048576,$B620,MATCH("RAID ID",'RAID Log'!$1:$1,0)),"")))</f>
        <v/>
      </c>
      <c r="B620" s="83" t="str">
        <f>IFERROR(MATCH(ROW()-1,'RAID Log'!$S:$S,0),"")</f>
        <v/>
      </c>
      <c r="C620" s="84" t="str">
        <f>IF($B620="","",IF(IFERROR(INDEX('RAID Log'!$1:$1048576,$B620,MATCH("Description",'RAID Log'!$1:$1,0)),"")="","",IFERROR(INDEX('RAID Log'!$1:$1048576,$B620,MATCH("Description",'RAID Log'!$1:$1,0)),"")))</f>
        <v/>
      </c>
      <c r="D620" s="84" t="str">
        <f>IF($B620="","",IF(IFERROR(INDEX('RAID Log'!$1:$1048576,$B620,MATCH("Impact/Effect of the RAID",'RAID Log'!$1:$1,0)),"")="","",IFERROR(INDEX('RAID Log'!$1:$1048576,$B620,MATCH("Impact/Effect of the RAID",'RAID Log'!$1:$1,0)),"")))</f>
        <v/>
      </c>
      <c r="E620" s="85" t="str">
        <f>IF($B620="","",IF(IFERROR(INDEX('RAID Log'!$1:$1048576,$B620,MATCH("Impact Area",'RAID Log'!$1:$1,0)),"")="","",IFERROR(INDEX('RAID Log'!$1:$1048576,$B620,MATCH("Impact Area",'RAID Log'!$1:$1,0)),"")))</f>
        <v/>
      </c>
      <c r="F620" s="85" t="str">
        <f>IF($B620="","",IF(IFERROR(INDEX('RAID Log'!$1:$1048576,$B620,MATCH("Impact Area",'RAID Log'!$1:$1,0)),"")="","",IFERROR(INDEX('RAID Log'!$1:$1048576,$B620,MATCH("Impact Area",'RAID Log'!$1:$1,0)),"")))</f>
        <v/>
      </c>
      <c r="G620" s="85" t="str">
        <f>IF($B620="","",IF(IFERROR(INDEX('RAID Log'!$1:$1048576,$B620,MATCH("Impact Rating",'RAID Log'!$1:$1,0)),"")="","",IFERROR(INDEX('RAID Log'!$1:$1048576,$B620,MATCH("Impact Rating",'RAID Log'!$1:$1,0)),"")))</f>
        <v/>
      </c>
      <c r="H620" s="85" t="str">
        <f>IF($B620="","",IF(IFERROR(INDEX('RAID Log'!$1:$1048576,$B620,MATCH("Initial Probability",'RAID Log'!$1:$1,0)),"")="","",IFERROR(INDEX('RAID Log'!$1:$1048576,$B620,MATCH("Initial Probability",'RAID Log'!$1:$1,0)),"")))</f>
        <v/>
      </c>
      <c r="I620" s="86" t="str">
        <f t="shared" si="27"/>
        <v/>
      </c>
      <c r="J620" s="85" t="str">
        <f t="shared" si="28"/>
        <v/>
      </c>
      <c r="K620" s="86" t="str">
        <f t="shared" si="29"/>
        <v/>
      </c>
      <c r="L620" s="85" t="str">
        <f>IF($B620="","",IF(IFERROR(INDEX('RAID Log'!$1:$1048576,$B620,MATCH("Status",'RAID Log'!$1:$1,0)),"")="","",IFERROR(INDEX('RAID Log'!$1:$1048576,$B620,MATCH("Status",'RAID Log'!$1:$1,0)),"")))</f>
        <v/>
      </c>
      <c r="M620" s="85" t="str">
        <f>IF($B620="","",IF(IFERROR(INDEX('RAID Log'!$1:$1048576,$B620,MATCH("RAID Owner",'RAID Log'!$1:$1,0)),"")="","",IFERROR(INDEX('RAID Log'!$1:$1048576,$B620,MATCH("RAID Owner",'RAID Log'!$1:$1,0)),"")))</f>
        <v/>
      </c>
      <c r="N620" s="87" t="str">
        <f>IF($B620="","",IF(IFERROR(INDEX('RAID Log'!$1:$1048576,$B620,MATCH("Date Raised",'RAID Log'!$1:$1,0)),"")="","",IFERROR(INDEX('RAID Log'!$1:$1048576,$B620,MATCH("Date Raised",'RAID Log'!$1:$1,0)),"")))</f>
        <v/>
      </c>
      <c r="O620" s="87" t="str">
        <f>IF($B620="","",IF(IFERROR(INDEX('RAID Log'!$1:$1048576,$B620,MATCH("Closed Date",'RAID Log'!$1:$1,0)),"")="","",IFERROR(INDEX('RAID Log'!$1:$1048576,$B620,MATCH("Closed Date",'RAID Log'!$1:$1,0)),"")))</f>
        <v/>
      </c>
      <c r="P620" s="85" t="str">
        <f>IF($B620="","",IF(IFERROR(INDEX('RAID Log'!$1:$1048576,$B620,MATCH("Mitigation Strategy",'RAID Log'!$1:$1,0)),"")="","",IFERROR(INDEX('RAID Log'!$1:$1048576,$B620,MATCH("Mitigation Strategy",'RAID Log'!$1:$1,0)),"")))</f>
        <v/>
      </c>
      <c r="Q620" s="88" t="str">
        <f>IF($B620="","",IF(IFERROR(INDEX('RAID Log'!$1:$1048576,$B620,MATCH("RAID Response/Plan",'RAID Log'!$1:$1,0)),"")="","",IFERROR(INDEX('RAID Log'!$1:$1048576,$B620,MATCH("RAID Response/Plan",'RAID Log'!$1:$1,0)),"")))</f>
        <v/>
      </c>
    </row>
    <row r="621" spans="1:17" ht="14.25" customHeight="1">
      <c r="A621" s="82" t="str">
        <f>IF($B621="","",IF(IFERROR(INDEX('RAID Log'!$1:$1048576,$B621,MATCH("RAID ID",'RAID Log'!$1:$1,0)),"")="","",IFERROR(INDEX('RAID Log'!$1:$1048576,$B621,MATCH("RAID ID",'RAID Log'!$1:$1,0)),"")))</f>
        <v/>
      </c>
      <c r="B621" s="83" t="str">
        <f>IFERROR(MATCH(ROW()-1,'RAID Log'!$S:$S,0),"")</f>
        <v/>
      </c>
      <c r="C621" s="84" t="str">
        <f>IF($B621="","",IF(IFERROR(INDEX('RAID Log'!$1:$1048576,$B621,MATCH("Description",'RAID Log'!$1:$1,0)),"")="","",IFERROR(INDEX('RAID Log'!$1:$1048576,$B621,MATCH("Description",'RAID Log'!$1:$1,0)),"")))</f>
        <v/>
      </c>
      <c r="D621" s="84" t="str">
        <f>IF($B621="","",IF(IFERROR(INDEX('RAID Log'!$1:$1048576,$B621,MATCH("Impact/Effect of the RAID",'RAID Log'!$1:$1,0)),"")="","",IFERROR(INDEX('RAID Log'!$1:$1048576,$B621,MATCH("Impact/Effect of the RAID",'RAID Log'!$1:$1,0)),"")))</f>
        <v/>
      </c>
      <c r="E621" s="85" t="str">
        <f>IF($B621="","",IF(IFERROR(INDEX('RAID Log'!$1:$1048576,$B621,MATCH("Impact Area",'RAID Log'!$1:$1,0)),"")="","",IFERROR(INDEX('RAID Log'!$1:$1048576,$B621,MATCH("Impact Area",'RAID Log'!$1:$1,0)),"")))</f>
        <v/>
      </c>
      <c r="F621" s="85" t="str">
        <f>IF($B621="","",IF(IFERROR(INDEX('RAID Log'!$1:$1048576,$B621,MATCH("Impact Area",'RAID Log'!$1:$1,0)),"")="","",IFERROR(INDEX('RAID Log'!$1:$1048576,$B621,MATCH("Impact Area",'RAID Log'!$1:$1,0)),"")))</f>
        <v/>
      </c>
      <c r="G621" s="85" t="str">
        <f>IF($B621="","",IF(IFERROR(INDEX('RAID Log'!$1:$1048576,$B621,MATCH("Impact Rating",'RAID Log'!$1:$1,0)),"")="","",IFERROR(INDEX('RAID Log'!$1:$1048576,$B621,MATCH("Impact Rating",'RAID Log'!$1:$1,0)),"")))</f>
        <v/>
      </c>
      <c r="H621" s="85" t="str">
        <f>IF($B621="","",IF(IFERROR(INDEX('RAID Log'!$1:$1048576,$B621,MATCH("Initial Probability",'RAID Log'!$1:$1,0)),"")="","",IFERROR(INDEX('RAID Log'!$1:$1048576,$B621,MATCH("Initial Probability",'RAID Log'!$1:$1,0)),"")))</f>
        <v/>
      </c>
      <c r="I621" s="86" t="str">
        <f t="shared" si="27"/>
        <v/>
      </c>
      <c r="J621" s="85" t="str">
        <f t="shared" si="28"/>
        <v/>
      </c>
      <c r="K621" s="86" t="str">
        <f t="shared" si="29"/>
        <v/>
      </c>
      <c r="L621" s="85" t="str">
        <f>IF($B621="","",IF(IFERROR(INDEX('RAID Log'!$1:$1048576,$B621,MATCH("Status",'RAID Log'!$1:$1,0)),"")="","",IFERROR(INDEX('RAID Log'!$1:$1048576,$B621,MATCH("Status",'RAID Log'!$1:$1,0)),"")))</f>
        <v/>
      </c>
      <c r="M621" s="85" t="str">
        <f>IF($B621="","",IF(IFERROR(INDEX('RAID Log'!$1:$1048576,$B621,MATCH("RAID Owner",'RAID Log'!$1:$1,0)),"")="","",IFERROR(INDEX('RAID Log'!$1:$1048576,$B621,MATCH("RAID Owner",'RAID Log'!$1:$1,0)),"")))</f>
        <v/>
      </c>
      <c r="N621" s="87" t="str">
        <f>IF($B621="","",IF(IFERROR(INDEX('RAID Log'!$1:$1048576,$B621,MATCH("Date Raised",'RAID Log'!$1:$1,0)),"")="","",IFERROR(INDEX('RAID Log'!$1:$1048576,$B621,MATCH("Date Raised",'RAID Log'!$1:$1,0)),"")))</f>
        <v/>
      </c>
      <c r="O621" s="87" t="str">
        <f>IF($B621="","",IF(IFERROR(INDEX('RAID Log'!$1:$1048576,$B621,MATCH("Closed Date",'RAID Log'!$1:$1,0)),"")="","",IFERROR(INDEX('RAID Log'!$1:$1048576,$B621,MATCH("Closed Date",'RAID Log'!$1:$1,0)),"")))</f>
        <v/>
      </c>
      <c r="P621" s="85" t="str">
        <f>IF($B621="","",IF(IFERROR(INDEX('RAID Log'!$1:$1048576,$B621,MATCH("Mitigation Strategy",'RAID Log'!$1:$1,0)),"")="","",IFERROR(INDEX('RAID Log'!$1:$1048576,$B621,MATCH("Mitigation Strategy",'RAID Log'!$1:$1,0)),"")))</f>
        <v/>
      </c>
      <c r="Q621" s="88" t="str">
        <f>IF($B621="","",IF(IFERROR(INDEX('RAID Log'!$1:$1048576,$B621,MATCH("RAID Response/Plan",'RAID Log'!$1:$1,0)),"")="","",IFERROR(INDEX('RAID Log'!$1:$1048576,$B621,MATCH("RAID Response/Plan",'RAID Log'!$1:$1,0)),"")))</f>
        <v/>
      </c>
    </row>
    <row r="622" spans="1:17" ht="14.25" customHeight="1">
      <c r="A622" s="82" t="str">
        <f>IF($B622="","",IF(IFERROR(INDEX('RAID Log'!$1:$1048576,$B622,MATCH("RAID ID",'RAID Log'!$1:$1,0)),"")="","",IFERROR(INDEX('RAID Log'!$1:$1048576,$B622,MATCH("RAID ID",'RAID Log'!$1:$1,0)),"")))</f>
        <v/>
      </c>
      <c r="B622" s="83" t="str">
        <f>IFERROR(MATCH(ROW()-1,'RAID Log'!$S:$S,0),"")</f>
        <v/>
      </c>
      <c r="C622" s="84" t="str">
        <f>IF($B622="","",IF(IFERROR(INDEX('RAID Log'!$1:$1048576,$B622,MATCH("Description",'RAID Log'!$1:$1,0)),"")="","",IFERROR(INDEX('RAID Log'!$1:$1048576,$B622,MATCH("Description",'RAID Log'!$1:$1,0)),"")))</f>
        <v/>
      </c>
      <c r="D622" s="84" t="str">
        <f>IF($B622="","",IF(IFERROR(INDEX('RAID Log'!$1:$1048576,$B622,MATCH("Impact/Effect of the RAID",'RAID Log'!$1:$1,0)),"")="","",IFERROR(INDEX('RAID Log'!$1:$1048576,$B622,MATCH("Impact/Effect of the RAID",'RAID Log'!$1:$1,0)),"")))</f>
        <v/>
      </c>
      <c r="E622" s="85" t="str">
        <f>IF($B622="","",IF(IFERROR(INDEX('RAID Log'!$1:$1048576,$B622,MATCH("Impact Area",'RAID Log'!$1:$1,0)),"")="","",IFERROR(INDEX('RAID Log'!$1:$1048576,$B622,MATCH("Impact Area",'RAID Log'!$1:$1,0)),"")))</f>
        <v/>
      </c>
      <c r="F622" s="85" t="str">
        <f>IF($B622="","",IF(IFERROR(INDEX('RAID Log'!$1:$1048576,$B622,MATCH("Impact Area",'RAID Log'!$1:$1,0)),"")="","",IFERROR(INDEX('RAID Log'!$1:$1048576,$B622,MATCH("Impact Area",'RAID Log'!$1:$1,0)),"")))</f>
        <v/>
      </c>
      <c r="G622" s="85" t="str">
        <f>IF($B622="","",IF(IFERROR(INDEX('RAID Log'!$1:$1048576,$B622,MATCH("Impact Rating",'RAID Log'!$1:$1,0)),"")="","",IFERROR(INDEX('RAID Log'!$1:$1048576,$B622,MATCH("Impact Rating",'RAID Log'!$1:$1,0)),"")))</f>
        <v/>
      </c>
      <c r="H622" s="85" t="str">
        <f>IF($B622="","",IF(IFERROR(INDEX('RAID Log'!$1:$1048576,$B622,MATCH("Initial Probability",'RAID Log'!$1:$1,0)),"")="","",IFERROR(INDEX('RAID Log'!$1:$1048576,$B622,MATCH("Initial Probability",'RAID Log'!$1:$1,0)),"")))</f>
        <v/>
      </c>
      <c r="I622" s="86" t="str">
        <f t="shared" si="27"/>
        <v/>
      </c>
      <c r="J622" s="85" t="str">
        <f t="shared" si="28"/>
        <v/>
      </c>
      <c r="K622" s="86" t="str">
        <f t="shared" si="29"/>
        <v/>
      </c>
      <c r="L622" s="85" t="str">
        <f>IF($B622="","",IF(IFERROR(INDEX('RAID Log'!$1:$1048576,$B622,MATCH("Status",'RAID Log'!$1:$1,0)),"")="","",IFERROR(INDEX('RAID Log'!$1:$1048576,$B622,MATCH("Status",'RAID Log'!$1:$1,0)),"")))</f>
        <v/>
      </c>
      <c r="M622" s="85" t="str">
        <f>IF($B622="","",IF(IFERROR(INDEX('RAID Log'!$1:$1048576,$B622,MATCH("RAID Owner",'RAID Log'!$1:$1,0)),"")="","",IFERROR(INDEX('RAID Log'!$1:$1048576,$B622,MATCH("RAID Owner",'RAID Log'!$1:$1,0)),"")))</f>
        <v/>
      </c>
      <c r="N622" s="87" t="str">
        <f>IF($B622="","",IF(IFERROR(INDEX('RAID Log'!$1:$1048576,$B622,MATCH("Date Raised",'RAID Log'!$1:$1,0)),"")="","",IFERROR(INDEX('RAID Log'!$1:$1048576,$B622,MATCH("Date Raised",'RAID Log'!$1:$1,0)),"")))</f>
        <v/>
      </c>
      <c r="O622" s="87" t="str">
        <f>IF($B622="","",IF(IFERROR(INDEX('RAID Log'!$1:$1048576,$B622,MATCH("Closed Date",'RAID Log'!$1:$1,0)),"")="","",IFERROR(INDEX('RAID Log'!$1:$1048576,$B622,MATCH("Closed Date",'RAID Log'!$1:$1,0)),"")))</f>
        <v/>
      </c>
      <c r="P622" s="85" t="str">
        <f>IF($B622="","",IF(IFERROR(INDEX('RAID Log'!$1:$1048576,$B622,MATCH("Mitigation Strategy",'RAID Log'!$1:$1,0)),"")="","",IFERROR(INDEX('RAID Log'!$1:$1048576,$B622,MATCH("Mitigation Strategy",'RAID Log'!$1:$1,0)),"")))</f>
        <v/>
      </c>
      <c r="Q622" s="88" t="str">
        <f>IF($B622="","",IF(IFERROR(INDEX('RAID Log'!$1:$1048576,$B622,MATCH("RAID Response/Plan",'RAID Log'!$1:$1,0)),"")="","",IFERROR(INDEX('RAID Log'!$1:$1048576,$B622,MATCH("RAID Response/Plan",'RAID Log'!$1:$1,0)),"")))</f>
        <v/>
      </c>
    </row>
    <row r="623" spans="1:17" ht="14.25" customHeight="1">
      <c r="A623" s="82" t="str">
        <f>IF($B623="","",IF(IFERROR(INDEX('RAID Log'!$1:$1048576,$B623,MATCH("RAID ID",'RAID Log'!$1:$1,0)),"")="","",IFERROR(INDEX('RAID Log'!$1:$1048576,$B623,MATCH("RAID ID",'RAID Log'!$1:$1,0)),"")))</f>
        <v/>
      </c>
      <c r="B623" s="83" t="str">
        <f>IFERROR(MATCH(ROW()-1,'RAID Log'!$S:$S,0),"")</f>
        <v/>
      </c>
      <c r="C623" s="84" t="str">
        <f>IF($B623="","",IF(IFERROR(INDEX('RAID Log'!$1:$1048576,$B623,MATCH("Description",'RAID Log'!$1:$1,0)),"")="","",IFERROR(INDEX('RAID Log'!$1:$1048576,$B623,MATCH("Description",'RAID Log'!$1:$1,0)),"")))</f>
        <v/>
      </c>
      <c r="D623" s="84" t="str">
        <f>IF($B623="","",IF(IFERROR(INDEX('RAID Log'!$1:$1048576,$B623,MATCH("Impact/Effect of the RAID",'RAID Log'!$1:$1,0)),"")="","",IFERROR(INDEX('RAID Log'!$1:$1048576,$B623,MATCH("Impact/Effect of the RAID",'RAID Log'!$1:$1,0)),"")))</f>
        <v/>
      </c>
      <c r="E623" s="85" t="str">
        <f>IF($B623="","",IF(IFERROR(INDEX('RAID Log'!$1:$1048576,$B623,MATCH("Impact Area",'RAID Log'!$1:$1,0)),"")="","",IFERROR(INDEX('RAID Log'!$1:$1048576,$B623,MATCH("Impact Area",'RAID Log'!$1:$1,0)),"")))</f>
        <v/>
      </c>
      <c r="F623" s="85" t="str">
        <f>IF($B623="","",IF(IFERROR(INDEX('RAID Log'!$1:$1048576,$B623,MATCH("Impact Area",'RAID Log'!$1:$1,0)),"")="","",IFERROR(INDEX('RAID Log'!$1:$1048576,$B623,MATCH("Impact Area",'RAID Log'!$1:$1,0)),"")))</f>
        <v/>
      </c>
      <c r="G623" s="85" t="str">
        <f>IF($B623="","",IF(IFERROR(INDEX('RAID Log'!$1:$1048576,$B623,MATCH("Impact Rating",'RAID Log'!$1:$1,0)),"")="","",IFERROR(INDEX('RAID Log'!$1:$1048576,$B623,MATCH("Impact Rating",'RAID Log'!$1:$1,0)),"")))</f>
        <v/>
      </c>
      <c r="H623" s="85" t="str">
        <f>IF($B623="","",IF(IFERROR(INDEX('RAID Log'!$1:$1048576,$B623,MATCH("Initial Probability",'RAID Log'!$1:$1,0)),"")="","",IFERROR(INDEX('RAID Log'!$1:$1048576,$B623,MATCH("Initial Probability",'RAID Log'!$1:$1,0)),"")))</f>
        <v/>
      </c>
      <c r="I623" s="86" t="str">
        <f t="shared" si="27"/>
        <v/>
      </c>
      <c r="J623" s="85" t="str">
        <f t="shared" si="28"/>
        <v/>
      </c>
      <c r="K623" s="86" t="str">
        <f t="shared" si="29"/>
        <v/>
      </c>
      <c r="L623" s="85" t="str">
        <f>IF($B623="","",IF(IFERROR(INDEX('RAID Log'!$1:$1048576,$B623,MATCH("Status",'RAID Log'!$1:$1,0)),"")="","",IFERROR(INDEX('RAID Log'!$1:$1048576,$B623,MATCH("Status",'RAID Log'!$1:$1,0)),"")))</f>
        <v/>
      </c>
      <c r="M623" s="85" t="str">
        <f>IF($B623="","",IF(IFERROR(INDEX('RAID Log'!$1:$1048576,$B623,MATCH("RAID Owner",'RAID Log'!$1:$1,0)),"")="","",IFERROR(INDEX('RAID Log'!$1:$1048576,$B623,MATCH("RAID Owner",'RAID Log'!$1:$1,0)),"")))</f>
        <v/>
      </c>
      <c r="N623" s="87" t="str">
        <f>IF($B623="","",IF(IFERROR(INDEX('RAID Log'!$1:$1048576,$B623,MATCH("Date Raised",'RAID Log'!$1:$1,0)),"")="","",IFERROR(INDEX('RAID Log'!$1:$1048576,$B623,MATCH("Date Raised",'RAID Log'!$1:$1,0)),"")))</f>
        <v/>
      </c>
      <c r="O623" s="87" t="str">
        <f>IF($B623="","",IF(IFERROR(INDEX('RAID Log'!$1:$1048576,$B623,MATCH("Closed Date",'RAID Log'!$1:$1,0)),"")="","",IFERROR(INDEX('RAID Log'!$1:$1048576,$B623,MATCH("Closed Date",'RAID Log'!$1:$1,0)),"")))</f>
        <v/>
      </c>
      <c r="P623" s="85" t="str">
        <f>IF($B623="","",IF(IFERROR(INDEX('RAID Log'!$1:$1048576,$B623,MATCH("Mitigation Strategy",'RAID Log'!$1:$1,0)),"")="","",IFERROR(INDEX('RAID Log'!$1:$1048576,$B623,MATCH("Mitigation Strategy",'RAID Log'!$1:$1,0)),"")))</f>
        <v/>
      </c>
      <c r="Q623" s="88" t="str">
        <f>IF($B623="","",IF(IFERROR(INDEX('RAID Log'!$1:$1048576,$B623,MATCH("RAID Response/Plan",'RAID Log'!$1:$1,0)),"")="","",IFERROR(INDEX('RAID Log'!$1:$1048576,$B623,MATCH("RAID Response/Plan",'RAID Log'!$1:$1,0)),"")))</f>
        <v/>
      </c>
    </row>
    <row r="624" spans="1:17" ht="14.25" customHeight="1">
      <c r="A624" s="82" t="str">
        <f>IF($B624="","",IF(IFERROR(INDEX('RAID Log'!$1:$1048576,$B624,MATCH("RAID ID",'RAID Log'!$1:$1,0)),"")="","",IFERROR(INDEX('RAID Log'!$1:$1048576,$B624,MATCH("RAID ID",'RAID Log'!$1:$1,0)),"")))</f>
        <v/>
      </c>
      <c r="B624" s="83" t="str">
        <f>IFERROR(MATCH(ROW()-1,'RAID Log'!$S:$S,0),"")</f>
        <v/>
      </c>
      <c r="C624" s="84" t="str">
        <f>IF($B624="","",IF(IFERROR(INDEX('RAID Log'!$1:$1048576,$B624,MATCH("Description",'RAID Log'!$1:$1,0)),"")="","",IFERROR(INDEX('RAID Log'!$1:$1048576,$B624,MATCH("Description",'RAID Log'!$1:$1,0)),"")))</f>
        <v/>
      </c>
      <c r="D624" s="84" t="str">
        <f>IF($B624="","",IF(IFERROR(INDEX('RAID Log'!$1:$1048576,$B624,MATCH("Impact/Effect of the RAID",'RAID Log'!$1:$1,0)),"")="","",IFERROR(INDEX('RAID Log'!$1:$1048576,$B624,MATCH("Impact/Effect of the RAID",'RAID Log'!$1:$1,0)),"")))</f>
        <v/>
      </c>
      <c r="E624" s="85" t="str">
        <f>IF($B624="","",IF(IFERROR(INDEX('RAID Log'!$1:$1048576,$B624,MATCH("Impact Area",'RAID Log'!$1:$1,0)),"")="","",IFERROR(INDEX('RAID Log'!$1:$1048576,$B624,MATCH("Impact Area",'RAID Log'!$1:$1,0)),"")))</f>
        <v/>
      </c>
      <c r="F624" s="85" t="str">
        <f>IF($B624="","",IF(IFERROR(INDEX('RAID Log'!$1:$1048576,$B624,MATCH("Impact Area",'RAID Log'!$1:$1,0)),"")="","",IFERROR(INDEX('RAID Log'!$1:$1048576,$B624,MATCH("Impact Area",'RAID Log'!$1:$1,0)),"")))</f>
        <v/>
      </c>
      <c r="G624" s="85" t="str">
        <f>IF($B624="","",IF(IFERROR(INDEX('RAID Log'!$1:$1048576,$B624,MATCH("Impact Rating",'RAID Log'!$1:$1,0)),"")="","",IFERROR(INDEX('RAID Log'!$1:$1048576,$B624,MATCH("Impact Rating",'RAID Log'!$1:$1,0)),"")))</f>
        <v/>
      </c>
      <c r="H624" s="85" t="str">
        <f>IF($B624="","",IF(IFERROR(INDEX('RAID Log'!$1:$1048576,$B624,MATCH("Initial Probability",'RAID Log'!$1:$1,0)),"")="","",IFERROR(INDEX('RAID Log'!$1:$1048576,$B624,MATCH("Initial Probability",'RAID Log'!$1:$1,0)),"")))</f>
        <v/>
      </c>
      <c r="I624" s="86" t="str">
        <f t="shared" si="27"/>
        <v/>
      </c>
      <c r="J624" s="85" t="str">
        <f t="shared" si="28"/>
        <v/>
      </c>
      <c r="K624" s="86" t="str">
        <f t="shared" si="29"/>
        <v/>
      </c>
      <c r="L624" s="85" t="str">
        <f>IF($B624="","",IF(IFERROR(INDEX('RAID Log'!$1:$1048576,$B624,MATCH("Status",'RAID Log'!$1:$1,0)),"")="","",IFERROR(INDEX('RAID Log'!$1:$1048576,$B624,MATCH("Status",'RAID Log'!$1:$1,0)),"")))</f>
        <v/>
      </c>
      <c r="M624" s="85" t="str">
        <f>IF($B624="","",IF(IFERROR(INDEX('RAID Log'!$1:$1048576,$B624,MATCH("RAID Owner",'RAID Log'!$1:$1,0)),"")="","",IFERROR(INDEX('RAID Log'!$1:$1048576,$B624,MATCH("RAID Owner",'RAID Log'!$1:$1,0)),"")))</f>
        <v/>
      </c>
      <c r="N624" s="87" t="str">
        <f>IF($B624="","",IF(IFERROR(INDEX('RAID Log'!$1:$1048576,$B624,MATCH("Date Raised",'RAID Log'!$1:$1,0)),"")="","",IFERROR(INDEX('RAID Log'!$1:$1048576,$B624,MATCH("Date Raised",'RAID Log'!$1:$1,0)),"")))</f>
        <v/>
      </c>
      <c r="O624" s="87" t="str">
        <f>IF($B624="","",IF(IFERROR(INDEX('RAID Log'!$1:$1048576,$B624,MATCH("Closed Date",'RAID Log'!$1:$1,0)),"")="","",IFERROR(INDEX('RAID Log'!$1:$1048576,$B624,MATCH("Closed Date",'RAID Log'!$1:$1,0)),"")))</f>
        <v/>
      </c>
      <c r="P624" s="85" t="str">
        <f>IF($B624="","",IF(IFERROR(INDEX('RAID Log'!$1:$1048576,$B624,MATCH("Mitigation Strategy",'RAID Log'!$1:$1,0)),"")="","",IFERROR(INDEX('RAID Log'!$1:$1048576,$B624,MATCH("Mitigation Strategy",'RAID Log'!$1:$1,0)),"")))</f>
        <v/>
      </c>
      <c r="Q624" s="88" t="str">
        <f>IF($B624="","",IF(IFERROR(INDEX('RAID Log'!$1:$1048576,$B624,MATCH("RAID Response/Plan",'RAID Log'!$1:$1,0)),"")="","",IFERROR(INDEX('RAID Log'!$1:$1048576,$B624,MATCH("RAID Response/Plan",'RAID Log'!$1:$1,0)),"")))</f>
        <v/>
      </c>
    </row>
    <row r="625" spans="1:17" ht="14.25" customHeight="1">
      <c r="A625" s="82" t="str">
        <f>IF($B625="","",IF(IFERROR(INDEX('RAID Log'!$1:$1048576,$B625,MATCH("RAID ID",'RAID Log'!$1:$1,0)),"")="","",IFERROR(INDEX('RAID Log'!$1:$1048576,$B625,MATCH("RAID ID",'RAID Log'!$1:$1,0)),"")))</f>
        <v/>
      </c>
      <c r="B625" s="83" t="str">
        <f>IFERROR(MATCH(ROW()-1,'RAID Log'!$S:$S,0),"")</f>
        <v/>
      </c>
      <c r="C625" s="84" t="str">
        <f>IF($B625="","",IF(IFERROR(INDEX('RAID Log'!$1:$1048576,$B625,MATCH("Description",'RAID Log'!$1:$1,0)),"")="","",IFERROR(INDEX('RAID Log'!$1:$1048576,$B625,MATCH("Description",'RAID Log'!$1:$1,0)),"")))</f>
        <v/>
      </c>
      <c r="D625" s="84" t="str">
        <f>IF($B625="","",IF(IFERROR(INDEX('RAID Log'!$1:$1048576,$B625,MATCH("Impact/Effect of the RAID",'RAID Log'!$1:$1,0)),"")="","",IFERROR(INDEX('RAID Log'!$1:$1048576,$B625,MATCH("Impact/Effect of the RAID",'RAID Log'!$1:$1,0)),"")))</f>
        <v/>
      </c>
      <c r="E625" s="85" t="str">
        <f>IF($B625="","",IF(IFERROR(INDEX('RAID Log'!$1:$1048576,$B625,MATCH("Impact Area",'RAID Log'!$1:$1,0)),"")="","",IFERROR(INDEX('RAID Log'!$1:$1048576,$B625,MATCH("Impact Area",'RAID Log'!$1:$1,0)),"")))</f>
        <v/>
      </c>
      <c r="F625" s="85" t="str">
        <f>IF($B625="","",IF(IFERROR(INDEX('RAID Log'!$1:$1048576,$B625,MATCH("Impact Area",'RAID Log'!$1:$1,0)),"")="","",IFERROR(INDEX('RAID Log'!$1:$1048576,$B625,MATCH("Impact Area",'RAID Log'!$1:$1,0)),"")))</f>
        <v/>
      </c>
      <c r="G625" s="85" t="str">
        <f>IF($B625="","",IF(IFERROR(INDEX('RAID Log'!$1:$1048576,$B625,MATCH("Impact Rating",'RAID Log'!$1:$1,0)),"")="","",IFERROR(INDEX('RAID Log'!$1:$1048576,$B625,MATCH("Impact Rating",'RAID Log'!$1:$1,0)),"")))</f>
        <v/>
      </c>
      <c r="H625" s="85" t="str">
        <f>IF($B625="","",IF(IFERROR(INDEX('RAID Log'!$1:$1048576,$B625,MATCH("Initial Probability",'RAID Log'!$1:$1,0)),"")="","",IFERROR(INDEX('RAID Log'!$1:$1048576,$B625,MATCH("Initial Probability",'RAID Log'!$1:$1,0)),"")))</f>
        <v/>
      </c>
      <c r="I625" s="86" t="str">
        <f t="shared" si="27"/>
        <v/>
      </c>
      <c r="J625" s="85" t="str">
        <f t="shared" si="28"/>
        <v/>
      </c>
      <c r="K625" s="86" t="str">
        <f t="shared" si="29"/>
        <v/>
      </c>
      <c r="L625" s="85" t="str">
        <f>IF($B625="","",IF(IFERROR(INDEX('RAID Log'!$1:$1048576,$B625,MATCH("Status",'RAID Log'!$1:$1,0)),"")="","",IFERROR(INDEX('RAID Log'!$1:$1048576,$B625,MATCH("Status",'RAID Log'!$1:$1,0)),"")))</f>
        <v/>
      </c>
      <c r="M625" s="85" t="str">
        <f>IF($B625="","",IF(IFERROR(INDEX('RAID Log'!$1:$1048576,$B625,MATCH("RAID Owner",'RAID Log'!$1:$1,0)),"")="","",IFERROR(INDEX('RAID Log'!$1:$1048576,$B625,MATCH("RAID Owner",'RAID Log'!$1:$1,0)),"")))</f>
        <v/>
      </c>
      <c r="N625" s="87" t="str">
        <f>IF($B625="","",IF(IFERROR(INDEX('RAID Log'!$1:$1048576,$B625,MATCH("Date Raised",'RAID Log'!$1:$1,0)),"")="","",IFERROR(INDEX('RAID Log'!$1:$1048576,$B625,MATCH("Date Raised",'RAID Log'!$1:$1,0)),"")))</f>
        <v/>
      </c>
      <c r="O625" s="87" t="str">
        <f>IF($B625="","",IF(IFERROR(INDEX('RAID Log'!$1:$1048576,$B625,MATCH("Closed Date",'RAID Log'!$1:$1,0)),"")="","",IFERROR(INDEX('RAID Log'!$1:$1048576,$B625,MATCH("Closed Date",'RAID Log'!$1:$1,0)),"")))</f>
        <v/>
      </c>
      <c r="P625" s="85" t="str">
        <f>IF($B625="","",IF(IFERROR(INDEX('RAID Log'!$1:$1048576,$B625,MATCH("Mitigation Strategy",'RAID Log'!$1:$1,0)),"")="","",IFERROR(INDEX('RAID Log'!$1:$1048576,$B625,MATCH("Mitigation Strategy",'RAID Log'!$1:$1,0)),"")))</f>
        <v/>
      </c>
      <c r="Q625" s="88" t="str">
        <f>IF($B625="","",IF(IFERROR(INDEX('RAID Log'!$1:$1048576,$B625,MATCH("RAID Response/Plan",'RAID Log'!$1:$1,0)),"")="","",IFERROR(INDEX('RAID Log'!$1:$1048576,$B625,MATCH("RAID Response/Plan",'RAID Log'!$1:$1,0)),"")))</f>
        <v/>
      </c>
    </row>
    <row r="626" spans="1:17" ht="14.25" customHeight="1">
      <c r="A626" s="82" t="str">
        <f>IF($B626="","",IF(IFERROR(INDEX('RAID Log'!$1:$1048576,$B626,MATCH("RAID ID",'RAID Log'!$1:$1,0)),"")="","",IFERROR(INDEX('RAID Log'!$1:$1048576,$B626,MATCH("RAID ID",'RAID Log'!$1:$1,0)),"")))</f>
        <v/>
      </c>
      <c r="B626" s="83" t="str">
        <f>IFERROR(MATCH(ROW()-1,'RAID Log'!$S:$S,0),"")</f>
        <v/>
      </c>
      <c r="C626" s="84" t="str">
        <f>IF($B626="","",IF(IFERROR(INDEX('RAID Log'!$1:$1048576,$B626,MATCH("Description",'RAID Log'!$1:$1,0)),"")="","",IFERROR(INDEX('RAID Log'!$1:$1048576,$B626,MATCH("Description",'RAID Log'!$1:$1,0)),"")))</f>
        <v/>
      </c>
      <c r="D626" s="84" t="str">
        <f>IF($B626="","",IF(IFERROR(INDEX('RAID Log'!$1:$1048576,$B626,MATCH("Impact/Effect of the RAID",'RAID Log'!$1:$1,0)),"")="","",IFERROR(INDEX('RAID Log'!$1:$1048576,$B626,MATCH("Impact/Effect of the RAID",'RAID Log'!$1:$1,0)),"")))</f>
        <v/>
      </c>
      <c r="E626" s="85" t="str">
        <f>IF($B626="","",IF(IFERROR(INDEX('RAID Log'!$1:$1048576,$B626,MATCH("Impact Area",'RAID Log'!$1:$1,0)),"")="","",IFERROR(INDEX('RAID Log'!$1:$1048576,$B626,MATCH("Impact Area",'RAID Log'!$1:$1,0)),"")))</f>
        <v/>
      </c>
      <c r="F626" s="85" t="str">
        <f>IF($B626="","",IF(IFERROR(INDEX('RAID Log'!$1:$1048576,$B626,MATCH("Impact Area",'RAID Log'!$1:$1,0)),"")="","",IFERROR(INDEX('RAID Log'!$1:$1048576,$B626,MATCH("Impact Area",'RAID Log'!$1:$1,0)),"")))</f>
        <v/>
      </c>
      <c r="G626" s="85" t="str">
        <f>IF($B626="","",IF(IFERROR(INDEX('RAID Log'!$1:$1048576,$B626,MATCH("Impact Rating",'RAID Log'!$1:$1,0)),"")="","",IFERROR(INDEX('RAID Log'!$1:$1048576,$B626,MATCH("Impact Rating",'RAID Log'!$1:$1,0)),"")))</f>
        <v/>
      </c>
      <c r="H626" s="85" t="str">
        <f>IF($B626="","",IF(IFERROR(INDEX('RAID Log'!$1:$1048576,$B626,MATCH("Initial Probability",'RAID Log'!$1:$1,0)),"")="","",IFERROR(INDEX('RAID Log'!$1:$1048576,$B626,MATCH("Initial Probability",'RAID Log'!$1:$1,0)),"")))</f>
        <v/>
      </c>
      <c r="I626" s="86" t="str">
        <f t="shared" si="27"/>
        <v/>
      </c>
      <c r="J626" s="85" t="str">
        <f t="shared" si="28"/>
        <v/>
      </c>
      <c r="K626" s="86" t="str">
        <f t="shared" si="29"/>
        <v/>
      </c>
      <c r="L626" s="85" t="str">
        <f>IF($B626="","",IF(IFERROR(INDEX('RAID Log'!$1:$1048576,$B626,MATCH("Status",'RAID Log'!$1:$1,0)),"")="","",IFERROR(INDEX('RAID Log'!$1:$1048576,$B626,MATCH("Status",'RAID Log'!$1:$1,0)),"")))</f>
        <v/>
      </c>
      <c r="M626" s="85" t="str">
        <f>IF($B626="","",IF(IFERROR(INDEX('RAID Log'!$1:$1048576,$B626,MATCH("RAID Owner",'RAID Log'!$1:$1,0)),"")="","",IFERROR(INDEX('RAID Log'!$1:$1048576,$B626,MATCH("RAID Owner",'RAID Log'!$1:$1,0)),"")))</f>
        <v/>
      </c>
      <c r="N626" s="87" t="str">
        <f>IF($B626="","",IF(IFERROR(INDEX('RAID Log'!$1:$1048576,$B626,MATCH("Date Raised",'RAID Log'!$1:$1,0)),"")="","",IFERROR(INDEX('RAID Log'!$1:$1048576,$B626,MATCH("Date Raised",'RAID Log'!$1:$1,0)),"")))</f>
        <v/>
      </c>
      <c r="O626" s="87" t="str">
        <f>IF($B626="","",IF(IFERROR(INDEX('RAID Log'!$1:$1048576,$B626,MATCH("Closed Date",'RAID Log'!$1:$1,0)),"")="","",IFERROR(INDEX('RAID Log'!$1:$1048576,$B626,MATCH("Closed Date",'RAID Log'!$1:$1,0)),"")))</f>
        <v/>
      </c>
      <c r="P626" s="85" t="str">
        <f>IF($B626="","",IF(IFERROR(INDEX('RAID Log'!$1:$1048576,$B626,MATCH("Mitigation Strategy",'RAID Log'!$1:$1,0)),"")="","",IFERROR(INDEX('RAID Log'!$1:$1048576,$B626,MATCH("Mitigation Strategy",'RAID Log'!$1:$1,0)),"")))</f>
        <v/>
      </c>
      <c r="Q626" s="88" t="str">
        <f>IF($B626="","",IF(IFERROR(INDEX('RAID Log'!$1:$1048576,$B626,MATCH("RAID Response/Plan",'RAID Log'!$1:$1,0)),"")="","",IFERROR(INDEX('RAID Log'!$1:$1048576,$B626,MATCH("RAID Response/Plan",'RAID Log'!$1:$1,0)),"")))</f>
        <v/>
      </c>
    </row>
    <row r="627" spans="1:17" ht="14.25" customHeight="1">
      <c r="A627" s="82" t="str">
        <f>IF($B627="","",IF(IFERROR(INDEX('RAID Log'!$1:$1048576,$B627,MATCH("RAID ID",'RAID Log'!$1:$1,0)),"")="","",IFERROR(INDEX('RAID Log'!$1:$1048576,$B627,MATCH("RAID ID",'RAID Log'!$1:$1,0)),"")))</f>
        <v/>
      </c>
      <c r="B627" s="83" t="str">
        <f>IFERROR(MATCH(ROW()-1,'RAID Log'!$S:$S,0),"")</f>
        <v/>
      </c>
      <c r="C627" s="84" t="str">
        <f>IF($B627="","",IF(IFERROR(INDEX('RAID Log'!$1:$1048576,$B627,MATCH("Description",'RAID Log'!$1:$1,0)),"")="","",IFERROR(INDEX('RAID Log'!$1:$1048576,$B627,MATCH("Description",'RAID Log'!$1:$1,0)),"")))</f>
        <v/>
      </c>
      <c r="D627" s="84" t="str">
        <f>IF($B627="","",IF(IFERROR(INDEX('RAID Log'!$1:$1048576,$B627,MATCH("Impact/Effect of the RAID",'RAID Log'!$1:$1,0)),"")="","",IFERROR(INDEX('RAID Log'!$1:$1048576,$B627,MATCH("Impact/Effect of the RAID",'RAID Log'!$1:$1,0)),"")))</f>
        <v/>
      </c>
      <c r="E627" s="85" t="str">
        <f>IF($B627="","",IF(IFERROR(INDEX('RAID Log'!$1:$1048576,$B627,MATCH("Impact Area",'RAID Log'!$1:$1,0)),"")="","",IFERROR(INDEX('RAID Log'!$1:$1048576,$B627,MATCH("Impact Area",'RAID Log'!$1:$1,0)),"")))</f>
        <v/>
      </c>
      <c r="F627" s="85" t="str">
        <f>IF($B627="","",IF(IFERROR(INDEX('RAID Log'!$1:$1048576,$B627,MATCH("Impact Area",'RAID Log'!$1:$1,0)),"")="","",IFERROR(INDEX('RAID Log'!$1:$1048576,$B627,MATCH("Impact Area",'RAID Log'!$1:$1,0)),"")))</f>
        <v/>
      </c>
      <c r="G627" s="85" t="str">
        <f>IF($B627="","",IF(IFERROR(INDEX('RAID Log'!$1:$1048576,$B627,MATCH("Impact Rating",'RAID Log'!$1:$1,0)),"")="","",IFERROR(INDEX('RAID Log'!$1:$1048576,$B627,MATCH("Impact Rating",'RAID Log'!$1:$1,0)),"")))</f>
        <v/>
      </c>
      <c r="H627" s="85" t="str">
        <f>IF($B627="","",IF(IFERROR(INDEX('RAID Log'!$1:$1048576,$B627,MATCH("Initial Probability",'RAID Log'!$1:$1,0)),"")="","",IFERROR(INDEX('RAID Log'!$1:$1048576,$B627,MATCH("Initial Probability",'RAID Log'!$1:$1,0)),"")))</f>
        <v/>
      </c>
      <c r="I627" s="86" t="str">
        <f t="shared" si="27"/>
        <v/>
      </c>
      <c r="J627" s="85" t="str">
        <f t="shared" si="28"/>
        <v/>
      </c>
      <c r="K627" s="86" t="str">
        <f t="shared" si="29"/>
        <v/>
      </c>
      <c r="L627" s="85" t="str">
        <f>IF($B627="","",IF(IFERROR(INDEX('RAID Log'!$1:$1048576,$B627,MATCH("Status",'RAID Log'!$1:$1,0)),"")="","",IFERROR(INDEX('RAID Log'!$1:$1048576,$B627,MATCH("Status",'RAID Log'!$1:$1,0)),"")))</f>
        <v/>
      </c>
      <c r="M627" s="85" t="str">
        <f>IF($B627="","",IF(IFERROR(INDEX('RAID Log'!$1:$1048576,$B627,MATCH("RAID Owner",'RAID Log'!$1:$1,0)),"")="","",IFERROR(INDEX('RAID Log'!$1:$1048576,$B627,MATCH("RAID Owner",'RAID Log'!$1:$1,0)),"")))</f>
        <v/>
      </c>
      <c r="N627" s="87" t="str">
        <f>IF($B627="","",IF(IFERROR(INDEX('RAID Log'!$1:$1048576,$B627,MATCH("Date Raised",'RAID Log'!$1:$1,0)),"")="","",IFERROR(INDEX('RAID Log'!$1:$1048576,$B627,MATCH("Date Raised",'RAID Log'!$1:$1,0)),"")))</f>
        <v/>
      </c>
      <c r="O627" s="87" t="str">
        <f>IF($B627="","",IF(IFERROR(INDEX('RAID Log'!$1:$1048576,$B627,MATCH("Closed Date",'RAID Log'!$1:$1,0)),"")="","",IFERROR(INDEX('RAID Log'!$1:$1048576,$B627,MATCH("Closed Date",'RAID Log'!$1:$1,0)),"")))</f>
        <v/>
      </c>
      <c r="P627" s="85" t="str">
        <f>IF($B627="","",IF(IFERROR(INDEX('RAID Log'!$1:$1048576,$B627,MATCH("Mitigation Strategy",'RAID Log'!$1:$1,0)),"")="","",IFERROR(INDEX('RAID Log'!$1:$1048576,$B627,MATCH("Mitigation Strategy",'RAID Log'!$1:$1,0)),"")))</f>
        <v/>
      </c>
      <c r="Q627" s="88" t="str">
        <f>IF($B627="","",IF(IFERROR(INDEX('RAID Log'!$1:$1048576,$B627,MATCH("RAID Response/Plan",'RAID Log'!$1:$1,0)),"")="","",IFERROR(INDEX('RAID Log'!$1:$1048576,$B627,MATCH("RAID Response/Plan",'RAID Log'!$1:$1,0)),"")))</f>
        <v/>
      </c>
    </row>
    <row r="628" spans="1:17" ht="14.25" customHeight="1">
      <c r="A628" s="82" t="str">
        <f>IF($B628="","",IF(IFERROR(INDEX('RAID Log'!$1:$1048576,$B628,MATCH("RAID ID",'RAID Log'!$1:$1,0)),"")="","",IFERROR(INDEX('RAID Log'!$1:$1048576,$B628,MATCH("RAID ID",'RAID Log'!$1:$1,0)),"")))</f>
        <v/>
      </c>
      <c r="B628" s="83" t="str">
        <f>IFERROR(MATCH(ROW()-1,'RAID Log'!$S:$S,0),"")</f>
        <v/>
      </c>
      <c r="C628" s="84" t="str">
        <f>IF($B628="","",IF(IFERROR(INDEX('RAID Log'!$1:$1048576,$B628,MATCH("Description",'RAID Log'!$1:$1,0)),"")="","",IFERROR(INDEX('RAID Log'!$1:$1048576,$B628,MATCH("Description",'RAID Log'!$1:$1,0)),"")))</f>
        <v/>
      </c>
      <c r="D628" s="84" t="str">
        <f>IF($B628="","",IF(IFERROR(INDEX('RAID Log'!$1:$1048576,$B628,MATCH("Impact/Effect of the RAID",'RAID Log'!$1:$1,0)),"")="","",IFERROR(INDEX('RAID Log'!$1:$1048576,$B628,MATCH("Impact/Effect of the RAID",'RAID Log'!$1:$1,0)),"")))</f>
        <v/>
      </c>
      <c r="E628" s="85" t="str">
        <f>IF($B628="","",IF(IFERROR(INDEX('RAID Log'!$1:$1048576,$B628,MATCH("Impact Area",'RAID Log'!$1:$1,0)),"")="","",IFERROR(INDEX('RAID Log'!$1:$1048576,$B628,MATCH("Impact Area",'RAID Log'!$1:$1,0)),"")))</f>
        <v/>
      </c>
      <c r="F628" s="85" t="str">
        <f>IF($B628="","",IF(IFERROR(INDEX('RAID Log'!$1:$1048576,$B628,MATCH("Impact Area",'RAID Log'!$1:$1,0)),"")="","",IFERROR(INDEX('RAID Log'!$1:$1048576,$B628,MATCH("Impact Area",'RAID Log'!$1:$1,0)),"")))</f>
        <v/>
      </c>
      <c r="G628" s="85" t="str">
        <f>IF($B628="","",IF(IFERROR(INDEX('RAID Log'!$1:$1048576,$B628,MATCH("Impact Rating",'RAID Log'!$1:$1,0)),"")="","",IFERROR(INDEX('RAID Log'!$1:$1048576,$B628,MATCH("Impact Rating",'RAID Log'!$1:$1,0)),"")))</f>
        <v/>
      </c>
      <c r="H628" s="85" t="str">
        <f>IF($B628="","",IF(IFERROR(INDEX('RAID Log'!$1:$1048576,$B628,MATCH("Initial Probability",'RAID Log'!$1:$1,0)),"")="","",IFERROR(INDEX('RAID Log'!$1:$1048576,$B628,MATCH("Initial Probability",'RAID Log'!$1:$1,0)),"")))</f>
        <v/>
      </c>
      <c r="I628" s="86" t="str">
        <f t="shared" si="27"/>
        <v/>
      </c>
      <c r="J628" s="85" t="str">
        <f t="shared" si="28"/>
        <v/>
      </c>
      <c r="K628" s="86" t="str">
        <f t="shared" si="29"/>
        <v/>
      </c>
      <c r="L628" s="85" t="str">
        <f>IF($B628="","",IF(IFERROR(INDEX('RAID Log'!$1:$1048576,$B628,MATCH("Status",'RAID Log'!$1:$1,0)),"")="","",IFERROR(INDEX('RAID Log'!$1:$1048576,$B628,MATCH("Status",'RAID Log'!$1:$1,0)),"")))</f>
        <v/>
      </c>
      <c r="M628" s="85" t="str">
        <f>IF($B628="","",IF(IFERROR(INDEX('RAID Log'!$1:$1048576,$B628,MATCH("RAID Owner",'RAID Log'!$1:$1,0)),"")="","",IFERROR(INDEX('RAID Log'!$1:$1048576,$B628,MATCH("RAID Owner",'RAID Log'!$1:$1,0)),"")))</f>
        <v/>
      </c>
      <c r="N628" s="87" t="str">
        <f>IF($B628="","",IF(IFERROR(INDEX('RAID Log'!$1:$1048576,$B628,MATCH("Date Raised",'RAID Log'!$1:$1,0)),"")="","",IFERROR(INDEX('RAID Log'!$1:$1048576,$B628,MATCH("Date Raised",'RAID Log'!$1:$1,0)),"")))</f>
        <v/>
      </c>
      <c r="O628" s="87" t="str">
        <f>IF($B628="","",IF(IFERROR(INDEX('RAID Log'!$1:$1048576,$B628,MATCH("Closed Date",'RAID Log'!$1:$1,0)),"")="","",IFERROR(INDEX('RAID Log'!$1:$1048576,$B628,MATCH("Closed Date",'RAID Log'!$1:$1,0)),"")))</f>
        <v/>
      </c>
      <c r="P628" s="85" t="str">
        <f>IF($B628="","",IF(IFERROR(INDEX('RAID Log'!$1:$1048576,$B628,MATCH("Mitigation Strategy",'RAID Log'!$1:$1,0)),"")="","",IFERROR(INDEX('RAID Log'!$1:$1048576,$B628,MATCH("Mitigation Strategy",'RAID Log'!$1:$1,0)),"")))</f>
        <v/>
      </c>
      <c r="Q628" s="88" t="str">
        <f>IF($B628="","",IF(IFERROR(INDEX('RAID Log'!$1:$1048576,$B628,MATCH("RAID Response/Plan",'RAID Log'!$1:$1,0)),"")="","",IFERROR(INDEX('RAID Log'!$1:$1048576,$B628,MATCH("RAID Response/Plan",'RAID Log'!$1:$1,0)),"")))</f>
        <v/>
      </c>
    </row>
    <row r="629" spans="1:17" ht="14.25" customHeight="1">
      <c r="A629" s="82" t="str">
        <f>IF($B629="","",IF(IFERROR(INDEX('RAID Log'!$1:$1048576,$B629,MATCH("RAID ID",'RAID Log'!$1:$1,0)),"")="","",IFERROR(INDEX('RAID Log'!$1:$1048576,$B629,MATCH("RAID ID",'RAID Log'!$1:$1,0)),"")))</f>
        <v/>
      </c>
      <c r="B629" s="83" t="str">
        <f>IFERROR(MATCH(ROW()-1,'RAID Log'!$S:$S,0),"")</f>
        <v/>
      </c>
      <c r="C629" s="84" t="str">
        <f>IF($B629="","",IF(IFERROR(INDEX('RAID Log'!$1:$1048576,$B629,MATCH("Description",'RAID Log'!$1:$1,0)),"")="","",IFERROR(INDEX('RAID Log'!$1:$1048576,$B629,MATCH("Description",'RAID Log'!$1:$1,0)),"")))</f>
        <v/>
      </c>
      <c r="D629" s="84" t="str">
        <f>IF($B629="","",IF(IFERROR(INDEX('RAID Log'!$1:$1048576,$B629,MATCH("Impact/Effect of the RAID",'RAID Log'!$1:$1,0)),"")="","",IFERROR(INDEX('RAID Log'!$1:$1048576,$B629,MATCH("Impact/Effect of the RAID",'RAID Log'!$1:$1,0)),"")))</f>
        <v/>
      </c>
      <c r="E629" s="85" t="str">
        <f>IF($B629="","",IF(IFERROR(INDEX('RAID Log'!$1:$1048576,$B629,MATCH("Impact Area",'RAID Log'!$1:$1,0)),"")="","",IFERROR(INDEX('RAID Log'!$1:$1048576,$B629,MATCH("Impact Area",'RAID Log'!$1:$1,0)),"")))</f>
        <v/>
      </c>
      <c r="F629" s="85" t="str">
        <f>IF($B629="","",IF(IFERROR(INDEX('RAID Log'!$1:$1048576,$B629,MATCH("Impact Area",'RAID Log'!$1:$1,0)),"")="","",IFERROR(INDEX('RAID Log'!$1:$1048576,$B629,MATCH("Impact Area",'RAID Log'!$1:$1,0)),"")))</f>
        <v/>
      </c>
      <c r="G629" s="85" t="str">
        <f>IF($B629="","",IF(IFERROR(INDEX('RAID Log'!$1:$1048576,$B629,MATCH("Impact Rating",'RAID Log'!$1:$1,0)),"")="","",IFERROR(INDEX('RAID Log'!$1:$1048576,$B629,MATCH("Impact Rating",'RAID Log'!$1:$1,0)),"")))</f>
        <v/>
      </c>
      <c r="H629" s="85" t="str">
        <f>IF($B629="","",IF(IFERROR(INDEX('RAID Log'!$1:$1048576,$B629,MATCH("Initial Probability",'RAID Log'!$1:$1,0)),"")="","",IFERROR(INDEX('RAID Log'!$1:$1048576,$B629,MATCH("Initial Probability",'RAID Log'!$1:$1,0)),"")))</f>
        <v/>
      </c>
      <c r="I629" s="86" t="str">
        <f t="shared" si="27"/>
        <v/>
      </c>
      <c r="J629" s="85" t="str">
        <f t="shared" si="28"/>
        <v/>
      </c>
      <c r="K629" s="86" t="str">
        <f t="shared" si="29"/>
        <v/>
      </c>
      <c r="L629" s="85" t="str">
        <f>IF($B629="","",IF(IFERROR(INDEX('RAID Log'!$1:$1048576,$B629,MATCH("Status",'RAID Log'!$1:$1,0)),"")="","",IFERROR(INDEX('RAID Log'!$1:$1048576,$B629,MATCH("Status",'RAID Log'!$1:$1,0)),"")))</f>
        <v/>
      </c>
      <c r="M629" s="85" t="str">
        <f>IF($B629="","",IF(IFERROR(INDEX('RAID Log'!$1:$1048576,$B629,MATCH("RAID Owner",'RAID Log'!$1:$1,0)),"")="","",IFERROR(INDEX('RAID Log'!$1:$1048576,$B629,MATCH("RAID Owner",'RAID Log'!$1:$1,0)),"")))</f>
        <v/>
      </c>
      <c r="N629" s="87" t="str">
        <f>IF($B629="","",IF(IFERROR(INDEX('RAID Log'!$1:$1048576,$B629,MATCH("Date Raised",'RAID Log'!$1:$1,0)),"")="","",IFERROR(INDEX('RAID Log'!$1:$1048576,$B629,MATCH("Date Raised",'RAID Log'!$1:$1,0)),"")))</f>
        <v/>
      </c>
      <c r="O629" s="87" t="str">
        <f>IF($B629="","",IF(IFERROR(INDEX('RAID Log'!$1:$1048576,$B629,MATCH("Closed Date",'RAID Log'!$1:$1,0)),"")="","",IFERROR(INDEX('RAID Log'!$1:$1048576,$B629,MATCH("Closed Date",'RAID Log'!$1:$1,0)),"")))</f>
        <v/>
      </c>
      <c r="P629" s="85" t="str">
        <f>IF($B629="","",IF(IFERROR(INDEX('RAID Log'!$1:$1048576,$B629,MATCH("Mitigation Strategy",'RAID Log'!$1:$1,0)),"")="","",IFERROR(INDEX('RAID Log'!$1:$1048576,$B629,MATCH("Mitigation Strategy",'RAID Log'!$1:$1,0)),"")))</f>
        <v/>
      </c>
      <c r="Q629" s="88" t="str">
        <f>IF($B629="","",IF(IFERROR(INDEX('RAID Log'!$1:$1048576,$B629,MATCH("RAID Response/Plan",'RAID Log'!$1:$1,0)),"")="","",IFERROR(INDEX('RAID Log'!$1:$1048576,$B629,MATCH("RAID Response/Plan",'RAID Log'!$1:$1,0)),"")))</f>
        <v/>
      </c>
    </row>
    <row r="630" spans="1:17" ht="14.25" customHeight="1">
      <c r="A630" s="82" t="str">
        <f>IF($B630="","",IF(IFERROR(INDEX('RAID Log'!$1:$1048576,$B630,MATCH("RAID ID",'RAID Log'!$1:$1,0)),"")="","",IFERROR(INDEX('RAID Log'!$1:$1048576,$B630,MATCH("RAID ID",'RAID Log'!$1:$1,0)),"")))</f>
        <v/>
      </c>
      <c r="B630" s="83" t="str">
        <f>IFERROR(MATCH(ROW()-1,'RAID Log'!$S:$S,0),"")</f>
        <v/>
      </c>
      <c r="C630" s="84" t="str">
        <f>IF($B630="","",IF(IFERROR(INDEX('RAID Log'!$1:$1048576,$B630,MATCH("Description",'RAID Log'!$1:$1,0)),"")="","",IFERROR(INDEX('RAID Log'!$1:$1048576,$B630,MATCH("Description",'RAID Log'!$1:$1,0)),"")))</f>
        <v/>
      </c>
      <c r="D630" s="84" t="str">
        <f>IF($B630="","",IF(IFERROR(INDEX('RAID Log'!$1:$1048576,$B630,MATCH("Impact/Effect of the RAID",'RAID Log'!$1:$1,0)),"")="","",IFERROR(INDEX('RAID Log'!$1:$1048576,$B630,MATCH("Impact/Effect of the RAID",'RAID Log'!$1:$1,0)),"")))</f>
        <v/>
      </c>
      <c r="E630" s="85" t="str">
        <f>IF($B630="","",IF(IFERROR(INDEX('RAID Log'!$1:$1048576,$B630,MATCH("Impact Area",'RAID Log'!$1:$1,0)),"")="","",IFERROR(INDEX('RAID Log'!$1:$1048576,$B630,MATCH("Impact Area",'RAID Log'!$1:$1,0)),"")))</f>
        <v/>
      </c>
      <c r="F630" s="85" t="str">
        <f>IF($B630="","",IF(IFERROR(INDEX('RAID Log'!$1:$1048576,$B630,MATCH("Impact Area",'RAID Log'!$1:$1,0)),"")="","",IFERROR(INDEX('RAID Log'!$1:$1048576,$B630,MATCH("Impact Area",'RAID Log'!$1:$1,0)),"")))</f>
        <v/>
      </c>
      <c r="G630" s="85" t="str">
        <f>IF($B630="","",IF(IFERROR(INDEX('RAID Log'!$1:$1048576,$B630,MATCH("Impact Rating",'RAID Log'!$1:$1,0)),"")="","",IFERROR(INDEX('RAID Log'!$1:$1048576,$B630,MATCH("Impact Rating",'RAID Log'!$1:$1,0)),"")))</f>
        <v/>
      </c>
      <c r="H630" s="85" t="str">
        <f>IF($B630="","",IF(IFERROR(INDEX('RAID Log'!$1:$1048576,$B630,MATCH("Initial Probability",'RAID Log'!$1:$1,0)),"")="","",IFERROR(INDEX('RAID Log'!$1:$1048576,$B630,MATCH("Initial Probability",'RAID Log'!$1:$1,0)),"")))</f>
        <v/>
      </c>
      <c r="I630" s="86" t="str">
        <f t="shared" si="27"/>
        <v/>
      </c>
      <c r="J630" s="85" t="str">
        <f t="shared" si="28"/>
        <v/>
      </c>
      <c r="K630" s="86" t="str">
        <f t="shared" si="29"/>
        <v/>
      </c>
      <c r="L630" s="85" t="str">
        <f>IF($B630="","",IF(IFERROR(INDEX('RAID Log'!$1:$1048576,$B630,MATCH("Status",'RAID Log'!$1:$1,0)),"")="","",IFERROR(INDEX('RAID Log'!$1:$1048576,$B630,MATCH("Status",'RAID Log'!$1:$1,0)),"")))</f>
        <v/>
      </c>
      <c r="M630" s="85" t="str">
        <f>IF($B630="","",IF(IFERROR(INDEX('RAID Log'!$1:$1048576,$B630,MATCH("RAID Owner",'RAID Log'!$1:$1,0)),"")="","",IFERROR(INDEX('RAID Log'!$1:$1048576,$B630,MATCH("RAID Owner",'RAID Log'!$1:$1,0)),"")))</f>
        <v/>
      </c>
      <c r="N630" s="87" t="str">
        <f>IF($B630="","",IF(IFERROR(INDEX('RAID Log'!$1:$1048576,$B630,MATCH("Date Raised",'RAID Log'!$1:$1,0)),"")="","",IFERROR(INDEX('RAID Log'!$1:$1048576,$B630,MATCH("Date Raised",'RAID Log'!$1:$1,0)),"")))</f>
        <v/>
      </c>
      <c r="O630" s="87" t="str">
        <f>IF($B630="","",IF(IFERROR(INDEX('RAID Log'!$1:$1048576,$B630,MATCH("Closed Date",'RAID Log'!$1:$1,0)),"")="","",IFERROR(INDEX('RAID Log'!$1:$1048576,$B630,MATCH("Closed Date",'RAID Log'!$1:$1,0)),"")))</f>
        <v/>
      </c>
      <c r="P630" s="85" t="str">
        <f>IF($B630="","",IF(IFERROR(INDEX('RAID Log'!$1:$1048576,$B630,MATCH("Mitigation Strategy",'RAID Log'!$1:$1,0)),"")="","",IFERROR(INDEX('RAID Log'!$1:$1048576,$B630,MATCH("Mitigation Strategy",'RAID Log'!$1:$1,0)),"")))</f>
        <v/>
      </c>
      <c r="Q630" s="88" t="str">
        <f>IF($B630="","",IF(IFERROR(INDEX('RAID Log'!$1:$1048576,$B630,MATCH("RAID Response/Plan",'RAID Log'!$1:$1,0)),"")="","",IFERROR(INDEX('RAID Log'!$1:$1048576,$B630,MATCH("RAID Response/Plan",'RAID Log'!$1:$1,0)),"")))</f>
        <v/>
      </c>
    </row>
    <row r="631" spans="1:17" ht="14.25" customHeight="1">
      <c r="A631" s="82" t="str">
        <f>IF($B631="","",IF(IFERROR(INDEX('RAID Log'!$1:$1048576,$B631,MATCH("RAID ID",'RAID Log'!$1:$1,0)),"")="","",IFERROR(INDEX('RAID Log'!$1:$1048576,$B631,MATCH("RAID ID",'RAID Log'!$1:$1,0)),"")))</f>
        <v/>
      </c>
      <c r="B631" s="83" t="str">
        <f>IFERROR(MATCH(ROW()-1,'RAID Log'!$S:$S,0),"")</f>
        <v/>
      </c>
      <c r="C631" s="84" t="str">
        <f>IF($B631="","",IF(IFERROR(INDEX('RAID Log'!$1:$1048576,$B631,MATCH("Description",'RAID Log'!$1:$1,0)),"")="","",IFERROR(INDEX('RAID Log'!$1:$1048576,$B631,MATCH("Description",'RAID Log'!$1:$1,0)),"")))</f>
        <v/>
      </c>
      <c r="D631" s="84" t="str">
        <f>IF($B631="","",IF(IFERROR(INDEX('RAID Log'!$1:$1048576,$B631,MATCH("Impact/Effect of the RAID",'RAID Log'!$1:$1,0)),"")="","",IFERROR(INDEX('RAID Log'!$1:$1048576,$B631,MATCH("Impact/Effect of the RAID",'RAID Log'!$1:$1,0)),"")))</f>
        <v/>
      </c>
      <c r="E631" s="85" t="str">
        <f>IF($B631="","",IF(IFERROR(INDEX('RAID Log'!$1:$1048576,$B631,MATCH("Impact Area",'RAID Log'!$1:$1,0)),"")="","",IFERROR(INDEX('RAID Log'!$1:$1048576,$B631,MATCH("Impact Area",'RAID Log'!$1:$1,0)),"")))</f>
        <v/>
      </c>
      <c r="F631" s="85" t="str">
        <f>IF($B631="","",IF(IFERROR(INDEX('RAID Log'!$1:$1048576,$B631,MATCH("Impact Area",'RAID Log'!$1:$1,0)),"")="","",IFERROR(INDEX('RAID Log'!$1:$1048576,$B631,MATCH("Impact Area",'RAID Log'!$1:$1,0)),"")))</f>
        <v/>
      </c>
      <c r="G631" s="85" t="str">
        <f>IF($B631="","",IF(IFERROR(INDEX('RAID Log'!$1:$1048576,$B631,MATCH("Impact Rating",'RAID Log'!$1:$1,0)),"")="","",IFERROR(INDEX('RAID Log'!$1:$1048576,$B631,MATCH("Impact Rating",'RAID Log'!$1:$1,0)),"")))</f>
        <v/>
      </c>
      <c r="H631" s="85" t="str">
        <f>IF($B631="","",IF(IFERROR(INDEX('RAID Log'!$1:$1048576,$B631,MATCH("Initial Probability",'RAID Log'!$1:$1,0)),"")="","",IFERROR(INDEX('RAID Log'!$1:$1048576,$B631,MATCH("Initial Probability",'RAID Log'!$1:$1,0)),"")))</f>
        <v/>
      </c>
      <c r="I631" s="86" t="str">
        <f t="shared" si="27"/>
        <v/>
      </c>
      <c r="J631" s="85" t="str">
        <f t="shared" si="28"/>
        <v/>
      </c>
      <c r="K631" s="86" t="str">
        <f t="shared" si="29"/>
        <v/>
      </c>
      <c r="L631" s="85" t="str">
        <f>IF($B631="","",IF(IFERROR(INDEX('RAID Log'!$1:$1048576,$B631,MATCH("Status",'RAID Log'!$1:$1,0)),"")="","",IFERROR(INDEX('RAID Log'!$1:$1048576,$B631,MATCH("Status",'RAID Log'!$1:$1,0)),"")))</f>
        <v/>
      </c>
      <c r="M631" s="85" t="str">
        <f>IF($B631="","",IF(IFERROR(INDEX('RAID Log'!$1:$1048576,$B631,MATCH("RAID Owner",'RAID Log'!$1:$1,0)),"")="","",IFERROR(INDEX('RAID Log'!$1:$1048576,$B631,MATCH("RAID Owner",'RAID Log'!$1:$1,0)),"")))</f>
        <v/>
      </c>
      <c r="N631" s="87" t="str">
        <f>IF($B631="","",IF(IFERROR(INDEX('RAID Log'!$1:$1048576,$B631,MATCH("Date Raised",'RAID Log'!$1:$1,0)),"")="","",IFERROR(INDEX('RAID Log'!$1:$1048576,$B631,MATCH("Date Raised",'RAID Log'!$1:$1,0)),"")))</f>
        <v/>
      </c>
      <c r="O631" s="87" t="str">
        <f>IF($B631="","",IF(IFERROR(INDEX('RAID Log'!$1:$1048576,$B631,MATCH("Closed Date",'RAID Log'!$1:$1,0)),"")="","",IFERROR(INDEX('RAID Log'!$1:$1048576,$B631,MATCH("Closed Date",'RAID Log'!$1:$1,0)),"")))</f>
        <v/>
      </c>
      <c r="P631" s="85" t="str">
        <f>IF($B631="","",IF(IFERROR(INDEX('RAID Log'!$1:$1048576,$B631,MATCH("Mitigation Strategy",'RAID Log'!$1:$1,0)),"")="","",IFERROR(INDEX('RAID Log'!$1:$1048576,$B631,MATCH("Mitigation Strategy",'RAID Log'!$1:$1,0)),"")))</f>
        <v/>
      </c>
      <c r="Q631" s="88" t="str">
        <f>IF($B631="","",IF(IFERROR(INDEX('RAID Log'!$1:$1048576,$B631,MATCH("RAID Response/Plan",'RAID Log'!$1:$1,0)),"")="","",IFERROR(INDEX('RAID Log'!$1:$1048576,$B631,MATCH("RAID Response/Plan",'RAID Log'!$1:$1,0)),"")))</f>
        <v/>
      </c>
    </row>
    <row r="632" spans="1:17" ht="14.25" customHeight="1">
      <c r="A632" s="82" t="str">
        <f>IF($B632="","",IF(IFERROR(INDEX('RAID Log'!$1:$1048576,$B632,MATCH("RAID ID",'RAID Log'!$1:$1,0)),"")="","",IFERROR(INDEX('RAID Log'!$1:$1048576,$B632,MATCH("RAID ID",'RAID Log'!$1:$1,0)),"")))</f>
        <v/>
      </c>
      <c r="B632" s="83" t="str">
        <f>IFERROR(MATCH(ROW()-1,'RAID Log'!$S:$S,0),"")</f>
        <v/>
      </c>
      <c r="C632" s="84" t="str">
        <f>IF($B632="","",IF(IFERROR(INDEX('RAID Log'!$1:$1048576,$B632,MATCH("Description",'RAID Log'!$1:$1,0)),"")="","",IFERROR(INDEX('RAID Log'!$1:$1048576,$B632,MATCH("Description",'RAID Log'!$1:$1,0)),"")))</f>
        <v/>
      </c>
      <c r="D632" s="84" t="str">
        <f>IF($B632="","",IF(IFERROR(INDEX('RAID Log'!$1:$1048576,$B632,MATCH("Impact/Effect of the RAID",'RAID Log'!$1:$1,0)),"")="","",IFERROR(INDEX('RAID Log'!$1:$1048576,$B632,MATCH("Impact/Effect of the RAID",'RAID Log'!$1:$1,0)),"")))</f>
        <v/>
      </c>
      <c r="E632" s="85" t="str">
        <f>IF($B632="","",IF(IFERROR(INDEX('RAID Log'!$1:$1048576,$B632,MATCH("Impact Area",'RAID Log'!$1:$1,0)),"")="","",IFERROR(INDEX('RAID Log'!$1:$1048576,$B632,MATCH("Impact Area",'RAID Log'!$1:$1,0)),"")))</f>
        <v/>
      </c>
      <c r="F632" s="85" t="str">
        <f>IF($B632="","",IF(IFERROR(INDEX('RAID Log'!$1:$1048576,$B632,MATCH("Impact Area",'RAID Log'!$1:$1,0)),"")="","",IFERROR(INDEX('RAID Log'!$1:$1048576,$B632,MATCH("Impact Area",'RAID Log'!$1:$1,0)),"")))</f>
        <v/>
      </c>
      <c r="G632" s="85" t="str">
        <f>IF($B632="","",IF(IFERROR(INDEX('RAID Log'!$1:$1048576,$B632,MATCH("Impact Rating",'RAID Log'!$1:$1,0)),"")="","",IFERROR(INDEX('RAID Log'!$1:$1048576,$B632,MATCH("Impact Rating",'RAID Log'!$1:$1,0)),"")))</f>
        <v/>
      </c>
      <c r="H632" s="85" t="str">
        <f>IF($B632="","",IF(IFERROR(INDEX('RAID Log'!$1:$1048576,$B632,MATCH("Initial Probability",'RAID Log'!$1:$1,0)),"")="","",IFERROR(INDEX('RAID Log'!$1:$1048576,$B632,MATCH("Initial Probability",'RAID Log'!$1:$1,0)),"")))</f>
        <v/>
      </c>
      <c r="I632" s="86" t="str">
        <f t="shared" si="27"/>
        <v/>
      </c>
      <c r="J632" s="85" t="str">
        <f t="shared" si="28"/>
        <v/>
      </c>
      <c r="K632" s="86" t="str">
        <f t="shared" si="29"/>
        <v/>
      </c>
      <c r="L632" s="85" t="str">
        <f>IF($B632="","",IF(IFERROR(INDEX('RAID Log'!$1:$1048576,$B632,MATCH("Status",'RAID Log'!$1:$1,0)),"")="","",IFERROR(INDEX('RAID Log'!$1:$1048576,$B632,MATCH("Status",'RAID Log'!$1:$1,0)),"")))</f>
        <v/>
      </c>
      <c r="M632" s="85" t="str">
        <f>IF($B632="","",IF(IFERROR(INDEX('RAID Log'!$1:$1048576,$B632,MATCH("RAID Owner",'RAID Log'!$1:$1,0)),"")="","",IFERROR(INDEX('RAID Log'!$1:$1048576,$B632,MATCH("RAID Owner",'RAID Log'!$1:$1,0)),"")))</f>
        <v/>
      </c>
      <c r="N632" s="87" t="str">
        <f>IF($B632="","",IF(IFERROR(INDEX('RAID Log'!$1:$1048576,$B632,MATCH("Date Raised",'RAID Log'!$1:$1,0)),"")="","",IFERROR(INDEX('RAID Log'!$1:$1048576,$B632,MATCH("Date Raised",'RAID Log'!$1:$1,0)),"")))</f>
        <v/>
      </c>
      <c r="O632" s="87" t="str">
        <f>IF($B632="","",IF(IFERROR(INDEX('RAID Log'!$1:$1048576,$B632,MATCH("Closed Date",'RAID Log'!$1:$1,0)),"")="","",IFERROR(INDEX('RAID Log'!$1:$1048576,$B632,MATCH("Closed Date",'RAID Log'!$1:$1,0)),"")))</f>
        <v/>
      </c>
      <c r="P632" s="85" t="str">
        <f>IF($B632="","",IF(IFERROR(INDEX('RAID Log'!$1:$1048576,$B632,MATCH("Mitigation Strategy",'RAID Log'!$1:$1,0)),"")="","",IFERROR(INDEX('RAID Log'!$1:$1048576,$B632,MATCH("Mitigation Strategy",'RAID Log'!$1:$1,0)),"")))</f>
        <v/>
      </c>
      <c r="Q632" s="88" t="str">
        <f>IF($B632="","",IF(IFERROR(INDEX('RAID Log'!$1:$1048576,$B632,MATCH("RAID Response/Plan",'RAID Log'!$1:$1,0)),"")="","",IFERROR(INDEX('RAID Log'!$1:$1048576,$B632,MATCH("RAID Response/Plan",'RAID Log'!$1:$1,0)),"")))</f>
        <v/>
      </c>
    </row>
    <row r="633" spans="1:17" ht="14.25" customHeight="1">
      <c r="A633" s="82" t="str">
        <f>IF($B633="","",IF(IFERROR(INDEX('RAID Log'!$1:$1048576,$B633,MATCH("RAID ID",'RAID Log'!$1:$1,0)),"")="","",IFERROR(INDEX('RAID Log'!$1:$1048576,$B633,MATCH("RAID ID",'RAID Log'!$1:$1,0)),"")))</f>
        <v/>
      </c>
      <c r="B633" s="83" t="str">
        <f>IFERROR(MATCH(ROW()-1,'RAID Log'!$S:$S,0),"")</f>
        <v/>
      </c>
      <c r="C633" s="84" t="str">
        <f>IF($B633="","",IF(IFERROR(INDEX('RAID Log'!$1:$1048576,$B633,MATCH("Description",'RAID Log'!$1:$1,0)),"")="","",IFERROR(INDEX('RAID Log'!$1:$1048576,$B633,MATCH("Description",'RAID Log'!$1:$1,0)),"")))</f>
        <v/>
      </c>
      <c r="D633" s="84" t="str">
        <f>IF($B633="","",IF(IFERROR(INDEX('RAID Log'!$1:$1048576,$B633,MATCH("Impact/Effect of the RAID",'RAID Log'!$1:$1,0)),"")="","",IFERROR(INDEX('RAID Log'!$1:$1048576,$B633,MATCH("Impact/Effect of the RAID",'RAID Log'!$1:$1,0)),"")))</f>
        <v/>
      </c>
      <c r="E633" s="85" t="str">
        <f>IF($B633="","",IF(IFERROR(INDEX('RAID Log'!$1:$1048576,$B633,MATCH("Impact Area",'RAID Log'!$1:$1,0)),"")="","",IFERROR(INDEX('RAID Log'!$1:$1048576,$B633,MATCH("Impact Area",'RAID Log'!$1:$1,0)),"")))</f>
        <v/>
      </c>
      <c r="F633" s="85" t="str">
        <f>IF($B633="","",IF(IFERROR(INDEX('RAID Log'!$1:$1048576,$B633,MATCH("Impact Area",'RAID Log'!$1:$1,0)),"")="","",IFERROR(INDEX('RAID Log'!$1:$1048576,$B633,MATCH("Impact Area",'RAID Log'!$1:$1,0)),"")))</f>
        <v/>
      </c>
      <c r="G633" s="85" t="str">
        <f>IF($B633="","",IF(IFERROR(INDEX('RAID Log'!$1:$1048576,$B633,MATCH("Impact Rating",'RAID Log'!$1:$1,0)),"")="","",IFERROR(INDEX('RAID Log'!$1:$1048576,$B633,MATCH("Impact Rating",'RAID Log'!$1:$1,0)),"")))</f>
        <v/>
      </c>
      <c r="H633" s="85" t="str">
        <f>IF($B633="","",IF(IFERROR(INDEX('RAID Log'!$1:$1048576,$B633,MATCH("Initial Probability",'RAID Log'!$1:$1,0)),"")="","",IFERROR(INDEX('RAID Log'!$1:$1048576,$B633,MATCH("Initial Probability",'RAID Log'!$1:$1,0)),"")))</f>
        <v/>
      </c>
      <c r="I633" s="86" t="str">
        <f t="shared" si="27"/>
        <v/>
      </c>
      <c r="J633" s="85" t="str">
        <f t="shared" si="28"/>
        <v/>
      </c>
      <c r="K633" s="86" t="str">
        <f t="shared" si="29"/>
        <v/>
      </c>
      <c r="L633" s="85" t="str">
        <f>IF($B633="","",IF(IFERROR(INDEX('RAID Log'!$1:$1048576,$B633,MATCH("Status",'RAID Log'!$1:$1,0)),"")="","",IFERROR(INDEX('RAID Log'!$1:$1048576,$B633,MATCH("Status",'RAID Log'!$1:$1,0)),"")))</f>
        <v/>
      </c>
      <c r="M633" s="85" t="str">
        <f>IF($B633="","",IF(IFERROR(INDEX('RAID Log'!$1:$1048576,$B633,MATCH("RAID Owner",'RAID Log'!$1:$1,0)),"")="","",IFERROR(INDEX('RAID Log'!$1:$1048576,$B633,MATCH("RAID Owner",'RAID Log'!$1:$1,0)),"")))</f>
        <v/>
      </c>
      <c r="N633" s="87" t="str">
        <f>IF($B633="","",IF(IFERROR(INDEX('RAID Log'!$1:$1048576,$B633,MATCH("Date Raised",'RAID Log'!$1:$1,0)),"")="","",IFERROR(INDEX('RAID Log'!$1:$1048576,$B633,MATCH("Date Raised",'RAID Log'!$1:$1,0)),"")))</f>
        <v/>
      </c>
      <c r="O633" s="87" t="str">
        <f>IF($B633="","",IF(IFERROR(INDEX('RAID Log'!$1:$1048576,$B633,MATCH("Closed Date",'RAID Log'!$1:$1,0)),"")="","",IFERROR(INDEX('RAID Log'!$1:$1048576,$B633,MATCH("Closed Date",'RAID Log'!$1:$1,0)),"")))</f>
        <v/>
      </c>
      <c r="P633" s="85" t="str">
        <f>IF($B633="","",IF(IFERROR(INDEX('RAID Log'!$1:$1048576,$B633,MATCH("Mitigation Strategy",'RAID Log'!$1:$1,0)),"")="","",IFERROR(INDEX('RAID Log'!$1:$1048576,$B633,MATCH("Mitigation Strategy",'RAID Log'!$1:$1,0)),"")))</f>
        <v/>
      </c>
      <c r="Q633" s="88" t="str">
        <f>IF($B633="","",IF(IFERROR(INDEX('RAID Log'!$1:$1048576,$B633,MATCH("RAID Response/Plan",'RAID Log'!$1:$1,0)),"")="","",IFERROR(INDEX('RAID Log'!$1:$1048576,$B633,MATCH("RAID Response/Plan",'RAID Log'!$1:$1,0)),"")))</f>
        <v/>
      </c>
    </row>
    <row r="634" spans="1:17" ht="14.25" customHeight="1">
      <c r="A634" s="82" t="str">
        <f>IF($B634="","",IF(IFERROR(INDEX('RAID Log'!$1:$1048576,$B634,MATCH("RAID ID",'RAID Log'!$1:$1,0)),"")="","",IFERROR(INDEX('RAID Log'!$1:$1048576,$B634,MATCH("RAID ID",'RAID Log'!$1:$1,0)),"")))</f>
        <v/>
      </c>
      <c r="B634" s="83" t="str">
        <f>IFERROR(MATCH(ROW()-1,'RAID Log'!$S:$S,0),"")</f>
        <v/>
      </c>
      <c r="C634" s="84" t="str">
        <f>IF($B634="","",IF(IFERROR(INDEX('RAID Log'!$1:$1048576,$B634,MATCH("Description",'RAID Log'!$1:$1,0)),"")="","",IFERROR(INDEX('RAID Log'!$1:$1048576,$B634,MATCH("Description",'RAID Log'!$1:$1,0)),"")))</f>
        <v/>
      </c>
      <c r="D634" s="84" t="str">
        <f>IF($B634="","",IF(IFERROR(INDEX('RAID Log'!$1:$1048576,$B634,MATCH("Impact/Effect of the RAID",'RAID Log'!$1:$1,0)),"")="","",IFERROR(INDEX('RAID Log'!$1:$1048576,$B634,MATCH("Impact/Effect of the RAID",'RAID Log'!$1:$1,0)),"")))</f>
        <v/>
      </c>
      <c r="E634" s="85" t="str">
        <f>IF($B634="","",IF(IFERROR(INDEX('RAID Log'!$1:$1048576,$B634,MATCH("Impact Area",'RAID Log'!$1:$1,0)),"")="","",IFERROR(INDEX('RAID Log'!$1:$1048576,$B634,MATCH("Impact Area",'RAID Log'!$1:$1,0)),"")))</f>
        <v/>
      </c>
      <c r="F634" s="85" t="str">
        <f>IF($B634="","",IF(IFERROR(INDEX('RAID Log'!$1:$1048576,$B634,MATCH("Impact Area",'RAID Log'!$1:$1,0)),"")="","",IFERROR(INDEX('RAID Log'!$1:$1048576,$B634,MATCH("Impact Area",'RAID Log'!$1:$1,0)),"")))</f>
        <v/>
      </c>
      <c r="G634" s="85" t="str">
        <f>IF($B634="","",IF(IFERROR(INDEX('RAID Log'!$1:$1048576,$B634,MATCH("Impact Rating",'RAID Log'!$1:$1,0)),"")="","",IFERROR(INDEX('RAID Log'!$1:$1048576,$B634,MATCH("Impact Rating",'RAID Log'!$1:$1,0)),"")))</f>
        <v/>
      </c>
      <c r="H634" s="85" t="str">
        <f>IF($B634="","",IF(IFERROR(INDEX('RAID Log'!$1:$1048576,$B634,MATCH("Initial Probability",'RAID Log'!$1:$1,0)),"")="","",IFERROR(INDEX('RAID Log'!$1:$1048576,$B634,MATCH("Initial Probability",'RAID Log'!$1:$1,0)),"")))</f>
        <v/>
      </c>
      <c r="I634" s="86" t="str">
        <f t="shared" si="27"/>
        <v/>
      </c>
      <c r="J634" s="85" t="str">
        <f t="shared" si="28"/>
        <v/>
      </c>
      <c r="K634" s="86" t="str">
        <f t="shared" si="29"/>
        <v/>
      </c>
      <c r="L634" s="85" t="str">
        <f>IF($B634="","",IF(IFERROR(INDEX('RAID Log'!$1:$1048576,$B634,MATCH("Status",'RAID Log'!$1:$1,0)),"")="","",IFERROR(INDEX('RAID Log'!$1:$1048576,$B634,MATCH("Status",'RAID Log'!$1:$1,0)),"")))</f>
        <v/>
      </c>
      <c r="M634" s="85" t="str">
        <f>IF($B634="","",IF(IFERROR(INDEX('RAID Log'!$1:$1048576,$B634,MATCH("RAID Owner",'RAID Log'!$1:$1,0)),"")="","",IFERROR(INDEX('RAID Log'!$1:$1048576,$B634,MATCH("RAID Owner",'RAID Log'!$1:$1,0)),"")))</f>
        <v/>
      </c>
      <c r="N634" s="87" t="str">
        <f>IF($B634="","",IF(IFERROR(INDEX('RAID Log'!$1:$1048576,$B634,MATCH("Date Raised",'RAID Log'!$1:$1,0)),"")="","",IFERROR(INDEX('RAID Log'!$1:$1048576,$B634,MATCH("Date Raised",'RAID Log'!$1:$1,0)),"")))</f>
        <v/>
      </c>
      <c r="O634" s="87" t="str">
        <f>IF($B634="","",IF(IFERROR(INDEX('RAID Log'!$1:$1048576,$B634,MATCH("Closed Date",'RAID Log'!$1:$1,0)),"")="","",IFERROR(INDEX('RAID Log'!$1:$1048576,$B634,MATCH("Closed Date",'RAID Log'!$1:$1,0)),"")))</f>
        <v/>
      </c>
      <c r="P634" s="85" t="str">
        <f>IF($B634="","",IF(IFERROR(INDEX('RAID Log'!$1:$1048576,$B634,MATCH("Mitigation Strategy",'RAID Log'!$1:$1,0)),"")="","",IFERROR(INDEX('RAID Log'!$1:$1048576,$B634,MATCH("Mitigation Strategy",'RAID Log'!$1:$1,0)),"")))</f>
        <v/>
      </c>
      <c r="Q634" s="88" t="str">
        <f>IF($B634="","",IF(IFERROR(INDEX('RAID Log'!$1:$1048576,$B634,MATCH("RAID Response/Plan",'RAID Log'!$1:$1,0)),"")="","",IFERROR(INDEX('RAID Log'!$1:$1048576,$B634,MATCH("RAID Response/Plan",'RAID Log'!$1:$1,0)),"")))</f>
        <v/>
      </c>
    </row>
    <row r="635" spans="1:17" ht="14.25" customHeight="1">
      <c r="A635" s="82" t="str">
        <f>IF($B635="","",IF(IFERROR(INDEX('RAID Log'!$1:$1048576,$B635,MATCH("RAID ID",'RAID Log'!$1:$1,0)),"")="","",IFERROR(INDEX('RAID Log'!$1:$1048576,$B635,MATCH("RAID ID",'RAID Log'!$1:$1,0)),"")))</f>
        <v/>
      </c>
      <c r="B635" s="83" t="str">
        <f>IFERROR(MATCH(ROW()-1,'RAID Log'!$S:$S,0),"")</f>
        <v/>
      </c>
      <c r="C635" s="84" t="str">
        <f>IF($B635="","",IF(IFERROR(INDEX('RAID Log'!$1:$1048576,$B635,MATCH("Description",'RAID Log'!$1:$1,0)),"")="","",IFERROR(INDEX('RAID Log'!$1:$1048576,$B635,MATCH("Description",'RAID Log'!$1:$1,0)),"")))</f>
        <v/>
      </c>
      <c r="D635" s="84" t="str">
        <f>IF($B635="","",IF(IFERROR(INDEX('RAID Log'!$1:$1048576,$B635,MATCH("Impact/Effect of the RAID",'RAID Log'!$1:$1,0)),"")="","",IFERROR(INDEX('RAID Log'!$1:$1048576,$B635,MATCH("Impact/Effect of the RAID",'RAID Log'!$1:$1,0)),"")))</f>
        <v/>
      </c>
      <c r="E635" s="85" t="str">
        <f>IF($B635="","",IF(IFERROR(INDEX('RAID Log'!$1:$1048576,$B635,MATCH("Impact Area",'RAID Log'!$1:$1,0)),"")="","",IFERROR(INDEX('RAID Log'!$1:$1048576,$B635,MATCH("Impact Area",'RAID Log'!$1:$1,0)),"")))</f>
        <v/>
      </c>
      <c r="F635" s="85" t="str">
        <f>IF($B635="","",IF(IFERROR(INDEX('RAID Log'!$1:$1048576,$B635,MATCH("Impact Area",'RAID Log'!$1:$1,0)),"")="","",IFERROR(INDEX('RAID Log'!$1:$1048576,$B635,MATCH("Impact Area",'RAID Log'!$1:$1,0)),"")))</f>
        <v/>
      </c>
      <c r="G635" s="85" t="str">
        <f>IF($B635="","",IF(IFERROR(INDEX('RAID Log'!$1:$1048576,$B635,MATCH("Impact Rating",'RAID Log'!$1:$1,0)),"")="","",IFERROR(INDEX('RAID Log'!$1:$1048576,$B635,MATCH("Impact Rating",'RAID Log'!$1:$1,0)),"")))</f>
        <v/>
      </c>
      <c r="H635" s="85" t="str">
        <f>IF($B635="","",IF(IFERROR(INDEX('RAID Log'!$1:$1048576,$B635,MATCH("Initial Probability",'RAID Log'!$1:$1,0)),"")="","",IFERROR(INDEX('RAID Log'!$1:$1048576,$B635,MATCH("Initial Probability",'RAID Log'!$1:$1,0)),"")))</f>
        <v/>
      </c>
      <c r="I635" s="86" t="str">
        <f t="shared" si="27"/>
        <v/>
      </c>
      <c r="J635" s="85" t="str">
        <f t="shared" si="28"/>
        <v/>
      </c>
      <c r="K635" s="86" t="str">
        <f t="shared" si="29"/>
        <v/>
      </c>
      <c r="L635" s="85" t="str">
        <f>IF($B635="","",IF(IFERROR(INDEX('RAID Log'!$1:$1048576,$B635,MATCH("Status",'RAID Log'!$1:$1,0)),"")="","",IFERROR(INDEX('RAID Log'!$1:$1048576,$B635,MATCH("Status",'RAID Log'!$1:$1,0)),"")))</f>
        <v/>
      </c>
      <c r="M635" s="85" t="str">
        <f>IF($B635="","",IF(IFERROR(INDEX('RAID Log'!$1:$1048576,$B635,MATCH("RAID Owner",'RAID Log'!$1:$1,0)),"")="","",IFERROR(INDEX('RAID Log'!$1:$1048576,$B635,MATCH("RAID Owner",'RAID Log'!$1:$1,0)),"")))</f>
        <v/>
      </c>
      <c r="N635" s="87" t="str">
        <f>IF($B635="","",IF(IFERROR(INDEX('RAID Log'!$1:$1048576,$B635,MATCH("Date Raised",'RAID Log'!$1:$1,0)),"")="","",IFERROR(INDEX('RAID Log'!$1:$1048576,$B635,MATCH("Date Raised",'RAID Log'!$1:$1,0)),"")))</f>
        <v/>
      </c>
      <c r="O635" s="87" t="str">
        <f>IF($B635="","",IF(IFERROR(INDEX('RAID Log'!$1:$1048576,$B635,MATCH("Closed Date",'RAID Log'!$1:$1,0)),"")="","",IFERROR(INDEX('RAID Log'!$1:$1048576,$B635,MATCH("Closed Date",'RAID Log'!$1:$1,0)),"")))</f>
        <v/>
      </c>
      <c r="P635" s="85" t="str">
        <f>IF($B635="","",IF(IFERROR(INDEX('RAID Log'!$1:$1048576,$B635,MATCH("Mitigation Strategy",'RAID Log'!$1:$1,0)),"")="","",IFERROR(INDEX('RAID Log'!$1:$1048576,$B635,MATCH("Mitigation Strategy",'RAID Log'!$1:$1,0)),"")))</f>
        <v/>
      </c>
      <c r="Q635" s="88" t="str">
        <f>IF($B635="","",IF(IFERROR(INDEX('RAID Log'!$1:$1048576,$B635,MATCH("RAID Response/Plan",'RAID Log'!$1:$1,0)),"")="","",IFERROR(INDEX('RAID Log'!$1:$1048576,$B635,MATCH("RAID Response/Plan",'RAID Log'!$1:$1,0)),"")))</f>
        <v/>
      </c>
    </row>
    <row r="636" spans="1:17" ht="14.25" customHeight="1">
      <c r="A636" s="82" t="str">
        <f>IF($B636="","",IF(IFERROR(INDEX('RAID Log'!$1:$1048576,$B636,MATCH("RAID ID",'RAID Log'!$1:$1,0)),"")="","",IFERROR(INDEX('RAID Log'!$1:$1048576,$B636,MATCH("RAID ID",'RAID Log'!$1:$1,0)),"")))</f>
        <v/>
      </c>
      <c r="B636" s="83" t="str">
        <f>IFERROR(MATCH(ROW()-1,'RAID Log'!$S:$S,0),"")</f>
        <v/>
      </c>
      <c r="C636" s="84" t="str">
        <f>IF($B636="","",IF(IFERROR(INDEX('RAID Log'!$1:$1048576,$B636,MATCH("Description",'RAID Log'!$1:$1,0)),"")="","",IFERROR(INDEX('RAID Log'!$1:$1048576,$B636,MATCH("Description",'RAID Log'!$1:$1,0)),"")))</f>
        <v/>
      </c>
      <c r="D636" s="84" t="str">
        <f>IF($B636="","",IF(IFERROR(INDEX('RAID Log'!$1:$1048576,$B636,MATCH("Impact/Effect of the RAID",'RAID Log'!$1:$1,0)),"")="","",IFERROR(INDEX('RAID Log'!$1:$1048576,$B636,MATCH("Impact/Effect of the RAID",'RAID Log'!$1:$1,0)),"")))</f>
        <v/>
      </c>
      <c r="E636" s="85" t="str">
        <f>IF($B636="","",IF(IFERROR(INDEX('RAID Log'!$1:$1048576,$B636,MATCH("Impact Area",'RAID Log'!$1:$1,0)),"")="","",IFERROR(INDEX('RAID Log'!$1:$1048576,$B636,MATCH("Impact Area",'RAID Log'!$1:$1,0)),"")))</f>
        <v/>
      </c>
      <c r="F636" s="85" t="str">
        <f>IF($B636="","",IF(IFERROR(INDEX('RAID Log'!$1:$1048576,$B636,MATCH("Impact Area",'RAID Log'!$1:$1,0)),"")="","",IFERROR(INDEX('RAID Log'!$1:$1048576,$B636,MATCH("Impact Area",'RAID Log'!$1:$1,0)),"")))</f>
        <v/>
      </c>
      <c r="G636" s="85" t="str">
        <f>IF($B636="","",IF(IFERROR(INDEX('RAID Log'!$1:$1048576,$B636,MATCH("Impact Rating",'RAID Log'!$1:$1,0)),"")="","",IFERROR(INDEX('RAID Log'!$1:$1048576,$B636,MATCH("Impact Rating",'RAID Log'!$1:$1,0)),"")))</f>
        <v/>
      </c>
      <c r="H636" s="85" t="str">
        <f>IF($B636="","",IF(IFERROR(INDEX('RAID Log'!$1:$1048576,$B636,MATCH("Initial Probability",'RAID Log'!$1:$1,0)),"")="","",IFERROR(INDEX('RAID Log'!$1:$1048576,$B636,MATCH("Initial Probability",'RAID Log'!$1:$1,0)),"")))</f>
        <v/>
      </c>
      <c r="I636" s="86" t="str">
        <f t="shared" si="27"/>
        <v/>
      </c>
      <c r="J636" s="85" t="str">
        <f t="shared" si="28"/>
        <v/>
      </c>
      <c r="K636" s="86" t="str">
        <f t="shared" si="29"/>
        <v/>
      </c>
      <c r="L636" s="85" t="str">
        <f>IF($B636="","",IF(IFERROR(INDEX('RAID Log'!$1:$1048576,$B636,MATCH("Status",'RAID Log'!$1:$1,0)),"")="","",IFERROR(INDEX('RAID Log'!$1:$1048576,$B636,MATCH("Status",'RAID Log'!$1:$1,0)),"")))</f>
        <v/>
      </c>
      <c r="M636" s="85" t="str">
        <f>IF($B636="","",IF(IFERROR(INDEX('RAID Log'!$1:$1048576,$B636,MATCH("RAID Owner",'RAID Log'!$1:$1,0)),"")="","",IFERROR(INDEX('RAID Log'!$1:$1048576,$B636,MATCH("RAID Owner",'RAID Log'!$1:$1,0)),"")))</f>
        <v/>
      </c>
      <c r="N636" s="87" t="str">
        <f>IF($B636="","",IF(IFERROR(INDEX('RAID Log'!$1:$1048576,$B636,MATCH("Date Raised",'RAID Log'!$1:$1,0)),"")="","",IFERROR(INDEX('RAID Log'!$1:$1048576,$B636,MATCH("Date Raised",'RAID Log'!$1:$1,0)),"")))</f>
        <v/>
      </c>
      <c r="O636" s="87" t="str">
        <f>IF($B636="","",IF(IFERROR(INDEX('RAID Log'!$1:$1048576,$B636,MATCH("Closed Date",'RAID Log'!$1:$1,0)),"")="","",IFERROR(INDEX('RAID Log'!$1:$1048576,$B636,MATCH("Closed Date",'RAID Log'!$1:$1,0)),"")))</f>
        <v/>
      </c>
      <c r="P636" s="85" t="str">
        <f>IF($B636="","",IF(IFERROR(INDEX('RAID Log'!$1:$1048576,$B636,MATCH("Mitigation Strategy",'RAID Log'!$1:$1,0)),"")="","",IFERROR(INDEX('RAID Log'!$1:$1048576,$B636,MATCH("Mitigation Strategy",'RAID Log'!$1:$1,0)),"")))</f>
        <v/>
      </c>
      <c r="Q636" s="88" t="str">
        <f>IF($B636="","",IF(IFERROR(INDEX('RAID Log'!$1:$1048576,$B636,MATCH("RAID Response/Plan",'RAID Log'!$1:$1,0)),"")="","",IFERROR(INDEX('RAID Log'!$1:$1048576,$B636,MATCH("RAID Response/Plan",'RAID Log'!$1:$1,0)),"")))</f>
        <v/>
      </c>
    </row>
    <row r="637" spans="1:17" ht="14.25" customHeight="1">
      <c r="A637" s="82" t="str">
        <f>IF($B637="","",IF(IFERROR(INDEX('RAID Log'!$1:$1048576,$B637,MATCH("RAID ID",'RAID Log'!$1:$1,0)),"")="","",IFERROR(INDEX('RAID Log'!$1:$1048576,$B637,MATCH("RAID ID",'RAID Log'!$1:$1,0)),"")))</f>
        <v/>
      </c>
      <c r="B637" s="83" t="str">
        <f>IFERROR(MATCH(ROW()-1,'RAID Log'!$S:$S,0),"")</f>
        <v/>
      </c>
      <c r="C637" s="84" t="str">
        <f>IF($B637="","",IF(IFERROR(INDEX('RAID Log'!$1:$1048576,$B637,MATCH("Description",'RAID Log'!$1:$1,0)),"")="","",IFERROR(INDEX('RAID Log'!$1:$1048576,$B637,MATCH("Description",'RAID Log'!$1:$1,0)),"")))</f>
        <v/>
      </c>
      <c r="D637" s="84" t="str">
        <f>IF($B637="","",IF(IFERROR(INDEX('RAID Log'!$1:$1048576,$B637,MATCH("Impact/Effect of the RAID",'RAID Log'!$1:$1,0)),"")="","",IFERROR(INDEX('RAID Log'!$1:$1048576,$B637,MATCH("Impact/Effect of the RAID",'RAID Log'!$1:$1,0)),"")))</f>
        <v/>
      </c>
      <c r="E637" s="85" t="str">
        <f>IF($B637="","",IF(IFERROR(INDEX('RAID Log'!$1:$1048576,$B637,MATCH("Impact Area",'RAID Log'!$1:$1,0)),"")="","",IFERROR(INDEX('RAID Log'!$1:$1048576,$B637,MATCH("Impact Area",'RAID Log'!$1:$1,0)),"")))</f>
        <v/>
      </c>
      <c r="F637" s="85" t="str">
        <f>IF($B637="","",IF(IFERROR(INDEX('RAID Log'!$1:$1048576,$B637,MATCH("Impact Area",'RAID Log'!$1:$1,0)),"")="","",IFERROR(INDEX('RAID Log'!$1:$1048576,$B637,MATCH("Impact Area",'RAID Log'!$1:$1,0)),"")))</f>
        <v/>
      </c>
      <c r="G637" s="85" t="str">
        <f>IF($B637="","",IF(IFERROR(INDEX('RAID Log'!$1:$1048576,$B637,MATCH("Impact Rating",'RAID Log'!$1:$1,0)),"")="","",IFERROR(INDEX('RAID Log'!$1:$1048576,$B637,MATCH("Impact Rating",'RAID Log'!$1:$1,0)),"")))</f>
        <v/>
      </c>
      <c r="H637" s="85" t="str">
        <f>IF($B637="","",IF(IFERROR(INDEX('RAID Log'!$1:$1048576,$B637,MATCH("Initial Probability",'RAID Log'!$1:$1,0)),"")="","",IFERROR(INDEX('RAID Log'!$1:$1048576,$B637,MATCH("Initial Probability",'RAID Log'!$1:$1,0)),"")))</f>
        <v/>
      </c>
      <c r="I637" s="86" t="str">
        <f t="shared" si="27"/>
        <v/>
      </c>
      <c r="J637" s="85" t="str">
        <f t="shared" si="28"/>
        <v/>
      </c>
      <c r="K637" s="86" t="str">
        <f t="shared" si="29"/>
        <v/>
      </c>
      <c r="L637" s="85" t="str">
        <f>IF($B637="","",IF(IFERROR(INDEX('RAID Log'!$1:$1048576,$B637,MATCH("Status",'RAID Log'!$1:$1,0)),"")="","",IFERROR(INDEX('RAID Log'!$1:$1048576,$B637,MATCH("Status",'RAID Log'!$1:$1,0)),"")))</f>
        <v/>
      </c>
      <c r="M637" s="85" t="str">
        <f>IF($B637="","",IF(IFERROR(INDEX('RAID Log'!$1:$1048576,$B637,MATCH("RAID Owner",'RAID Log'!$1:$1,0)),"")="","",IFERROR(INDEX('RAID Log'!$1:$1048576,$B637,MATCH("RAID Owner",'RAID Log'!$1:$1,0)),"")))</f>
        <v/>
      </c>
      <c r="N637" s="87" t="str">
        <f>IF($B637="","",IF(IFERROR(INDEX('RAID Log'!$1:$1048576,$B637,MATCH("Date Raised",'RAID Log'!$1:$1,0)),"")="","",IFERROR(INDEX('RAID Log'!$1:$1048576,$B637,MATCH("Date Raised",'RAID Log'!$1:$1,0)),"")))</f>
        <v/>
      </c>
      <c r="O637" s="87" t="str">
        <f>IF($B637="","",IF(IFERROR(INDEX('RAID Log'!$1:$1048576,$B637,MATCH("Closed Date",'RAID Log'!$1:$1,0)),"")="","",IFERROR(INDEX('RAID Log'!$1:$1048576,$B637,MATCH("Closed Date",'RAID Log'!$1:$1,0)),"")))</f>
        <v/>
      </c>
      <c r="P637" s="85" t="str">
        <f>IF($B637="","",IF(IFERROR(INDEX('RAID Log'!$1:$1048576,$B637,MATCH("Mitigation Strategy",'RAID Log'!$1:$1,0)),"")="","",IFERROR(INDEX('RAID Log'!$1:$1048576,$B637,MATCH("Mitigation Strategy",'RAID Log'!$1:$1,0)),"")))</f>
        <v/>
      </c>
      <c r="Q637" s="88" t="str">
        <f>IF($B637="","",IF(IFERROR(INDEX('RAID Log'!$1:$1048576,$B637,MATCH("RAID Response/Plan",'RAID Log'!$1:$1,0)),"")="","",IFERROR(INDEX('RAID Log'!$1:$1048576,$B637,MATCH("RAID Response/Plan",'RAID Log'!$1:$1,0)),"")))</f>
        <v/>
      </c>
    </row>
    <row r="638" spans="1:17" ht="14.25" customHeight="1">
      <c r="A638" s="82" t="str">
        <f>IF($B638="","",IF(IFERROR(INDEX('RAID Log'!$1:$1048576,$B638,MATCH("RAID ID",'RAID Log'!$1:$1,0)),"")="","",IFERROR(INDEX('RAID Log'!$1:$1048576,$B638,MATCH("RAID ID",'RAID Log'!$1:$1,0)),"")))</f>
        <v/>
      </c>
      <c r="B638" s="83" t="str">
        <f>IFERROR(MATCH(ROW()-1,'RAID Log'!$S:$S,0),"")</f>
        <v/>
      </c>
      <c r="C638" s="84" t="str">
        <f>IF($B638="","",IF(IFERROR(INDEX('RAID Log'!$1:$1048576,$B638,MATCH("Description",'RAID Log'!$1:$1,0)),"")="","",IFERROR(INDEX('RAID Log'!$1:$1048576,$B638,MATCH("Description",'RAID Log'!$1:$1,0)),"")))</f>
        <v/>
      </c>
      <c r="D638" s="84" t="str">
        <f>IF($B638="","",IF(IFERROR(INDEX('RAID Log'!$1:$1048576,$B638,MATCH("Impact/Effect of the RAID",'RAID Log'!$1:$1,0)),"")="","",IFERROR(INDEX('RAID Log'!$1:$1048576,$B638,MATCH("Impact/Effect of the RAID",'RAID Log'!$1:$1,0)),"")))</f>
        <v/>
      </c>
      <c r="E638" s="85" t="str">
        <f>IF($B638="","",IF(IFERROR(INDEX('RAID Log'!$1:$1048576,$B638,MATCH("Impact Area",'RAID Log'!$1:$1,0)),"")="","",IFERROR(INDEX('RAID Log'!$1:$1048576,$B638,MATCH("Impact Area",'RAID Log'!$1:$1,0)),"")))</f>
        <v/>
      </c>
      <c r="F638" s="85" t="str">
        <f>IF($B638="","",IF(IFERROR(INDEX('RAID Log'!$1:$1048576,$B638,MATCH("Impact Area",'RAID Log'!$1:$1,0)),"")="","",IFERROR(INDEX('RAID Log'!$1:$1048576,$B638,MATCH("Impact Area",'RAID Log'!$1:$1,0)),"")))</f>
        <v/>
      </c>
      <c r="G638" s="85" t="str">
        <f>IF($B638="","",IF(IFERROR(INDEX('RAID Log'!$1:$1048576,$B638,MATCH("Impact Rating",'RAID Log'!$1:$1,0)),"")="","",IFERROR(INDEX('RAID Log'!$1:$1048576,$B638,MATCH("Impact Rating",'RAID Log'!$1:$1,0)),"")))</f>
        <v/>
      </c>
      <c r="H638" s="85" t="str">
        <f>IF($B638="","",IF(IFERROR(INDEX('RAID Log'!$1:$1048576,$B638,MATCH("Initial Probability",'RAID Log'!$1:$1,0)),"")="","",IFERROR(INDEX('RAID Log'!$1:$1048576,$B638,MATCH("Initial Probability",'RAID Log'!$1:$1,0)),"")))</f>
        <v/>
      </c>
      <c r="I638" s="86" t="str">
        <f t="shared" si="27"/>
        <v/>
      </c>
      <c r="J638" s="85" t="str">
        <f t="shared" si="28"/>
        <v/>
      </c>
      <c r="K638" s="86" t="str">
        <f t="shared" si="29"/>
        <v/>
      </c>
      <c r="L638" s="85" t="str">
        <f>IF($B638="","",IF(IFERROR(INDEX('RAID Log'!$1:$1048576,$B638,MATCH("Status",'RAID Log'!$1:$1,0)),"")="","",IFERROR(INDEX('RAID Log'!$1:$1048576,$B638,MATCH("Status",'RAID Log'!$1:$1,0)),"")))</f>
        <v/>
      </c>
      <c r="M638" s="85" t="str">
        <f>IF($B638="","",IF(IFERROR(INDEX('RAID Log'!$1:$1048576,$B638,MATCH("RAID Owner",'RAID Log'!$1:$1,0)),"")="","",IFERROR(INDEX('RAID Log'!$1:$1048576,$B638,MATCH("RAID Owner",'RAID Log'!$1:$1,0)),"")))</f>
        <v/>
      </c>
      <c r="N638" s="87" t="str">
        <f>IF($B638="","",IF(IFERROR(INDEX('RAID Log'!$1:$1048576,$B638,MATCH("Date Raised",'RAID Log'!$1:$1,0)),"")="","",IFERROR(INDEX('RAID Log'!$1:$1048576,$B638,MATCH("Date Raised",'RAID Log'!$1:$1,0)),"")))</f>
        <v/>
      </c>
      <c r="O638" s="87" t="str">
        <f>IF($B638="","",IF(IFERROR(INDEX('RAID Log'!$1:$1048576,$B638,MATCH("Closed Date",'RAID Log'!$1:$1,0)),"")="","",IFERROR(INDEX('RAID Log'!$1:$1048576,$B638,MATCH("Closed Date",'RAID Log'!$1:$1,0)),"")))</f>
        <v/>
      </c>
      <c r="P638" s="85" t="str">
        <f>IF($B638="","",IF(IFERROR(INDEX('RAID Log'!$1:$1048576,$B638,MATCH("Mitigation Strategy",'RAID Log'!$1:$1,0)),"")="","",IFERROR(INDEX('RAID Log'!$1:$1048576,$B638,MATCH("Mitigation Strategy",'RAID Log'!$1:$1,0)),"")))</f>
        <v/>
      </c>
      <c r="Q638" s="88" t="str">
        <f>IF($B638="","",IF(IFERROR(INDEX('RAID Log'!$1:$1048576,$B638,MATCH("RAID Response/Plan",'RAID Log'!$1:$1,0)),"")="","",IFERROR(INDEX('RAID Log'!$1:$1048576,$B638,MATCH("RAID Response/Plan",'RAID Log'!$1:$1,0)),"")))</f>
        <v/>
      </c>
    </row>
    <row r="639" spans="1:17" ht="14.25" customHeight="1">
      <c r="A639" s="82" t="str">
        <f>IF($B639="","",IF(IFERROR(INDEX('RAID Log'!$1:$1048576,$B639,MATCH("RAID ID",'RAID Log'!$1:$1,0)),"")="","",IFERROR(INDEX('RAID Log'!$1:$1048576,$B639,MATCH("RAID ID",'RAID Log'!$1:$1,0)),"")))</f>
        <v/>
      </c>
      <c r="B639" s="83" t="str">
        <f>IFERROR(MATCH(ROW()-1,'RAID Log'!$S:$S,0),"")</f>
        <v/>
      </c>
      <c r="C639" s="84" t="str">
        <f>IF($B639="","",IF(IFERROR(INDEX('RAID Log'!$1:$1048576,$B639,MATCH("Description",'RAID Log'!$1:$1,0)),"")="","",IFERROR(INDEX('RAID Log'!$1:$1048576,$B639,MATCH("Description",'RAID Log'!$1:$1,0)),"")))</f>
        <v/>
      </c>
      <c r="D639" s="84" t="str">
        <f>IF($B639="","",IF(IFERROR(INDEX('RAID Log'!$1:$1048576,$B639,MATCH("Impact/Effect of the RAID",'RAID Log'!$1:$1,0)),"")="","",IFERROR(INDEX('RAID Log'!$1:$1048576,$B639,MATCH("Impact/Effect of the RAID",'RAID Log'!$1:$1,0)),"")))</f>
        <v/>
      </c>
      <c r="E639" s="85" t="str">
        <f>IF($B639="","",IF(IFERROR(INDEX('RAID Log'!$1:$1048576,$B639,MATCH("Impact Area",'RAID Log'!$1:$1,0)),"")="","",IFERROR(INDEX('RAID Log'!$1:$1048576,$B639,MATCH("Impact Area",'RAID Log'!$1:$1,0)),"")))</f>
        <v/>
      </c>
      <c r="F639" s="85" t="str">
        <f>IF($B639="","",IF(IFERROR(INDEX('RAID Log'!$1:$1048576,$B639,MATCH("Impact Area",'RAID Log'!$1:$1,0)),"")="","",IFERROR(INDEX('RAID Log'!$1:$1048576,$B639,MATCH("Impact Area",'RAID Log'!$1:$1,0)),"")))</f>
        <v/>
      </c>
      <c r="G639" s="85" t="str">
        <f>IF($B639="","",IF(IFERROR(INDEX('RAID Log'!$1:$1048576,$B639,MATCH("Impact Rating",'RAID Log'!$1:$1,0)),"")="","",IFERROR(INDEX('RAID Log'!$1:$1048576,$B639,MATCH("Impact Rating",'RAID Log'!$1:$1,0)),"")))</f>
        <v/>
      </c>
      <c r="H639" s="85" t="str">
        <f>IF($B639="","",IF(IFERROR(INDEX('RAID Log'!$1:$1048576,$B639,MATCH("Initial Probability",'RAID Log'!$1:$1,0)),"")="","",IFERROR(INDEX('RAID Log'!$1:$1048576,$B639,MATCH("Initial Probability",'RAID Log'!$1:$1,0)),"")))</f>
        <v/>
      </c>
      <c r="I639" s="86" t="str">
        <f t="shared" si="27"/>
        <v/>
      </c>
      <c r="J639" s="85" t="str">
        <f t="shared" si="28"/>
        <v/>
      </c>
      <c r="K639" s="86" t="str">
        <f t="shared" si="29"/>
        <v/>
      </c>
      <c r="L639" s="85" t="str">
        <f>IF($B639="","",IF(IFERROR(INDEX('RAID Log'!$1:$1048576,$B639,MATCH("Status",'RAID Log'!$1:$1,0)),"")="","",IFERROR(INDEX('RAID Log'!$1:$1048576,$B639,MATCH("Status",'RAID Log'!$1:$1,0)),"")))</f>
        <v/>
      </c>
      <c r="M639" s="85" t="str">
        <f>IF($B639="","",IF(IFERROR(INDEX('RAID Log'!$1:$1048576,$B639,MATCH("RAID Owner",'RAID Log'!$1:$1,0)),"")="","",IFERROR(INDEX('RAID Log'!$1:$1048576,$B639,MATCH("RAID Owner",'RAID Log'!$1:$1,0)),"")))</f>
        <v/>
      </c>
      <c r="N639" s="87" t="str">
        <f>IF($B639="","",IF(IFERROR(INDEX('RAID Log'!$1:$1048576,$B639,MATCH("Date Raised",'RAID Log'!$1:$1,0)),"")="","",IFERROR(INDEX('RAID Log'!$1:$1048576,$B639,MATCH("Date Raised",'RAID Log'!$1:$1,0)),"")))</f>
        <v/>
      </c>
      <c r="O639" s="87" t="str">
        <f>IF($B639="","",IF(IFERROR(INDEX('RAID Log'!$1:$1048576,$B639,MATCH("Closed Date",'RAID Log'!$1:$1,0)),"")="","",IFERROR(INDEX('RAID Log'!$1:$1048576,$B639,MATCH("Closed Date",'RAID Log'!$1:$1,0)),"")))</f>
        <v/>
      </c>
      <c r="P639" s="85" t="str">
        <f>IF($B639="","",IF(IFERROR(INDEX('RAID Log'!$1:$1048576,$B639,MATCH("Mitigation Strategy",'RAID Log'!$1:$1,0)),"")="","",IFERROR(INDEX('RAID Log'!$1:$1048576,$B639,MATCH("Mitigation Strategy",'RAID Log'!$1:$1,0)),"")))</f>
        <v/>
      </c>
      <c r="Q639" s="88" t="str">
        <f>IF($B639="","",IF(IFERROR(INDEX('RAID Log'!$1:$1048576,$B639,MATCH("RAID Response/Plan",'RAID Log'!$1:$1,0)),"")="","",IFERROR(INDEX('RAID Log'!$1:$1048576,$B639,MATCH("RAID Response/Plan",'RAID Log'!$1:$1,0)),"")))</f>
        <v/>
      </c>
    </row>
    <row r="640" spans="1:17" ht="14.25" customHeight="1">
      <c r="A640" s="82" t="str">
        <f>IF($B640="","",IF(IFERROR(INDEX('RAID Log'!$1:$1048576,$B640,MATCH("RAID ID",'RAID Log'!$1:$1,0)),"")="","",IFERROR(INDEX('RAID Log'!$1:$1048576,$B640,MATCH("RAID ID",'RAID Log'!$1:$1,0)),"")))</f>
        <v/>
      </c>
      <c r="B640" s="83" t="str">
        <f>IFERROR(MATCH(ROW()-1,'RAID Log'!$S:$S,0),"")</f>
        <v/>
      </c>
      <c r="C640" s="84" t="str">
        <f>IF($B640="","",IF(IFERROR(INDEX('RAID Log'!$1:$1048576,$B640,MATCH("Description",'RAID Log'!$1:$1,0)),"")="","",IFERROR(INDEX('RAID Log'!$1:$1048576,$B640,MATCH("Description",'RAID Log'!$1:$1,0)),"")))</f>
        <v/>
      </c>
      <c r="D640" s="84" t="str">
        <f>IF($B640="","",IF(IFERROR(INDEX('RAID Log'!$1:$1048576,$B640,MATCH("Impact/Effect of the RAID",'RAID Log'!$1:$1,0)),"")="","",IFERROR(INDEX('RAID Log'!$1:$1048576,$B640,MATCH("Impact/Effect of the RAID",'RAID Log'!$1:$1,0)),"")))</f>
        <v/>
      </c>
      <c r="E640" s="85" t="str">
        <f>IF($B640="","",IF(IFERROR(INDEX('RAID Log'!$1:$1048576,$B640,MATCH("Impact Area",'RAID Log'!$1:$1,0)),"")="","",IFERROR(INDEX('RAID Log'!$1:$1048576,$B640,MATCH("Impact Area",'RAID Log'!$1:$1,0)),"")))</f>
        <v/>
      </c>
      <c r="F640" s="85" t="str">
        <f>IF($B640="","",IF(IFERROR(INDEX('RAID Log'!$1:$1048576,$B640,MATCH("Impact Area",'RAID Log'!$1:$1,0)),"")="","",IFERROR(INDEX('RAID Log'!$1:$1048576,$B640,MATCH("Impact Area",'RAID Log'!$1:$1,0)),"")))</f>
        <v/>
      </c>
      <c r="G640" s="85" t="str">
        <f>IF($B640="","",IF(IFERROR(INDEX('RAID Log'!$1:$1048576,$B640,MATCH("Impact Rating",'RAID Log'!$1:$1,0)),"")="","",IFERROR(INDEX('RAID Log'!$1:$1048576,$B640,MATCH("Impact Rating",'RAID Log'!$1:$1,0)),"")))</f>
        <v/>
      </c>
      <c r="H640" s="85" t="str">
        <f>IF($B640="","",IF(IFERROR(INDEX('RAID Log'!$1:$1048576,$B640,MATCH("Initial Probability",'RAID Log'!$1:$1,0)),"")="","",IFERROR(INDEX('RAID Log'!$1:$1048576,$B640,MATCH("Initial Probability",'RAID Log'!$1:$1,0)),"")))</f>
        <v/>
      </c>
      <c r="I640" s="86" t="str">
        <f t="shared" si="27"/>
        <v/>
      </c>
      <c r="J640" s="85" t="str">
        <f t="shared" si="28"/>
        <v/>
      </c>
      <c r="K640" s="86" t="str">
        <f t="shared" si="29"/>
        <v/>
      </c>
      <c r="L640" s="85" t="str">
        <f>IF($B640="","",IF(IFERROR(INDEX('RAID Log'!$1:$1048576,$B640,MATCH("Status",'RAID Log'!$1:$1,0)),"")="","",IFERROR(INDEX('RAID Log'!$1:$1048576,$B640,MATCH("Status",'RAID Log'!$1:$1,0)),"")))</f>
        <v/>
      </c>
      <c r="M640" s="85" t="str">
        <f>IF($B640="","",IF(IFERROR(INDEX('RAID Log'!$1:$1048576,$B640,MATCH("RAID Owner",'RAID Log'!$1:$1,0)),"")="","",IFERROR(INDEX('RAID Log'!$1:$1048576,$B640,MATCH("RAID Owner",'RAID Log'!$1:$1,0)),"")))</f>
        <v/>
      </c>
      <c r="N640" s="87" t="str">
        <f>IF($B640="","",IF(IFERROR(INDEX('RAID Log'!$1:$1048576,$B640,MATCH("Date Raised",'RAID Log'!$1:$1,0)),"")="","",IFERROR(INDEX('RAID Log'!$1:$1048576,$B640,MATCH("Date Raised",'RAID Log'!$1:$1,0)),"")))</f>
        <v/>
      </c>
      <c r="O640" s="87" t="str">
        <f>IF($B640="","",IF(IFERROR(INDEX('RAID Log'!$1:$1048576,$B640,MATCH("Closed Date",'RAID Log'!$1:$1,0)),"")="","",IFERROR(INDEX('RAID Log'!$1:$1048576,$B640,MATCH("Closed Date",'RAID Log'!$1:$1,0)),"")))</f>
        <v/>
      </c>
      <c r="P640" s="85" t="str">
        <f>IF($B640="","",IF(IFERROR(INDEX('RAID Log'!$1:$1048576,$B640,MATCH("Mitigation Strategy",'RAID Log'!$1:$1,0)),"")="","",IFERROR(INDEX('RAID Log'!$1:$1048576,$B640,MATCH("Mitigation Strategy",'RAID Log'!$1:$1,0)),"")))</f>
        <v/>
      </c>
      <c r="Q640" s="88" t="str">
        <f>IF($B640="","",IF(IFERROR(INDEX('RAID Log'!$1:$1048576,$B640,MATCH("RAID Response/Plan",'RAID Log'!$1:$1,0)),"")="","",IFERROR(INDEX('RAID Log'!$1:$1048576,$B640,MATCH("RAID Response/Plan",'RAID Log'!$1:$1,0)),"")))</f>
        <v/>
      </c>
    </row>
    <row r="641" spans="1:17" ht="14.25" customHeight="1">
      <c r="A641" s="82" t="str">
        <f>IF($B641="","",IF(IFERROR(INDEX('RAID Log'!$1:$1048576,$B641,MATCH("RAID ID",'RAID Log'!$1:$1,0)),"")="","",IFERROR(INDEX('RAID Log'!$1:$1048576,$B641,MATCH("RAID ID",'RAID Log'!$1:$1,0)),"")))</f>
        <v/>
      </c>
      <c r="B641" s="83" t="str">
        <f>IFERROR(MATCH(ROW()-1,'RAID Log'!$S:$S,0),"")</f>
        <v/>
      </c>
      <c r="C641" s="84" t="str">
        <f>IF($B641="","",IF(IFERROR(INDEX('RAID Log'!$1:$1048576,$B641,MATCH("Description",'RAID Log'!$1:$1,0)),"")="","",IFERROR(INDEX('RAID Log'!$1:$1048576,$B641,MATCH("Description",'RAID Log'!$1:$1,0)),"")))</f>
        <v/>
      </c>
      <c r="D641" s="84" t="str">
        <f>IF($B641="","",IF(IFERROR(INDEX('RAID Log'!$1:$1048576,$B641,MATCH("Impact/Effect of the RAID",'RAID Log'!$1:$1,0)),"")="","",IFERROR(INDEX('RAID Log'!$1:$1048576,$B641,MATCH("Impact/Effect of the RAID",'RAID Log'!$1:$1,0)),"")))</f>
        <v/>
      </c>
      <c r="E641" s="85" t="str">
        <f>IF($B641="","",IF(IFERROR(INDEX('RAID Log'!$1:$1048576,$B641,MATCH("Impact Area",'RAID Log'!$1:$1,0)),"")="","",IFERROR(INDEX('RAID Log'!$1:$1048576,$B641,MATCH("Impact Area",'RAID Log'!$1:$1,0)),"")))</f>
        <v/>
      </c>
      <c r="F641" s="85" t="str">
        <f>IF($B641="","",IF(IFERROR(INDEX('RAID Log'!$1:$1048576,$B641,MATCH("Impact Area",'RAID Log'!$1:$1,0)),"")="","",IFERROR(INDEX('RAID Log'!$1:$1048576,$B641,MATCH("Impact Area",'RAID Log'!$1:$1,0)),"")))</f>
        <v/>
      </c>
      <c r="G641" s="85" t="str">
        <f>IF($B641="","",IF(IFERROR(INDEX('RAID Log'!$1:$1048576,$B641,MATCH("Impact Rating",'RAID Log'!$1:$1,0)),"")="","",IFERROR(INDEX('RAID Log'!$1:$1048576,$B641,MATCH("Impact Rating",'RAID Log'!$1:$1,0)),"")))</f>
        <v/>
      </c>
      <c r="H641" s="85" t="str">
        <f>IF($B641="","",IF(IFERROR(INDEX('RAID Log'!$1:$1048576,$B641,MATCH("Initial Probability",'RAID Log'!$1:$1,0)),"")="","",IFERROR(INDEX('RAID Log'!$1:$1048576,$B641,MATCH("Initial Probability",'RAID Log'!$1:$1,0)),"")))</f>
        <v/>
      </c>
      <c r="I641" s="86" t="str">
        <f t="shared" si="27"/>
        <v/>
      </c>
      <c r="J641" s="85" t="str">
        <f t="shared" si="28"/>
        <v/>
      </c>
      <c r="K641" s="86" t="str">
        <f t="shared" si="29"/>
        <v/>
      </c>
      <c r="L641" s="85" t="str">
        <f>IF($B641="","",IF(IFERROR(INDEX('RAID Log'!$1:$1048576,$B641,MATCH("Status",'RAID Log'!$1:$1,0)),"")="","",IFERROR(INDEX('RAID Log'!$1:$1048576,$B641,MATCH("Status",'RAID Log'!$1:$1,0)),"")))</f>
        <v/>
      </c>
      <c r="M641" s="85" t="str">
        <f>IF($B641="","",IF(IFERROR(INDEX('RAID Log'!$1:$1048576,$B641,MATCH("RAID Owner",'RAID Log'!$1:$1,0)),"")="","",IFERROR(INDEX('RAID Log'!$1:$1048576,$B641,MATCH("RAID Owner",'RAID Log'!$1:$1,0)),"")))</f>
        <v/>
      </c>
      <c r="N641" s="87" t="str">
        <f>IF($B641="","",IF(IFERROR(INDEX('RAID Log'!$1:$1048576,$B641,MATCH("Date Raised",'RAID Log'!$1:$1,0)),"")="","",IFERROR(INDEX('RAID Log'!$1:$1048576,$B641,MATCH("Date Raised",'RAID Log'!$1:$1,0)),"")))</f>
        <v/>
      </c>
      <c r="O641" s="87" t="str">
        <f>IF($B641="","",IF(IFERROR(INDEX('RAID Log'!$1:$1048576,$B641,MATCH("Closed Date",'RAID Log'!$1:$1,0)),"")="","",IFERROR(INDEX('RAID Log'!$1:$1048576,$B641,MATCH("Closed Date",'RAID Log'!$1:$1,0)),"")))</f>
        <v/>
      </c>
      <c r="P641" s="85" t="str">
        <f>IF($B641="","",IF(IFERROR(INDEX('RAID Log'!$1:$1048576,$B641,MATCH("Mitigation Strategy",'RAID Log'!$1:$1,0)),"")="","",IFERROR(INDEX('RAID Log'!$1:$1048576,$B641,MATCH("Mitigation Strategy",'RAID Log'!$1:$1,0)),"")))</f>
        <v/>
      </c>
      <c r="Q641" s="88" t="str">
        <f>IF($B641="","",IF(IFERROR(INDEX('RAID Log'!$1:$1048576,$B641,MATCH("RAID Response/Plan",'RAID Log'!$1:$1,0)),"")="","",IFERROR(INDEX('RAID Log'!$1:$1048576,$B641,MATCH("RAID Response/Plan",'RAID Log'!$1:$1,0)),"")))</f>
        <v/>
      </c>
    </row>
    <row r="642" spans="1:17" ht="14.25" customHeight="1">
      <c r="A642" s="82" t="str">
        <f>IF($B642="","",IF(IFERROR(INDEX('RAID Log'!$1:$1048576,$B642,MATCH("RAID ID",'RAID Log'!$1:$1,0)),"")="","",IFERROR(INDEX('RAID Log'!$1:$1048576,$B642,MATCH("RAID ID",'RAID Log'!$1:$1,0)),"")))</f>
        <v/>
      </c>
      <c r="B642" s="83" t="str">
        <f>IFERROR(MATCH(ROW()-1,'RAID Log'!$S:$S,0),"")</f>
        <v/>
      </c>
      <c r="C642" s="84" t="str">
        <f>IF($B642="","",IF(IFERROR(INDEX('RAID Log'!$1:$1048576,$B642,MATCH("Description",'RAID Log'!$1:$1,0)),"")="","",IFERROR(INDEX('RAID Log'!$1:$1048576,$B642,MATCH("Description",'RAID Log'!$1:$1,0)),"")))</f>
        <v/>
      </c>
      <c r="D642" s="84" t="str">
        <f>IF($B642="","",IF(IFERROR(INDEX('RAID Log'!$1:$1048576,$B642,MATCH("Impact/Effect of the RAID",'RAID Log'!$1:$1,0)),"")="","",IFERROR(INDEX('RAID Log'!$1:$1048576,$B642,MATCH("Impact/Effect of the RAID",'RAID Log'!$1:$1,0)),"")))</f>
        <v/>
      </c>
      <c r="E642" s="85" t="str">
        <f>IF($B642="","",IF(IFERROR(INDEX('RAID Log'!$1:$1048576,$B642,MATCH("Impact Area",'RAID Log'!$1:$1,0)),"")="","",IFERROR(INDEX('RAID Log'!$1:$1048576,$B642,MATCH("Impact Area",'RAID Log'!$1:$1,0)),"")))</f>
        <v/>
      </c>
      <c r="F642" s="85" t="str">
        <f>IF($B642="","",IF(IFERROR(INDEX('RAID Log'!$1:$1048576,$B642,MATCH("Impact Area",'RAID Log'!$1:$1,0)),"")="","",IFERROR(INDEX('RAID Log'!$1:$1048576,$B642,MATCH("Impact Area",'RAID Log'!$1:$1,0)),"")))</f>
        <v/>
      </c>
      <c r="G642" s="85" t="str">
        <f>IF($B642="","",IF(IFERROR(INDEX('RAID Log'!$1:$1048576,$B642,MATCH("Impact Rating",'RAID Log'!$1:$1,0)),"")="","",IFERROR(INDEX('RAID Log'!$1:$1048576,$B642,MATCH("Impact Rating",'RAID Log'!$1:$1,0)),"")))</f>
        <v/>
      </c>
      <c r="H642" s="85" t="str">
        <f>IF($B642="","",IF(IFERROR(INDEX('RAID Log'!$1:$1048576,$B642,MATCH("Initial Probability",'RAID Log'!$1:$1,0)),"")="","",IFERROR(INDEX('RAID Log'!$1:$1048576,$B642,MATCH("Initial Probability",'RAID Log'!$1:$1,0)),"")))</f>
        <v/>
      </c>
      <c r="I642" s="86" t="str">
        <f t="shared" ref="I642:I705" si="30">IF($B642="","",(IF($G642="Severe",25,IF($G642="Major",20,IF($G642="Moderate",15,IF($G642="Minor",10,IF($G642="Insignificant",5,0))))))*IF($H642="Very High",1,IF($H642="High",0.8,IF($H642="Average",0.6,IF($H642="Low",0.4,IF($H642="Very Low",0.2,0))))))</f>
        <v/>
      </c>
      <c r="J642" s="85" t="str">
        <f t="shared" ref="J642:J705" si="31">IF($B642="","",IF($I642&gt;20,"Critical",IF($I642&gt;15,"High",IF($I642&gt;8,"Moderate",IF($I642&gt;3,"Tolerable","Negligible")))))</f>
        <v/>
      </c>
      <c r="K642" s="86" t="str">
        <f t="shared" ref="K642:K705" si="32">IF(OR($B642="",UPPER($L642)="CLOSED"),"",COUNTIFS($L$2:$L$880,"&lt;&gt;Closed",$I$2:$I$880,"&gt;"&amp;$I642)+COUNTIFS($L$2:$L$880,"&lt;&gt;Closed",$I$2:$I$880,$I642,$N$2:$N$880,"&lt;"&amp;$N642)+COUNTIFS($L$2:$L$880,"&lt;&gt;Closed",$I$2:$I$880,$I642,$N$2:$N$880,$N642,$B$2:$B$880,"&lt;"&amp;$B642)+1)</f>
        <v/>
      </c>
      <c r="L642" s="85" t="str">
        <f>IF($B642="","",IF(IFERROR(INDEX('RAID Log'!$1:$1048576,$B642,MATCH("Status",'RAID Log'!$1:$1,0)),"")="","",IFERROR(INDEX('RAID Log'!$1:$1048576,$B642,MATCH("Status",'RAID Log'!$1:$1,0)),"")))</f>
        <v/>
      </c>
      <c r="M642" s="85" t="str">
        <f>IF($B642="","",IF(IFERROR(INDEX('RAID Log'!$1:$1048576,$B642,MATCH("RAID Owner",'RAID Log'!$1:$1,0)),"")="","",IFERROR(INDEX('RAID Log'!$1:$1048576,$B642,MATCH("RAID Owner",'RAID Log'!$1:$1,0)),"")))</f>
        <v/>
      </c>
      <c r="N642" s="87" t="str">
        <f>IF($B642="","",IF(IFERROR(INDEX('RAID Log'!$1:$1048576,$B642,MATCH("Date Raised",'RAID Log'!$1:$1,0)),"")="","",IFERROR(INDEX('RAID Log'!$1:$1048576,$B642,MATCH("Date Raised",'RAID Log'!$1:$1,0)),"")))</f>
        <v/>
      </c>
      <c r="O642" s="87" t="str">
        <f>IF($B642="","",IF(IFERROR(INDEX('RAID Log'!$1:$1048576,$B642,MATCH("Closed Date",'RAID Log'!$1:$1,0)),"")="","",IFERROR(INDEX('RAID Log'!$1:$1048576,$B642,MATCH("Closed Date",'RAID Log'!$1:$1,0)),"")))</f>
        <v/>
      </c>
      <c r="P642" s="85" t="str">
        <f>IF($B642="","",IF(IFERROR(INDEX('RAID Log'!$1:$1048576,$B642,MATCH("Mitigation Strategy",'RAID Log'!$1:$1,0)),"")="","",IFERROR(INDEX('RAID Log'!$1:$1048576,$B642,MATCH("Mitigation Strategy",'RAID Log'!$1:$1,0)),"")))</f>
        <v/>
      </c>
      <c r="Q642" s="88" t="str">
        <f>IF($B642="","",IF(IFERROR(INDEX('RAID Log'!$1:$1048576,$B642,MATCH("RAID Response/Plan",'RAID Log'!$1:$1,0)),"")="","",IFERROR(INDEX('RAID Log'!$1:$1048576,$B642,MATCH("RAID Response/Plan",'RAID Log'!$1:$1,0)),"")))</f>
        <v/>
      </c>
    </row>
    <row r="643" spans="1:17" ht="14.25" customHeight="1">
      <c r="A643" s="82" t="str">
        <f>IF($B643="","",IF(IFERROR(INDEX('RAID Log'!$1:$1048576,$B643,MATCH("RAID ID",'RAID Log'!$1:$1,0)),"")="","",IFERROR(INDEX('RAID Log'!$1:$1048576,$B643,MATCH("RAID ID",'RAID Log'!$1:$1,0)),"")))</f>
        <v/>
      </c>
      <c r="B643" s="83" t="str">
        <f>IFERROR(MATCH(ROW()-1,'RAID Log'!$S:$S,0),"")</f>
        <v/>
      </c>
      <c r="C643" s="84" t="str">
        <f>IF($B643="","",IF(IFERROR(INDEX('RAID Log'!$1:$1048576,$B643,MATCH("Description",'RAID Log'!$1:$1,0)),"")="","",IFERROR(INDEX('RAID Log'!$1:$1048576,$B643,MATCH("Description",'RAID Log'!$1:$1,0)),"")))</f>
        <v/>
      </c>
      <c r="D643" s="84" t="str">
        <f>IF($B643="","",IF(IFERROR(INDEX('RAID Log'!$1:$1048576,$B643,MATCH("Impact/Effect of the RAID",'RAID Log'!$1:$1,0)),"")="","",IFERROR(INDEX('RAID Log'!$1:$1048576,$B643,MATCH("Impact/Effect of the RAID",'RAID Log'!$1:$1,0)),"")))</f>
        <v/>
      </c>
      <c r="E643" s="85" t="str">
        <f>IF($B643="","",IF(IFERROR(INDEX('RAID Log'!$1:$1048576,$B643,MATCH("Impact Area",'RAID Log'!$1:$1,0)),"")="","",IFERROR(INDEX('RAID Log'!$1:$1048576,$B643,MATCH("Impact Area",'RAID Log'!$1:$1,0)),"")))</f>
        <v/>
      </c>
      <c r="F643" s="85" t="str">
        <f>IF($B643="","",IF(IFERROR(INDEX('RAID Log'!$1:$1048576,$B643,MATCH("Impact Area",'RAID Log'!$1:$1,0)),"")="","",IFERROR(INDEX('RAID Log'!$1:$1048576,$B643,MATCH("Impact Area",'RAID Log'!$1:$1,0)),"")))</f>
        <v/>
      </c>
      <c r="G643" s="85" t="str">
        <f>IF($B643="","",IF(IFERROR(INDEX('RAID Log'!$1:$1048576,$B643,MATCH("Impact Rating",'RAID Log'!$1:$1,0)),"")="","",IFERROR(INDEX('RAID Log'!$1:$1048576,$B643,MATCH("Impact Rating",'RAID Log'!$1:$1,0)),"")))</f>
        <v/>
      </c>
      <c r="H643" s="85" t="str">
        <f>IF($B643="","",IF(IFERROR(INDEX('RAID Log'!$1:$1048576,$B643,MATCH("Initial Probability",'RAID Log'!$1:$1,0)),"")="","",IFERROR(INDEX('RAID Log'!$1:$1048576,$B643,MATCH("Initial Probability",'RAID Log'!$1:$1,0)),"")))</f>
        <v/>
      </c>
      <c r="I643" s="86" t="str">
        <f t="shared" si="30"/>
        <v/>
      </c>
      <c r="J643" s="85" t="str">
        <f t="shared" si="31"/>
        <v/>
      </c>
      <c r="K643" s="86" t="str">
        <f t="shared" si="32"/>
        <v/>
      </c>
      <c r="L643" s="85" t="str">
        <f>IF($B643="","",IF(IFERROR(INDEX('RAID Log'!$1:$1048576,$B643,MATCH("Status",'RAID Log'!$1:$1,0)),"")="","",IFERROR(INDEX('RAID Log'!$1:$1048576,$B643,MATCH("Status",'RAID Log'!$1:$1,0)),"")))</f>
        <v/>
      </c>
      <c r="M643" s="85" t="str">
        <f>IF($B643="","",IF(IFERROR(INDEX('RAID Log'!$1:$1048576,$B643,MATCH("RAID Owner",'RAID Log'!$1:$1,0)),"")="","",IFERROR(INDEX('RAID Log'!$1:$1048576,$B643,MATCH("RAID Owner",'RAID Log'!$1:$1,0)),"")))</f>
        <v/>
      </c>
      <c r="N643" s="87" t="str">
        <f>IF($B643="","",IF(IFERROR(INDEX('RAID Log'!$1:$1048576,$B643,MATCH("Date Raised",'RAID Log'!$1:$1,0)),"")="","",IFERROR(INDEX('RAID Log'!$1:$1048576,$B643,MATCH("Date Raised",'RAID Log'!$1:$1,0)),"")))</f>
        <v/>
      </c>
      <c r="O643" s="87" t="str">
        <f>IF($B643="","",IF(IFERROR(INDEX('RAID Log'!$1:$1048576,$B643,MATCH("Closed Date",'RAID Log'!$1:$1,0)),"")="","",IFERROR(INDEX('RAID Log'!$1:$1048576,$B643,MATCH("Closed Date",'RAID Log'!$1:$1,0)),"")))</f>
        <v/>
      </c>
      <c r="P643" s="85" t="str">
        <f>IF($B643="","",IF(IFERROR(INDEX('RAID Log'!$1:$1048576,$B643,MATCH("Mitigation Strategy",'RAID Log'!$1:$1,0)),"")="","",IFERROR(INDEX('RAID Log'!$1:$1048576,$B643,MATCH("Mitigation Strategy",'RAID Log'!$1:$1,0)),"")))</f>
        <v/>
      </c>
      <c r="Q643" s="88" t="str">
        <f>IF($B643="","",IF(IFERROR(INDEX('RAID Log'!$1:$1048576,$B643,MATCH("RAID Response/Plan",'RAID Log'!$1:$1,0)),"")="","",IFERROR(INDEX('RAID Log'!$1:$1048576,$B643,MATCH("RAID Response/Plan",'RAID Log'!$1:$1,0)),"")))</f>
        <v/>
      </c>
    </row>
    <row r="644" spans="1:17" ht="14.25" customHeight="1">
      <c r="A644" s="82" t="str">
        <f>IF($B644="","",IF(IFERROR(INDEX('RAID Log'!$1:$1048576,$B644,MATCH("RAID ID",'RAID Log'!$1:$1,0)),"")="","",IFERROR(INDEX('RAID Log'!$1:$1048576,$B644,MATCH("RAID ID",'RAID Log'!$1:$1,0)),"")))</f>
        <v/>
      </c>
      <c r="B644" s="83" t="str">
        <f>IFERROR(MATCH(ROW()-1,'RAID Log'!$S:$S,0),"")</f>
        <v/>
      </c>
      <c r="C644" s="84" t="str">
        <f>IF($B644="","",IF(IFERROR(INDEX('RAID Log'!$1:$1048576,$B644,MATCH("Description",'RAID Log'!$1:$1,0)),"")="","",IFERROR(INDEX('RAID Log'!$1:$1048576,$B644,MATCH("Description",'RAID Log'!$1:$1,0)),"")))</f>
        <v/>
      </c>
      <c r="D644" s="84" t="str">
        <f>IF($B644="","",IF(IFERROR(INDEX('RAID Log'!$1:$1048576,$B644,MATCH("Impact/Effect of the RAID",'RAID Log'!$1:$1,0)),"")="","",IFERROR(INDEX('RAID Log'!$1:$1048576,$B644,MATCH("Impact/Effect of the RAID",'RAID Log'!$1:$1,0)),"")))</f>
        <v/>
      </c>
      <c r="E644" s="85" t="str">
        <f>IF($B644="","",IF(IFERROR(INDEX('RAID Log'!$1:$1048576,$B644,MATCH("Impact Area",'RAID Log'!$1:$1,0)),"")="","",IFERROR(INDEX('RAID Log'!$1:$1048576,$B644,MATCH("Impact Area",'RAID Log'!$1:$1,0)),"")))</f>
        <v/>
      </c>
      <c r="F644" s="85" t="str">
        <f>IF($B644="","",IF(IFERROR(INDEX('RAID Log'!$1:$1048576,$B644,MATCH("Impact Area",'RAID Log'!$1:$1,0)),"")="","",IFERROR(INDEX('RAID Log'!$1:$1048576,$B644,MATCH("Impact Area",'RAID Log'!$1:$1,0)),"")))</f>
        <v/>
      </c>
      <c r="G644" s="85" t="str">
        <f>IF($B644="","",IF(IFERROR(INDEX('RAID Log'!$1:$1048576,$B644,MATCH("Impact Rating",'RAID Log'!$1:$1,0)),"")="","",IFERROR(INDEX('RAID Log'!$1:$1048576,$B644,MATCH("Impact Rating",'RAID Log'!$1:$1,0)),"")))</f>
        <v/>
      </c>
      <c r="H644" s="85" t="str">
        <f>IF($B644="","",IF(IFERROR(INDEX('RAID Log'!$1:$1048576,$B644,MATCH("Initial Probability",'RAID Log'!$1:$1,0)),"")="","",IFERROR(INDEX('RAID Log'!$1:$1048576,$B644,MATCH("Initial Probability",'RAID Log'!$1:$1,0)),"")))</f>
        <v/>
      </c>
      <c r="I644" s="86" t="str">
        <f t="shared" si="30"/>
        <v/>
      </c>
      <c r="J644" s="85" t="str">
        <f t="shared" si="31"/>
        <v/>
      </c>
      <c r="K644" s="86" t="str">
        <f t="shared" si="32"/>
        <v/>
      </c>
      <c r="L644" s="85" t="str">
        <f>IF($B644="","",IF(IFERROR(INDEX('RAID Log'!$1:$1048576,$B644,MATCH("Status",'RAID Log'!$1:$1,0)),"")="","",IFERROR(INDEX('RAID Log'!$1:$1048576,$B644,MATCH("Status",'RAID Log'!$1:$1,0)),"")))</f>
        <v/>
      </c>
      <c r="M644" s="85" t="str">
        <f>IF($B644="","",IF(IFERROR(INDEX('RAID Log'!$1:$1048576,$B644,MATCH("RAID Owner",'RAID Log'!$1:$1,0)),"")="","",IFERROR(INDEX('RAID Log'!$1:$1048576,$B644,MATCH("RAID Owner",'RAID Log'!$1:$1,0)),"")))</f>
        <v/>
      </c>
      <c r="N644" s="87" t="str">
        <f>IF($B644="","",IF(IFERROR(INDEX('RAID Log'!$1:$1048576,$B644,MATCH("Date Raised",'RAID Log'!$1:$1,0)),"")="","",IFERROR(INDEX('RAID Log'!$1:$1048576,$B644,MATCH("Date Raised",'RAID Log'!$1:$1,0)),"")))</f>
        <v/>
      </c>
      <c r="O644" s="87" t="str">
        <f>IF($B644="","",IF(IFERROR(INDEX('RAID Log'!$1:$1048576,$B644,MATCH("Closed Date",'RAID Log'!$1:$1,0)),"")="","",IFERROR(INDEX('RAID Log'!$1:$1048576,$B644,MATCH("Closed Date",'RAID Log'!$1:$1,0)),"")))</f>
        <v/>
      </c>
      <c r="P644" s="85" t="str">
        <f>IF($B644="","",IF(IFERROR(INDEX('RAID Log'!$1:$1048576,$B644,MATCH("Mitigation Strategy",'RAID Log'!$1:$1,0)),"")="","",IFERROR(INDEX('RAID Log'!$1:$1048576,$B644,MATCH("Mitigation Strategy",'RAID Log'!$1:$1,0)),"")))</f>
        <v/>
      </c>
      <c r="Q644" s="88" t="str">
        <f>IF($B644="","",IF(IFERROR(INDEX('RAID Log'!$1:$1048576,$B644,MATCH("RAID Response/Plan",'RAID Log'!$1:$1,0)),"")="","",IFERROR(INDEX('RAID Log'!$1:$1048576,$B644,MATCH("RAID Response/Plan",'RAID Log'!$1:$1,0)),"")))</f>
        <v/>
      </c>
    </row>
    <row r="645" spans="1:17" ht="14.25" customHeight="1">
      <c r="A645" s="82" t="str">
        <f>IF($B645="","",IF(IFERROR(INDEX('RAID Log'!$1:$1048576,$B645,MATCH("RAID ID",'RAID Log'!$1:$1,0)),"")="","",IFERROR(INDEX('RAID Log'!$1:$1048576,$B645,MATCH("RAID ID",'RAID Log'!$1:$1,0)),"")))</f>
        <v/>
      </c>
      <c r="B645" s="83" t="str">
        <f>IFERROR(MATCH(ROW()-1,'RAID Log'!$S:$S,0),"")</f>
        <v/>
      </c>
      <c r="C645" s="84" t="str">
        <f>IF($B645="","",IF(IFERROR(INDEX('RAID Log'!$1:$1048576,$B645,MATCH("Description",'RAID Log'!$1:$1,0)),"")="","",IFERROR(INDEX('RAID Log'!$1:$1048576,$B645,MATCH("Description",'RAID Log'!$1:$1,0)),"")))</f>
        <v/>
      </c>
      <c r="D645" s="84" t="str">
        <f>IF($B645="","",IF(IFERROR(INDEX('RAID Log'!$1:$1048576,$B645,MATCH("Impact/Effect of the RAID",'RAID Log'!$1:$1,0)),"")="","",IFERROR(INDEX('RAID Log'!$1:$1048576,$B645,MATCH("Impact/Effect of the RAID",'RAID Log'!$1:$1,0)),"")))</f>
        <v/>
      </c>
      <c r="E645" s="85" t="str">
        <f>IF($B645="","",IF(IFERROR(INDEX('RAID Log'!$1:$1048576,$B645,MATCH("Impact Area",'RAID Log'!$1:$1,0)),"")="","",IFERROR(INDEX('RAID Log'!$1:$1048576,$B645,MATCH("Impact Area",'RAID Log'!$1:$1,0)),"")))</f>
        <v/>
      </c>
      <c r="F645" s="85" t="str">
        <f>IF($B645="","",IF(IFERROR(INDEX('RAID Log'!$1:$1048576,$B645,MATCH("Impact Area",'RAID Log'!$1:$1,0)),"")="","",IFERROR(INDEX('RAID Log'!$1:$1048576,$B645,MATCH("Impact Area",'RAID Log'!$1:$1,0)),"")))</f>
        <v/>
      </c>
      <c r="G645" s="85" t="str">
        <f>IF($B645="","",IF(IFERROR(INDEX('RAID Log'!$1:$1048576,$B645,MATCH("Impact Rating",'RAID Log'!$1:$1,0)),"")="","",IFERROR(INDEX('RAID Log'!$1:$1048576,$B645,MATCH("Impact Rating",'RAID Log'!$1:$1,0)),"")))</f>
        <v/>
      </c>
      <c r="H645" s="85" t="str">
        <f>IF($B645="","",IF(IFERROR(INDEX('RAID Log'!$1:$1048576,$B645,MATCH("Initial Probability",'RAID Log'!$1:$1,0)),"")="","",IFERROR(INDEX('RAID Log'!$1:$1048576,$B645,MATCH("Initial Probability",'RAID Log'!$1:$1,0)),"")))</f>
        <v/>
      </c>
      <c r="I645" s="86" t="str">
        <f t="shared" si="30"/>
        <v/>
      </c>
      <c r="J645" s="85" t="str">
        <f t="shared" si="31"/>
        <v/>
      </c>
      <c r="K645" s="86" t="str">
        <f t="shared" si="32"/>
        <v/>
      </c>
      <c r="L645" s="85" t="str">
        <f>IF($B645="","",IF(IFERROR(INDEX('RAID Log'!$1:$1048576,$B645,MATCH("Status",'RAID Log'!$1:$1,0)),"")="","",IFERROR(INDEX('RAID Log'!$1:$1048576,$B645,MATCH("Status",'RAID Log'!$1:$1,0)),"")))</f>
        <v/>
      </c>
      <c r="M645" s="85" t="str">
        <f>IF($B645="","",IF(IFERROR(INDEX('RAID Log'!$1:$1048576,$B645,MATCH("RAID Owner",'RAID Log'!$1:$1,0)),"")="","",IFERROR(INDEX('RAID Log'!$1:$1048576,$B645,MATCH("RAID Owner",'RAID Log'!$1:$1,0)),"")))</f>
        <v/>
      </c>
      <c r="N645" s="87" t="str">
        <f>IF($B645="","",IF(IFERROR(INDEX('RAID Log'!$1:$1048576,$B645,MATCH("Date Raised",'RAID Log'!$1:$1,0)),"")="","",IFERROR(INDEX('RAID Log'!$1:$1048576,$B645,MATCH("Date Raised",'RAID Log'!$1:$1,0)),"")))</f>
        <v/>
      </c>
      <c r="O645" s="87" t="str">
        <f>IF($B645="","",IF(IFERROR(INDEX('RAID Log'!$1:$1048576,$B645,MATCH("Closed Date",'RAID Log'!$1:$1,0)),"")="","",IFERROR(INDEX('RAID Log'!$1:$1048576,$B645,MATCH("Closed Date",'RAID Log'!$1:$1,0)),"")))</f>
        <v/>
      </c>
      <c r="P645" s="85" t="str">
        <f>IF($B645="","",IF(IFERROR(INDEX('RAID Log'!$1:$1048576,$B645,MATCH("Mitigation Strategy",'RAID Log'!$1:$1,0)),"")="","",IFERROR(INDEX('RAID Log'!$1:$1048576,$B645,MATCH("Mitigation Strategy",'RAID Log'!$1:$1,0)),"")))</f>
        <v/>
      </c>
      <c r="Q645" s="88" t="str">
        <f>IF($B645="","",IF(IFERROR(INDEX('RAID Log'!$1:$1048576,$B645,MATCH("RAID Response/Plan",'RAID Log'!$1:$1,0)),"")="","",IFERROR(INDEX('RAID Log'!$1:$1048576,$B645,MATCH("RAID Response/Plan",'RAID Log'!$1:$1,0)),"")))</f>
        <v/>
      </c>
    </row>
    <row r="646" spans="1:17" ht="14.25" customHeight="1">
      <c r="A646" s="82" t="str">
        <f>IF($B646="","",IF(IFERROR(INDEX('RAID Log'!$1:$1048576,$B646,MATCH("RAID ID",'RAID Log'!$1:$1,0)),"")="","",IFERROR(INDEX('RAID Log'!$1:$1048576,$B646,MATCH("RAID ID",'RAID Log'!$1:$1,0)),"")))</f>
        <v/>
      </c>
      <c r="B646" s="83" t="str">
        <f>IFERROR(MATCH(ROW()-1,'RAID Log'!$S:$S,0),"")</f>
        <v/>
      </c>
      <c r="C646" s="84" t="str">
        <f>IF($B646="","",IF(IFERROR(INDEX('RAID Log'!$1:$1048576,$B646,MATCH("Description",'RAID Log'!$1:$1,0)),"")="","",IFERROR(INDEX('RAID Log'!$1:$1048576,$B646,MATCH("Description",'RAID Log'!$1:$1,0)),"")))</f>
        <v/>
      </c>
      <c r="D646" s="84" t="str">
        <f>IF($B646="","",IF(IFERROR(INDEX('RAID Log'!$1:$1048576,$B646,MATCH("Impact/Effect of the RAID",'RAID Log'!$1:$1,0)),"")="","",IFERROR(INDEX('RAID Log'!$1:$1048576,$B646,MATCH("Impact/Effect of the RAID",'RAID Log'!$1:$1,0)),"")))</f>
        <v/>
      </c>
      <c r="E646" s="85" t="str">
        <f>IF($B646="","",IF(IFERROR(INDEX('RAID Log'!$1:$1048576,$B646,MATCH("Impact Area",'RAID Log'!$1:$1,0)),"")="","",IFERROR(INDEX('RAID Log'!$1:$1048576,$B646,MATCH("Impact Area",'RAID Log'!$1:$1,0)),"")))</f>
        <v/>
      </c>
      <c r="F646" s="85" t="str">
        <f>IF($B646="","",IF(IFERROR(INDEX('RAID Log'!$1:$1048576,$B646,MATCH("Impact Area",'RAID Log'!$1:$1,0)),"")="","",IFERROR(INDEX('RAID Log'!$1:$1048576,$B646,MATCH("Impact Area",'RAID Log'!$1:$1,0)),"")))</f>
        <v/>
      </c>
      <c r="G646" s="85" t="str">
        <f>IF($B646="","",IF(IFERROR(INDEX('RAID Log'!$1:$1048576,$B646,MATCH("Impact Rating",'RAID Log'!$1:$1,0)),"")="","",IFERROR(INDEX('RAID Log'!$1:$1048576,$B646,MATCH("Impact Rating",'RAID Log'!$1:$1,0)),"")))</f>
        <v/>
      </c>
      <c r="H646" s="85" t="str">
        <f>IF($B646="","",IF(IFERROR(INDEX('RAID Log'!$1:$1048576,$B646,MATCH("Initial Probability",'RAID Log'!$1:$1,0)),"")="","",IFERROR(INDEX('RAID Log'!$1:$1048576,$B646,MATCH("Initial Probability",'RAID Log'!$1:$1,0)),"")))</f>
        <v/>
      </c>
      <c r="I646" s="86" t="str">
        <f t="shared" si="30"/>
        <v/>
      </c>
      <c r="J646" s="85" t="str">
        <f t="shared" si="31"/>
        <v/>
      </c>
      <c r="K646" s="86" t="str">
        <f t="shared" si="32"/>
        <v/>
      </c>
      <c r="L646" s="85" t="str">
        <f>IF($B646="","",IF(IFERROR(INDEX('RAID Log'!$1:$1048576,$B646,MATCH("Status",'RAID Log'!$1:$1,0)),"")="","",IFERROR(INDEX('RAID Log'!$1:$1048576,$B646,MATCH("Status",'RAID Log'!$1:$1,0)),"")))</f>
        <v/>
      </c>
      <c r="M646" s="85" t="str">
        <f>IF($B646="","",IF(IFERROR(INDEX('RAID Log'!$1:$1048576,$B646,MATCH("RAID Owner",'RAID Log'!$1:$1,0)),"")="","",IFERROR(INDEX('RAID Log'!$1:$1048576,$B646,MATCH("RAID Owner",'RAID Log'!$1:$1,0)),"")))</f>
        <v/>
      </c>
      <c r="N646" s="87" t="str">
        <f>IF($B646="","",IF(IFERROR(INDEX('RAID Log'!$1:$1048576,$B646,MATCH("Date Raised",'RAID Log'!$1:$1,0)),"")="","",IFERROR(INDEX('RAID Log'!$1:$1048576,$B646,MATCH("Date Raised",'RAID Log'!$1:$1,0)),"")))</f>
        <v/>
      </c>
      <c r="O646" s="87" t="str">
        <f>IF($B646="","",IF(IFERROR(INDEX('RAID Log'!$1:$1048576,$B646,MATCH("Closed Date",'RAID Log'!$1:$1,0)),"")="","",IFERROR(INDEX('RAID Log'!$1:$1048576,$B646,MATCH("Closed Date",'RAID Log'!$1:$1,0)),"")))</f>
        <v/>
      </c>
      <c r="P646" s="85" t="str">
        <f>IF($B646="","",IF(IFERROR(INDEX('RAID Log'!$1:$1048576,$B646,MATCH("Mitigation Strategy",'RAID Log'!$1:$1,0)),"")="","",IFERROR(INDEX('RAID Log'!$1:$1048576,$B646,MATCH("Mitigation Strategy",'RAID Log'!$1:$1,0)),"")))</f>
        <v/>
      </c>
      <c r="Q646" s="88" t="str">
        <f>IF($B646="","",IF(IFERROR(INDEX('RAID Log'!$1:$1048576,$B646,MATCH("RAID Response/Plan",'RAID Log'!$1:$1,0)),"")="","",IFERROR(INDEX('RAID Log'!$1:$1048576,$B646,MATCH("RAID Response/Plan",'RAID Log'!$1:$1,0)),"")))</f>
        <v/>
      </c>
    </row>
    <row r="647" spans="1:17" ht="14.25" customHeight="1">
      <c r="A647" s="82" t="str">
        <f>IF($B647="","",IF(IFERROR(INDEX('RAID Log'!$1:$1048576,$B647,MATCH("RAID ID",'RAID Log'!$1:$1,0)),"")="","",IFERROR(INDEX('RAID Log'!$1:$1048576,$B647,MATCH("RAID ID",'RAID Log'!$1:$1,0)),"")))</f>
        <v/>
      </c>
      <c r="B647" s="83" t="str">
        <f>IFERROR(MATCH(ROW()-1,'RAID Log'!$S:$S,0),"")</f>
        <v/>
      </c>
      <c r="C647" s="84" t="str">
        <f>IF($B647="","",IF(IFERROR(INDEX('RAID Log'!$1:$1048576,$B647,MATCH("Description",'RAID Log'!$1:$1,0)),"")="","",IFERROR(INDEX('RAID Log'!$1:$1048576,$B647,MATCH("Description",'RAID Log'!$1:$1,0)),"")))</f>
        <v/>
      </c>
      <c r="D647" s="84" t="str">
        <f>IF($B647="","",IF(IFERROR(INDEX('RAID Log'!$1:$1048576,$B647,MATCH("Impact/Effect of the RAID",'RAID Log'!$1:$1,0)),"")="","",IFERROR(INDEX('RAID Log'!$1:$1048576,$B647,MATCH("Impact/Effect of the RAID",'RAID Log'!$1:$1,0)),"")))</f>
        <v/>
      </c>
      <c r="E647" s="85" t="str">
        <f>IF($B647="","",IF(IFERROR(INDEX('RAID Log'!$1:$1048576,$B647,MATCH("Impact Area",'RAID Log'!$1:$1,0)),"")="","",IFERROR(INDEX('RAID Log'!$1:$1048576,$B647,MATCH("Impact Area",'RAID Log'!$1:$1,0)),"")))</f>
        <v/>
      </c>
      <c r="F647" s="85" t="str">
        <f>IF($B647="","",IF(IFERROR(INDEX('RAID Log'!$1:$1048576,$B647,MATCH("Impact Area",'RAID Log'!$1:$1,0)),"")="","",IFERROR(INDEX('RAID Log'!$1:$1048576,$B647,MATCH("Impact Area",'RAID Log'!$1:$1,0)),"")))</f>
        <v/>
      </c>
      <c r="G647" s="85" t="str">
        <f>IF($B647="","",IF(IFERROR(INDEX('RAID Log'!$1:$1048576,$B647,MATCH("Impact Rating",'RAID Log'!$1:$1,0)),"")="","",IFERROR(INDEX('RAID Log'!$1:$1048576,$B647,MATCH("Impact Rating",'RAID Log'!$1:$1,0)),"")))</f>
        <v/>
      </c>
      <c r="H647" s="85" t="str">
        <f>IF($B647="","",IF(IFERROR(INDEX('RAID Log'!$1:$1048576,$B647,MATCH("Initial Probability",'RAID Log'!$1:$1,0)),"")="","",IFERROR(INDEX('RAID Log'!$1:$1048576,$B647,MATCH("Initial Probability",'RAID Log'!$1:$1,0)),"")))</f>
        <v/>
      </c>
      <c r="I647" s="86" t="str">
        <f t="shared" si="30"/>
        <v/>
      </c>
      <c r="J647" s="85" t="str">
        <f t="shared" si="31"/>
        <v/>
      </c>
      <c r="K647" s="86" t="str">
        <f t="shared" si="32"/>
        <v/>
      </c>
      <c r="L647" s="85" t="str">
        <f>IF($B647="","",IF(IFERROR(INDEX('RAID Log'!$1:$1048576,$B647,MATCH("Status",'RAID Log'!$1:$1,0)),"")="","",IFERROR(INDEX('RAID Log'!$1:$1048576,$B647,MATCH("Status",'RAID Log'!$1:$1,0)),"")))</f>
        <v/>
      </c>
      <c r="M647" s="85" t="str">
        <f>IF($B647="","",IF(IFERROR(INDEX('RAID Log'!$1:$1048576,$B647,MATCH("RAID Owner",'RAID Log'!$1:$1,0)),"")="","",IFERROR(INDEX('RAID Log'!$1:$1048576,$B647,MATCH("RAID Owner",'RAID Log'!$1:$1,0)),"")))</f>
        <v/>
      </c>
      <c r="N647" s="87" t="str">
        <f>IF($B647="","",IF(IFERROR(INDEX('RAID Log'!$1:$1048576,$B647,MATCH("Date Raised",'RAID Log'!$1:$1,0)),"")="","",IFERROR(INDEX('RAID Log'!$1:$1048576,$B647,MATCH("Date Raised",'RAID Log'!$1:$1,0)),"")))</f>
        <v/>
      </c>
      <c r="O647" s="87" t="str">
        <f>IF($B647="","",IF(IFERROR(INDEX('RAID Log'!$1:$1048576,$B647,MATCH("Closed Date",'RAID Log'!$1:$1,0)),"")="","",IFERROR(INDEX('RAID Log'!$1:$1048576,$B647,MATCH("Closed Date",'RAID Log'!$1:$1,0)),"")))</f>
        <v/>
      </c>
      <c r="P647" s="85" t="str">
        <f>IF($B647="","",IF(IFERROR(INDEX('RAID Log'!$1:$1048576,$B647,MATCH("Mitigation Strategy",'RAID Log'!$1:$1,0)),"")="","",IFERROR(INDEX('RAID Log'!$1:$1048576,$B647,MATCH("Mitigation Strategy",'RAID Log'!$1:$1,0)),"")))</f>
        <v/>
      </c>
      <c r="Q647" s="88" t="str">
        <f>IF($B647="","",IF(IFERROR(INDEX('RAID Log'!$1:$1048576,$B647,MATCH("RAID Response/Plan",'RAID Log'!$1:$1,0)),"")="","",IFERROR(INDEX('RAID Log'!$1:$1048576,$B647,MATCH("RAID Response/Plan",'RAID Log'!$1:$1,0)),"")))</f>
        <v/>
      </c>
    </row>
    <row r="648" spans="1:17" ht="14.25" customHeight="1">
      <c r="A648" s="82" t="str">
        <f>IF($B648="","",IF(IFERROR(INDEX('RAID Log'!$1:$1048576,$B648,MATCH("RAID ID",'RAID Log'!$1:$1,0)),"")="","",IFERROR(INDEX('RAID Log'!$1:$1048576,$B648,MATCH("RAID ID",'RAID Log'!$1:$1,0)),"")))</f>
        <v/>
      </c>
      <c r="B648" s="83" t="str">
        <f>IFERROR(MATCH(ROW()-1,'RAID Log'!$S:$S,0),"")</f>
        <v/>
      </c>
      <c r="C648" s="84" t="str">
        <f>IF($B648="","",IF(IFERROR(INDEX('RAID Log'!$1:$1048576,$B648,MATCH("Description",'RAID Log'!$1:$1,0)),"")="","",IFERROR(INDEX('RAID Log'!$1:$1048576,$B648,MATCH("Description",'RAID Log'!$1:$1,0)),"")))</f>
        <v/>
      </c>
      <c r="D648" s="84" t="str">
        <f>IF($B648="","",IF(IFERROR(INDEX('RAID Log'!$1:$1048576,$B648,MATCH("Impact/Effect of the RAID",'RAID Log'!$1:$1,0)),"")="","",IFERROR(INDEX('RAID Log'!$1:$1048576,$B648,MATCH("Impact/Effect of the RAID",'RAID Log'!$1:$1,0)),"")))</f>
        <v/>
      </c>
      <c r="E648" s="85" t="str">
        <f>IF($B648="","",IF(IFERROR(INDEX('RAID Log'!$1:$1048576,$B648,MATCH("Impact Area",'RAID Log'!$1:$1,0)),"")="","",IFERROR(INDEX('RAID Log'!$1:$1048576,$B648,MATCH("Impact Area",'RAID Log'!$1:$1,0)),"")))</f>
        <v/>
      </c>
      <c r="F648" s="85" t="str">
        <f>IF($B648="","",IF(IFERROR(INDEX('RAID Log'!$1:$1048576,$B648,MATCH("Impact Area",'RAID Log'!$1:$1,0)),"")="","",IFERROR(INDEX('RAID Log'!$1:$1048576,$B648,MATCH("Impact Area",'RAID Log'!$1:$1,0)),"")))</f>
        <v/>
      </c>
      <c r="G648" s="85" t="str">
        <f>IF($B648="","",IF(IFERROR(INDEX('RAID Log'!$1:$1048576,$B648,MATCH("Impact Rating",'RAID Log'!$1:$1,0)),"")="","",IFERROR(INDEX('RAID Log'!$1:$1048576,$B648,MATCH("Impact Rating",'RAID Log'!$1:$1,0)),"")))</f>
        <v/>
      </c>
      <c r="H648" s="85" t="str">
        <f>IF($B648="","",IF(IFERROR(INDEX('RAID Log'!$1:$1048576,$B648,MATCH("Initial Probability",'RAID Log'!$1:$1,0)),"")="","",IFERROR(INDEX('RAID Log'!$1:$1048576,$B648,MATCH("Initial Probability",'RAID Log'!$1:$1,0)),"")))</f>
        <v/>
      </c>
      <c r="I648" s="86" t="str">
        <f t="shared" si="30"/>
        <v/>
      </c>
      <c r="J648" s="85" t="str">
        <f t="shared" si="31"/>
        <v/>
      </c>
      <c r="K648" s="86" t="str">
        <f t="shared" si="32"/>
        <v/>
      </c>
      <c r="L648" s="85" t="str">
        <f>IF($B648="","",IF(IFERROR(INDEX('RAID Log'!$1:$1048576,$B648,MATCH("Status",'RAID Log'!$1:$1,0)),"")="","",IFERROR(INDEX('RAID Log'!$1:$1048576,$B648,MATCH("Status",'RAID Log'!$1:$1,0)),"")))</f>
        <v/>
      </c>
      <c r="M648" s="85" t="str">
        <f>IF($B648="","",IF(IFERROR(INDEX('RAID Log'!$1:$1048576,$B648,MATCH("RAID Owner",'RAID Log'!$1:$1,0)),"")="","",IFERROR(INDEX('RAID Log'!$1:$1048576,$B648,MATCH("RAID Owner",'RAID Log'!$1:$1,0)),"")))</f>
        <v/>
      </c>
      <c r="N648" s="87" t="str">
        <f>IF($B648="","",IF(IFERROR(INDEX('RAID Log'!$1:$1048576,$B648,MATCH("Date Raised",'RAID Log'!$1:$1,0)),"")="","",IFERROR(INDEX('RAID Log'!$1:$1048576,$B648,MATCH("Date Raised",'RAID Log'!$1:$1,0)),"")))</f>
        <v/>
      </c>
      <c r="O648" s="87" t="str">
        <f>IF($B648="","",IF(IFERROR(INDEX('RAID Log'!$1:$1048576,$B648,MATCH("Closed Date",'RAID Log'!$1:$1,0)),"")="","",IFERROR(INDEX('RAID Log'!$1:$1048576,$B648,MATCH("Closed Date",'RAID Log'!$1:$1,0)),"")))</f>
        <v/>
      </c>
      <c r="P648" s="85" t="str">
        <f>IF($B648="","",IF(IFERROR(INDEX('RAID Log'!$1:$1048576,$B648,MATCH("Mitigation Strategy",'RAID Log'!$1:$1,0)),"")="","",IFERROR(INDEX('RAID Log'!$1:$1048576,$B648,MATCH("Mitigation Strategy",'RAID Log'!$1:$1,0)),"")))</f>
        <v/>
      </c>
      <c r="Q648" s="88" t="str">
        <f>IF($B648="","",IF(IFERROR(INDEX('RAID Log'!$1:$1048576,$B648,MATCH("RAID Response/Plan",'RAID Log'!$1:$1,0)),"")="","",IFERROR(INDEX('RAID Log'!$1:$1048576,$B648,MATCH("RAID Response/Plan",'RAID Log'!$1:$1,0)),"")))</f>
        <v/>
      </c>
    </row>
    <row r="649" spans="1:17" ht="14.25" customHeight="1">
      <c r="A649" s="82" t="str">
        <f>IF($B649="","",IF(IFERROR(INDEX('RAID Log'!$1:$1048576,$B649,MATCH("RAID ID",'RAID Log'!$1:$1,0)),"")="","",IFERROR(INDEX('RAID Log'!$1:$1048576,$B649,MATCH("RAID ID",'RAID Log'!$1:$1,0)),"")))</f>
        <v/>
      </c>
      <c r="B649" s="83" t="str">
        <f>IFERROR(MATCH(ROW()-1,'RAID Log'!$S:$S,0),"")</f>
        <v/>
      </c>
      <c r="C649" s="84" t="str">
        <f>IF($B649="","",IF(IFERROR(INDEX('RAID Log'!$1:$1048576,$B649,MATCH("Description",'RAID Log'!$1:$1,0)),"")="","",IFERROR(INDEX('RAID Log'!$1:$1048576,$B649,MATCH("Description",'RAID Log'!$1:$1,0)),"")))</f>
        <v/>
      </c>
      <c r="D649" s="84" t="str">
        <f>IF($B649="","",IF(IFERROR(INDEX('RAID Log'!$1:$1048576,$B649,MATCH("Impact/Effect of the RAID",'RAID Log'!$1:$1,0)),"")="","",IFERROR(INDEX('RAID Log'!$1:$1048576,$B649,MATCH("Impact/Effect of the RAID",'RAID Log'!$1:$1,0)),"")))</f>
        <v/>
      </c>
      <c r="E649" s="85" t="str">
        <f>IF($B649="","",IF(IFERROR(INDEX('RAID Log'!$1:$1048576,$B649,MATCH("Impact Area",'RAID Log'!$1:$1,0)),"")="","",IFERROR(INDEX('RAID Log'!$1:$1048576,$B649,MATCH("Impact Area",'RAID Log'!$1:$1,0)),"")))</f>
        <v/>
      </c>
      <c r="F649" s="85" t="str">
        <f>IF($B649="","",IF(IFERROR(INDEX('RAID Log'!$1:$1048576,$B649,MATCH("Impact Area",'RAID Log'!$1:$1,0)),"")="","",IFERROR(INDEX('RAID Log'!$1:$1048576,$B649,MATCH("Impact Area",'RAID Log'!$1:$1,0)),"")))</f>
        <v/>
      </c>
      <c r="G649" s="85" t="str">
        <f>IF($B649="","",IF(IFERROR(INDEX('RAID Log'!$1:$1048576,$B649,MATCH("Impact Rating",'RAID Log'!$1:$1,0)),"")="","",IFERROR(INDEX('RAID Log'!$1:$1048576,$B649,MATCH("Impact Rating",'RAID Log'!$1:$1,0)),"")))</f>
        <v/>
      </c>
      <c r="H649" s="85" t="str">
        <f>IF($B649="","",IF(IFERROR(INDEX('RAID Log'!$1:$1048576,$B649,MATCH("Initial Probability",'RAID Log'!$1:$1,0)),"")="","",IFERROR(INDEX('RAID Log'!$1:$1048576,$B649,MATCH("Initial Probability",'RAID Log'!$1:$1,0)),"")))</f>
        <v/>
      </c>
      <c r="I649" s="86" t="str">
        <f t="shared" si="30"/>
        <v/>
      </c>
      <c r="J649" s="85" t="str">
        <f t="shared" si="31"/>
        <v/>
      </c>
      <c r="K649" s="86" t="str">
        <f t="shared" si="32"/>
        <v/>
      </c>
      <c r="L649" s="85" t="str">
        <f>IF($B649="","",IF(IFERROR(INDEX('RAID Log'!$1:$1048576,$B649,MATCH("Status",'RAID Log'!$1:$1,0)),"")="","",IFERROR(INDEX('RAID Log'!$1:$1048576,$B649,MATCH("Status",'RAID Log'!$1:$1,0)),"")))</f>
        <v/>
      </c>
      <c r="M649" s="85" t="str">
        <f>IF($B649="","",IF(IFERROR(INDEX('RAID Log'!$1:$1048576,$B649,MATCH("RAID Owner",'RAID Log'!$1:$1,0)),"")="","",IFERROR(INDEX('RAID Log'!$1:$1048576,$B649,MATCH("RAID Owner",'RAID Log'!$1:$1,0)),"")))</f>
        <v/>
      </c>
      <c r="N649" s="87" t="str">
        <f>IF($B649="","",IF(IFERROR(INDEX('RAID Log'!$1:$1048576,$B649,MATCH("Date Raised",'RAID Log'!$1:$1,0)),"")="","",IFERROR(INDEX('RAID Log'!$1:$1048576,$B649,MATCH("Date Raised",'RAID Log'!$1:$1,0)),"")))</f>
        <v/>
      </c>
      <c r="O649" s="87" t="str">
        <f>IF($B649="","",IF(IFERROR(INDEX('RAID Log'!$1:$1048576,$B649,MATCH("Closed Date",'RAID Log'!$1:$1,0)),"")="","",IFERROR(INDEX('RAID Log'!$1:$1048576,$B649,MATCH("Closed Date",'RAID Log'!$1:$1,0)),"")))</f>
        <v/>
      </c>
      <c r="P649" s="85" t="str">
        <f>IF($B649="","",IF(IFERROR(INDEX('RAID Log'!$1:$1048576,$B649,MATCH("Mitigation Strategy",'RAID Log'!$1:$1,0)),"")="","",IFERROR(INDEX('RAID Log'!$1:$1048576,$B649,MATCH("Mitigation Strategy",'RAID Log'!$1:$1,0)),"")))</f>
        <v/>
      </c>
      <c r="Q649" s="88" t="str">
        <f>IF($B649="","",IF(IFERROR(INDEX('RAID Log'!$1:$1048576,$B649,MATCH("RAID Response/Plan",'RAID Log'!$1:$1,0)),"")="","",IFERROR(INDEX('RAID Log'!$1:$1048576,$B649,MATCH("RAID Response/Plan",'RAID Log'!$1:$1,0)),"")))</f>
        <v/>
      </c>
    </row>
    <row r="650" spans="1:17" ht="14.25" customHeight="1">
      <c r="A650" s="82" t="str">
        <f>IF($B650="","",IF(IFERROR(INDEX('RAID Log'!$1:$1048576,$B650,MATCH("RAID ID",'RAID Log'!$1:$1,0)),"")="","",IFERROR(INDEX('RAID Log'!$1:$1048576,$B650,MATCH("RAID ID",'RAID Log'!$1:$1,0)),"")))</f>
        <v/>
      </c>
      <c r="B650" s="83" t="str">
        <f>IFERROR(MATCH(ROW()-1,'RAID Log'!$S:$S,0),"")</f>
        <v/>
      </c>
      <c r="C650" s="84" t="str">
        <f>IF($B650="","",IF(IFERROR(INDEX('RAID Log'!$1:$1048576,$B650,MATCH("Description",'RAID Log'!$1:$1,0)),"")="","",IFERROR(INDEX('RAID Log'!$1:$1048576,$B650,MATCH("Description",'RAID Log'!$1:$1,0)),"")))</f>
        <v/>
      </c>
      <c r="D650" s="84" t="str">
        <f>IF($B650="","",IF(IFERROR(INDEX('RAID Log'!$1:$1048576,$B650,MATCH("Impact/Effect of the RAID",'RAID Log'!$1:$1,0)),"")="","",IFERROR(INDEX('RAID Log'!$1:$1048576,$B650,MATCH("Impact/Effect of the RAID",'RAID Log'!$1:$1,0)),"")))</f>
        <v/>
      </c>
      <c r="E650" s="85" t="str">
        <f>IF($B650="","",IF(IFERROR(INDEX('RAID Log'!$1:$1048576,$B650,MATCH("Impact Area",'RAID Log'!$1:$1,0)),"")="","",IFERROR(INDEX('RAID Log'!$1:$1048576,$B650,MATCH("Impact Area",'RAID Log'!$1:$1,0)),"")))</f>
        <v/>
      </c>
      <c r="F650" s="85" t="str">
        <f>IF($B650="","",IF(IFERROR(INDEX('RAID Log'!$1:$1048576,$B650,MATCH("Impact Area",'RAID Log'!$1:$1,0)),"")="","",IFERROR(INDEX('RAID Log'!$1:$1048576,$B650,MATCH("Impact Area",'RAID Log'!$1:$1,0)),"")))</f>
        <v/>
      </c>
      <c r="G650" s="85" t="str">
        <f>IF($B650="","",IF(IFERROR(INDEX('RAID Log'!$1:$1048576,$B650,MATCH("Impact Rating",'RAID Log'!$1:$1,0)),"")="","",IFERROR(INDEX('RAID Log'!$1:$1048576,$B650,MATCH("Impact Rating",'RAID Log'!$1:$1,0)),"")))</f>
        <v/>
      </c>
      <c r="H650" s="85" t="str">
        <f>IF($B650="","",IF(IFERROR(INDEX('RAID Log'!$1:$1048576,$B650,MATCH("Initial Probability",'RAID Log'!$1:$1,0)),"")="","",IFERROR(INDEX('RAID Log'!$1:$1048576,$B650,MATCH("Initial Probability",'RAID Log'!$1:$1,0)),"")))</f>
        <v/>
      </c>
      <c r="I650" s="86" t="str">
        <f t="shared" si="30"/>
        <v/>
      </c>
      <c r="J650" s="85" t="str">
        <f t="shared" si="31"/>
        <v/>
      </c>
      <c r="K650" s="86" t="str">
        <f t="shared" si="32"/>
        <v/>
      </c>
      <c r="L650" s="85" t="str">
        <f>IF($B650="","",IF(IFERROR(INDEX('RAID Log'!$1:$1048576,$B650,MATCH("Status",'RAID Log'!$1:$1,0)),"")="","",IFERROR(INDEX('RAID Log'!$1:$1048576,$B650,MATCH("Status",'RAID Log'!$1:$1,0)),"")))</f>
        <v/>
      </c>
      <c r="M650" s="85" t="str">
        <f>IF($B650="","",IF(IFERROR(INDEX('RAID Log'!$1:$1048576,$B650,MATCH("RAID Owner",'RAID Log'!$1:$1,0)),"")="","",IFERROR(INDEX('RAID Log'!$1:$1048576,$B650,MATCH("RAID Owner",'RAID Log'!$1:$1,0)),"")))</f>
        <v/>
      </c>
      <c r="N650" s="87" t="str">
        <f>IF($B650="","",IF(IFERROR(INDEX('RAID Log'!$1:$1048576,$B650,MATCH("Date Raised",'RAID Log'!$1:$1,0)),"")="","",IFERROR(INDEX('RAID Log'!$1:$1048576,$B650,MATCH("Date Raised",'RAID Log'!$1:$1,0)),"")))</f>
        <v/>
      </c>
      <c r="O650" s="87" t="str">
        <f>IF($B650="","",IF(IFERROR(INDEX('RAID Log'!$1:$1048576,$B650,MATCH("Closed Date",'RAID Log'!$1:$1,0)),"")="","",IFERROR(INDEX('RAID Log'!$1:$1048576,$B650,MATCH("Closed Date",'RAID Log'!$1:$1,0)),"")))</f>
        <v/>
      </c>
      <c r="P650" s="85" t="str">
        <f>IF($B650="","",IF(IFERROR(INDEX('RAID Log'!$1:$1048576,$B650,MATCH("Mitigation Strategy",'RAID Log'!$1:$1,0)),"")="","",IFERROR(INDEX('RAID Log'!$1:$1048576,$B650,MATCH("Mitigation Strategy",'RAID Log'!$1:$1,0)),"")))</f>
        <v/>
      </c>
      <c r="Q650" s="88" t="str">
        <f>IF($B650="","",IF(IFERROR(INDEX('RAID Log'!$1:$1048576,$B650,MATCH("RAID Response/Plan",'RAID Log'!$1:$1,0)),"")="","",IFERROR(INDEX('RAID Log'!$1:$1048576,$B650,MATCH("RAID Response/Plan",'RAID Log'!$1:$1,0)),"")))</f>
        <v/>
      </c>
    </row>
    <row r="651" spans="1:17" ht="14.25" customHeight="1">
      <c r="A651" s="82" t="str">
        <f>IF($B651="","",IF(IFERROR(INDEX('RAID Log'!$1:$1048576,$B651,MATCH("RAID ID",'RAID Log'!$1:$1,0)),"")="","",IFERROR(INDEX('RAID Log'!$1:$1048576,$B651,MATCH("RAID ID",'RAID Log'!$1:$1,0)),"")))</f>
        <v/>
      </c>
      <c r="B651" s="83" t="str">
        <f>IFERROR(MATCH(ROW()-1,'RAID Log'!$S:$S,0),"")</f>
        <v/>
      </c>
      <c r="C651" s="84" t="str">
        <f>IF($B651="","",IF(IFERROR(INDEX('RAID Log'!$1:$1048576,$B651,MATCH("Description",'RAID Log'!$1:$1,0)),"")="","",IFERROR(INDEX('RAID Log'!$1:$1048576,$B651,MATCH("Description",'RAID Log'!$1:$1,0)),"")))</f>
        <v/>
      </c>
      <c r="D651" s="84" t="str">
        <f>IF($B651="","",IF(IFERROR(INDEX('RAID Log'!$1:$1048576,$B651,MATCH("Impact/Effect of the RAID",'RAID Log'!$1:$1,0)),"")="","",IFERROR(INDEX('RAID Log'!$1:$1048576,$B651,MATCH("Impact/Effect of the RAID",'RAID Log'!$1:$1,0)),"")))</f>
        <v/>
      </c>
      <c r="E651" s="85" t="str">
        <f>IF($B651="","",IF(IFERROR(INDEX('RAID Log'!$1:$1048576,$B651,MATCH("Impact Area",'RAID Log'!$1:$1,0)),"")="","",IFERROR(INDEX('RAID Log'!$1:$1048576,$B651,MATCH("Impact Area",'RAID Log'!$1:$1,0)),"")))</f>
        <v/>
      </c>
      <c r="F651" s="85" t="str">
        <f>IF($B651="","",IF(IFERROR(INDEX('RAID Log'!$1:$1048576,$B651,MATCH("Impact Area",'RAID Log'!$1:$1,0)),"")="","",IFERROR(INDEX('RAID Log'!$1:$1048576,$B651,MATCH("Impact Area",'RAID Log'!$1:$1,0)),"")))</f>
        <v/>
      </c>
      <c r="G651" s="85" t="str">
        <f>IF($B651="","",IF(IFERROR(INDEX('RAID Log'!$1:$1048576,$B651,MATCH("Impact Rating",'RAID Log'!$1:$1,0)),"")="","",IFERROR(INDEX('RAID Log'!$1:$1048576,$B651,MATCH("Impact Rating",'RAID Log'!$1:$1,0)),"")))</f>
        <v/>
      </c>
      <c r="H651" s="85" t="str">
        <f>IF($B651="","",IF(IFERROR(INDEX('RAID Log'!$1:$1048576,$B651,MATCH("Initial Probability",'RAID Log'!$1:$1,0)),"")="","",IFERROR(INDEX('RAID Log'!$1:$1048576,$B651,MATCH("Initial Probability",'RAID Log'!$1:$1,0)),"")))</f>
        <v/>
      </c>
      <c r="I651" s="86" t="str">
        <f t="shared" si="30"/>
        <v/>
      </c>
      <c r="J651" s="85" t="str">
        <f t="shared" si="31"/>
        <v/>
      </c>
      <c r="K651" s="86" t="str">
        <f t="shared" si="32"/>
        <v/>
      </c>
      <c r="L651" s="85" t="str">
        <f>IF($B651="","",IF(IFERROR(INDEX('RAID Log'!$1:$1048576,$B651,MATCH("Status",'RAID Log'!$1:$1,0)),"")="","",IFERROR(INDEX('RAID Log'!$1:$1048576,$B651,MATCH("Status",'RAID Log'!$1:$1,0)),"")))</f>
        <v/>
      </c>
      <c r="M651" s="85" t="str">
        <f>IF($B651="","",IF(IFERROR(INDEX('RAID Log'!$1:$1048576,$B651,MATCH("RAID Owner",'RAID Log'!$1:$1,0)),"")="","",IFERROR(INDEX('RAID Log'!$1:$1048576,$B651,MATCH("RAID Owner",'RAID Log'!$1:$1,0)),"")))</f>
        <v/>
      </c>
      <c r="N651" s="87" t="str">
        <f>IF($B651="","",IF(IFERROR(INDEX('RAID Log'!$1:$1048576,$B651,MATCH("Date Raised",'RAID Log'!$1:$1,0)),"")="","",IFERROR(INDEX('RAID Log'!$1:$1048576,$B651,MATCH("Date Raised",'RAID Log'!$1:$1,0)),"")))</f>
        <v/>
      </c>
      <c r="O651" s="87" t="str">
        <f>IF($B651="","",IF(IFERROR(INDEX('RAID Log'!$1:$1048576,$B651,MATCH("Closed Date",'RAID Log'!$1:$1,0)),"")="","",IFERROR(INDEX('RAID Log'!$1:$1048576,$B651,MATCH("Closed Date",'RAID Log'!$1:$1,0)),"")))</f>
        <v/>
      </c>
      <c r="P651" s="85" t="str">
        <f>IF($B651="","",IF(IFERROR(INDEX('RAID Log'!$1:$1048576,$B651,MATCH("Mitigation Strategy",'RAID Log'!$1:$1,0)),"")="","",IFERROR(INDEX('RAID Log'!$1:$1048576,$B651,MATCH("Mitigation Strategy",'RAID Log'!$1:$1,0)),"")))</f>
        <v/>
      </c>
      <c r="Q651" s="88" t="str">
        <f>IF($B651="","",IF(IFERROR(INDEX('RAID Log'!$1:$1048576,$B651,MATCH("RAID Response/Plan",'RAID Log'!$1:$1,0)),"")="","",IFERROR(INDEX('RAID Log'!$1:$1048576,$B651,MATCH("RAID Response/Plan",'RAID Log'!$1:$1,0)),"")))</f>
        <v/>
      </c>
    </row>
    <row r="652" spans="1:17" ht="14.25" customHeight="1">
      <c r="A652" s="82" t="str">
        <f>IF($B652="","",IF(IFERROR(INDEX('RAID Log'!$1:$1048576,$B652,MATCH("RAID ID",'RAID Log'!$1:$1,0)),"")="","",IFERROR(INDEX('RAID Log'!$1:$1048576,$B652,MATCH("RAID ID",'RAID Log'!$1:$1,0)),"")))</f>
        <v/>
      </c>
      <c r="B652" s="83" t="str">
        <f>IFERROR(MATCH(ROW()-1,'RAID Log'!$S:$S,0),"")</f>
        <v/>
      </c>
      <c r="C652" s="84" t="str">
        <f>IF($B652="","",IF(IFERROR(INDEX('RAID Log'!$1:$1048576,$B652,MATCH("Description",'RAID Log'!$1:$1,0)),"")="","",IFERROR(INDEX('RAID Log'!$1:$1048576,$B652,MATCH("Description",'RAID Log'!$1:$1,0)),"")))</f>
        <v/>
      </c>
      <c r="D652" s="84" t="str">
        <f>IF($B652="","",IF(IFERROR(INDEX('RAID Log'!$1:$1048576,$B652,MATCH("Impact/Effect of the RAID",'RAID Log'!$1:$1,0)),"")="","",IFERROR(INDEX('RAID Log'!$1:$1048576,$B652,MATCH("Impact/Effect of the RAID",'RAID Log'!$1:$1,0)),"")))</f>
        <v/>
      </c>
      <c r="E652" s="85" t="str">
        <f>IF($B652="","",IF(IFERROR(INDEX('RAID Log'!$1:$1048576,$B652,MATCH("Impact Area",'RAID Log'!$1:$1,0)),"")="","",IFERROR(INDEX('RAID Log'!$1:$1048576,$B652,MATCH("Impact Area",'RAID Log'!$1:$1,0)),"")))</f>
        <v/>
      </c>
      <c r="F652" s="85" t="str">
        <f>IF($B652="","",IF(IFERROR(INDEX('RAID Log'!$1:$1048576,$B652,MATCH("Impact Area",'RAID Log'!$1:$1,0)),"")="","",IFERROR(INDEX('RAID Log'!$1:$1048576,$B652,MATCH("Impact Area",'RAID Log'!$1:$1,0)),"")))</f>
        <v/>
      </c>
      <c r="G652" s="85" t="str">
        <f>IF($B652="","",IF(IFERROR(INDEX('RAID Log'!$1:$1048576,$B652,MATCH("Impact Rating",'RAID Log'!$1:$1,0)),"")="","",IFERROR(INDEX('RAID Log'!$1:$1048576,$B652,MATCH("Impact Rating",'RAID Log'!$1:$1,0)),"")))</f>
        <v/>
      </c>
      <c r="H652" s="85" t="str">
        <f>IF($B652="","",IF(IFERROR(INDEX('RAID Log'!$1:$1048576,$B652,MATCH("Initial Probability",'RAID Log'!$1:$1,0)),"")="","",IFERROR(INDEX('RAID Log'!$1:$1048576,$B652,MATCH("Initial Probability",'RAID Log'!$1:$1,0)),"")))</f>
        <v/>
      </c>
      <c r="I652" s="86" t="str">
        <f t="shared" si="30"/>
        <v/>
      </c>
      <c r="J652" s="85" t="str">
        <f t="shared" si="31"/>
        <v/>
      </c>
      <c r="K652" s="86" t="str">
        <f t="shared" si="32"/>
        <v/>
      </c>
      <c r="L652" s="85" t="str">
        <f>IF($B652="","",IF(IFERROR(INDEX('RAID Log'!$1:$1048576,$B652,MATCH("Status",'RAID Log'!$1:$1,0)),"")="","",IFERROR(INDEX('RAID Log'!$1:$1048576,$B652,MATCH("Status",'RAID Log'!$1:$1,0)),"")))</f>
        <v/>
      </c>
      <c r="M652" s="85" t="str">
        <f>IF($B652="","",IF(IFERROR(INDEX('RAID Log'!$1:$1048576,$B652,MATCH("RAID Owner",'RAID Log'!$1:$1,0)),"")="","",IFERROR(INDEX('RAID Log'!$1:$1048576,$B652,MATCH("RAID Owner",'RAID Log'!$1:$1,0)),"")))</f>
        <v/>
      </c>
      <c r="N652" s="87" t="str">
        <f>IF($B652="","",IF(IFERROR(INDEX('RAID Log'!$1:$1048576,$B652,MATCH("Date Raised",'RAID Log'!$1:$1,0)),"")="","",IFERROR(INDEX('RAID Log'!$1:$1048576,$B652,MATCH("Date Raised",'RAID Log'!$1:$1,0)),"")))</f>
        <v/>
      </c>
      <c r="O652" s="87" t="str">
        <f>IF($B652="","",IF(IFERROR(INDEX('RAID Log'!$1:$1048576,$B652,MATCH("Closed Date",'RAID Log'!$1:$1,0)),"")="","",IFERROR(INDEX('RAID Log'!$1:$1048576,$B652,MATCH("Closed Date",'RAID Log'!$1:$1,0)),"")))</f>
        <v/>
      </c>
      <c r="P652" s="85" t="str">
        <f>IF($B652="","",IF(IFERROR(INDEX('RAID Log'!$1:$1048576,$B652,MATCH("Mitigation Strategy",'RAID Log'!$1:$1,0)),"")="","",IFERROR(INDEX('RAID Log'!$1:$1048576,$B652,MATCH("Mitigation Strategy",'RAID Log'!$1:$1,0)),"")))</f>
        <v/>
      </c>
      <c r="Q652" s="88" t="str">
        <f>IF($B652="","",IF(IFERROR(INDEX('RAID Log'!$1:$1048576,$B652,MATCH("RAID Response/Plan",'RAID Log'!$1:$1,0)),"")="","",IFERROR(INDEX('RAID Log'!$1:$1048576,$B652,MATCH("RAID Response/Plan",'RAID Log'!$1:$1,0)),"")))</f>
        <v/>
      </c>
    </row>
    <row r="653" spans="1:17" ht="14.25" customHeight="1">
      <c r="A653" s="82" t="str">
        <f>IF($B653="","",IF(IFERROR(INDEX('RAID Log'!$1:$1048576,$B653,MATCH("RAID ID",'RAID Log'!$1:$1,0)),"")="","",IFERROR(INDEX('RAID Log'!$1:$1048576,$B653,MATCH("RAID ID",'RAID Log'!$1:$1,0)),"")))</f>
        <v/>
      </c>
      <c r="B653" s="83" t="str">
        <f>IFERROR(MATCH(ROW()-1,'RAID Log'!$S:$S,0),"")</f>
        <v/>
      </c>
      <c r="C653" s="84" t="str">
        <f>IF($B653="","",IF(IFERROR(INDEX('RAID Log'!$1:$1048576,$B653,MATCH("Description",'RAID Log'!$1:$1,0)),"")="","",IFERROR(INDEX('RAID Log'!$1:$1048576,$B653,MATCH("Description",'RAID Log'!$1:$1,0)),"")))</f>
        <v/>
      </c>
      <c r="D653" s="84" t="str">
        <f>IF($B653="","",IF(IFERROR(INDEX('RAID Log'!$1:$1048576,$B653,MATCH("Impact/Effect of the RAID",'RAID Log'!$1:$1,0)),"")="","",IFERROR(INDEX('RAID Log'!$1:$1048576,$B653,MATCH("Impact/Effect of the RAID",'RAID Log'!$1:$1,0)),"")))</f>
        <v/>
      </c>
      <c r="E653" s="85" t="str">
        <f>IF($B653="","",IF(IFERROR(INDEX('RAID Log'!$1:$1048576,$B653,MATCH("Impact Area",'RAID Log'!$1:$1,0)),"")="","",IFERROR(INDEX('RAID Log'!$1:$1048576,$B653,MATCH("Impact Area",'RAID Log'!$1:$1,0)),"")))</f>
        <v/>
      </c>
      <c r="F653" s="85" t="str">
        <f>IF($B653="","",IF(IFERROR(INDEX('RAID Log'!$1:$1048576,$B653,MATCH("Impact Area",'RAID Log'!$1:$1,0)),"")="","",IFERROR(INDEX('RAID Log'!$1:$1048576,$B653,MATCH("Impact Area",'RAID Log'!$1:$1,0)),"")))</f>
        <v/>
      </c>
      <c r="G653" s="85" t="str">
        <f>IF($B653="","",IF(IFERROR(INDEX('RAID Log'!$1:$1048576,$B653,MATCH("Impact Rating",'RAID Log'!$1:$1,0)),"")="","",IFERROR(INDEX('RAID Log'!$1:$1048576,$B653,MATCH("Impact Rating",'RAID Log'!$1:$1,0)),"")))</f>
        <v/>
      </c>
      <c r="H653" s="85" t="str">
        <f>IF($B653="","",IF(IFERROR(INDEX('RAID Log'!$1:$1048576,$B653,MATCH("Initial Probability",'RAID Log'!$1:$1,0)),"")="","",IFERROR(INDEX('RAID Log'!$1:$1048576,$B653,MATCH("Initial Probability",'RAID Log'!$1:$1,0)),"")))</f>
        <v/>
      </c>
      <c r="I653" s="86" t="str">
        <f t="shared" si="30"/>
        <v/>
      </c>
      <c r="J653" s="85" t="str">
        <f t="shared" si="31"/>
        <v/>
      </c>
      <c r="K653" s="86" t="str">
        <f t="shared" si="32"/>
        <v/>
      </c>
      <c r="L653" s="85" t="str">
        <f>IF($B653="","",IF(IFERROR(INDEX('RAID Log'!$1:$1048576,$B653,MATCH("Status",'RAID Log'!$1:$1,0)),"")="","",IFERROR(INDEX('RAID Log'!$1:$1048576,$B653,MATCH("Status",'RAID Log'!$1:$1,0)),"")))</f>
        <v/>
      </c>
      <c r="M653" s="85" t="str">
        <f>IF($B653="","",IF(IFERROR(INDEX('RAID Log'!$1:$1048576,$B653,MATCH("RAID Owner",'RAID Log'!$1:$1,0)),"")="","",IFERROR(INDEX('RAID Log'!$1:$1048576,$B653,MATCH("RAID Owner",'RAID Log'!$1:$1,0)),"")))</f>
        <v/>
      </c>
      <c r="N653" s="87" t="str">
        <f>IF($B653="","",IF(IFERROR(INDEX('RAID Log'!$1:$1048576,$B653,MATCH("Date Raised",'RAID Log'!$1:$1,0)),"")="","",IFERROR(INDEX('RAID Log'!$1:$1048576,$B653,MATCH("Date Raised",'RAID Log'!$1:$1,0)),"")))</f>
        <v/>
      </c>
      <c r="O653" s="87" t="str">
        <f>IF($B653="","",IF(IFERROR(INDEX('RAID Log'!$1:$1048576,$B653,MATCH("Closed Date",'RAID Log'!$1:$1,0)),"")="","",IFERROR(INDEX('RAID Log'!$1:$1048576,$B653,MATCH("Closed Date",'RAID Log'!$1:$1,0)),"")))</f>
        <v/>
      </c>
      <c r="P653" s="85" t="str">
        <f>IF($B653="","",IF(IFERROR(INDEX('RAID Log'!$1:$1048576,$B653,MATCH("Mitigation Strategy",'RAID Log'!$1:$1,0)),"")="","",IFERROR(INDEX('RAID Log'!$1:$1048576,$B653,MATCH("Mitigation Strategy",'RAID Log'!$1:$1,0)),"")))</f>
        <v/>
      </c>
      <c r="Q653" s="88" t="str">
        <f>IF($B653="","",IF(IFERROR(INDEX('RAID Log'!$1:$1048576,$B653,MATCH("RAID Response/Plan",'RAID Log'!$1:$1,0)),"")="","",IFERROR(INDEX('RAID Log'!$1:$1048576,$B653,MATCH("RAID Response/Plan",'RAID Log'!$1:$1,0)),"")))</f>
        <v/>
      </c>
    </row>
    <row r="654" spans="1:17" ht="14.25" customHeight="1">
      <c r="A654" s="82" t="str">
        <f>IF($B654="","",IF(IFERROR(INDEX('RAID Log'!$1:$1048576,$B654,MATCH("RAID ID",'RAID Log'!$1:$1,0)),"")="","",IFERROR(INDEX('RAID Log'!$1:$1048576,$B654,MATCH("RAID ID",'RAID Log'!$1:$1,0)),"")))</f>
        <v/>
      </c>
      <c r="B654" s="83" t="str">
        <f>IFERROR(MATCH(ROW()-1,'RAID Log'!$S:$S,0),"")</f>
        <v/>
      </c>
      <c r="C654" s="84" t="str">
        <f>IF($B654="","",IF(IFERROR(INDEX('RAID Log'!$1:$1048576,$B654,MATCH("Description",'RAID Log'!$1:$1,0)),"")="","",IFERROR(INDEX('RAID Log'!$1:$1048576,$B654,MATCH("Description",'RAID Log'!$1:$1,0)),"")))</f>
        <v/>
      </c>
      <c r="D654" s="84" t="str">
        <f>IF($B654="","",IF(IFERROR(INDEX('RAID Log'!$1:$1048576,$B654,MATCH("Impact/Effect of the RAID",'RAID Log'!$1:$1,0)),"")="","",IFERROR(INDEX('RAID Log'!$1:$1048576,$B654,MATCH("Impact/Effect of the RAID",'RAID Log'!$1:$1,0)),"")))</f>
        <v/>
      </c>
      <c r="E654" s="85" t="str">
        <f>IF($B654="","",IF(IFERROR(INDEX('RAID Log'!$1:$1048576,$B654,MATCH("Impact Area",'RAID Log'!$1:$1,0)),"")="","",IFERROR(INDEX('RAID Log'!$1:$1048576,$B654,MATCH("Impact Area",'RAID Log'!$1:$1,0)),"")))</f>
        <v/>
      </c>
      <c r="F654" s="85" t="str">
        <f>IF($B654="","",IF(IFERROR(INDEX('RAID Log'!$1:$1048576,$B654,MATCH("Impact Area",'RAID Log'!$1:$1,0)),"")="","",IFERROR(INDEX('RAID Log'!$1:$1048576,$B654,MATCH("Impact Area",'RAID Log'!$1:$1,0)),"")))</f>
        <v/>
      </c>
      <c r="G654" s="85" t="str">
        <f>IF($B654="","",IF(IFERROR(INDEX('RAID Log'!$1:$1048576,$B654,MATCH("Impact Rating",'RAID Log'!$1:$1,0)),"")="","",IFERROR(INDEX('RAID Log'!$1:$1048576,$B654,MATCH("Impact Rating",'RAID Log'!$1:$1,0)),"")))</f>
        <v/>
      </c>
      <c r="H654" s="85" t="str">
        <f>IF($B654="","",IF(IFERROR(INDEX('RAID Log'!$1:$1048576,$B654,MATCH("Initial Probability",'RAID Log'!$1:$1,0)),"")="","",IFERROR(INDEX('RAID Log'!$1:$1048576,$B654,MATCH("Initial Probability",'RAID Log'!$1:$1,0)),"")))</f>
        <v/>
      </c>
      <c r="I654" s="86" t="str">
        <f t="shared" si="30"/>
        <v/>
      </c>
      <c r="J654" s="85" t="str">
        <f t="shared" si="31"/>
        <v/>
      </c>
      <c r="K654" s="86" t="str">
        <f t="shared" si="32"/>
        <v/>
      </c>
      <c r="L654" s="85" t="str">
        <f>IF($B654="","",IF(IFERROR(INDEX('RAID Log'!$1:$1048576,$B654,MATCH("Status",'RAID Log'!$1:$1,0)),"")="","",IFERROR(INDEX('RAID Log'!$1:$1048576,$B654,MATCH("Status",'RAID Log'!$1:$1,0)),"")))</f>
        <v/>
      </c>
      <c r="M654" s="85" t="str">
        <f>IF($B654="","",IF(IFERROR(INDEX('RAID Log'!$1:$1048576,$B654,MATCH("RAID Owner",'RAID Log'!$1:$1,0)),"")="","",IFERROR(INDEX('RAID Log'!$1:$1048576,$B654,MATCH("RAID Owner",'RAID Log'!$1:$1,0)),"")))</f>
        <v/>
      </c>
      <c r="N654" s="87" t="str">
        <f>IF($B654="","",IF(IFERROR(INDEX('RAID Log'!$1:$1048576,$B654,MATCH("Date Raised",'RAID Log'!$1:$1,0)),"")="","",IFERROR(INDEX('RAID Log'!$1:$1048576,$B654,MATCH("Date Raised",'RAID Log'!$1:$1,0)),"")))</f>
        <v/>
      </c>
      <c r="O654" s="87" t="str">
        <f>IF($B654="","",IF(IFERROR(INDEX('RAID Log'!$1:$1048576,$B654,MATCH("Closed Date",'RAID Log'!$1:$1,0)),"")="","",IFERROR(INDEX('RAID Log'!$1:$1048576,$B654,MATCH("Closed Date",'RAID Log'!$1:$1,0)),"")))</f>
        <v/>
      </c>
      <c r="P654" s="85" t="str">
        <f>IF($B654="","",IF(IFERROR(INDEX('RAID Log'!$1:$1048576,$B654,MATCH("Mitigation Strategy",'RAID Log'!$1:$1,0)),"")="","",IFERROR(INDEX('RAID Log'!$1:$1048576,$B654,MATCH("Mitigation Strategy",'RAID Log'!$1:$1,0)),"")))</f>
        <v/>
      </c>
      <c r="Q654" s="88" t="str">
        <f>IF($B654="","",IF(IFERROR(INDEX('RAID Log'!$1:$1048576,$B654,MATCH("RAID Response/Plan",'RAID Log'!$1:$1,0)),"")="","",IFERROR(INDEX('RAID Log'!$1:$1048576,$B654,MATCH("RAID Response/Plan",'RAID Log'!$1:$1,0)),"")))</f>
        <v/>
      </c>
    </row>
    <row r="655" spans="1:17" ht="14.25" customHeight="1">
      <c r="A655" s="82" t="str">
        <f>IF($B655="","",IF(IFERROR(INDEX('RAID Log'!$1:$1048576,$B655,MATCH("RAID ID",'RAID Log'!$1:$1,0)),"")="","",IFERROR(INDEX('RAID Log'!$1:$1048576,$B655,MATCH("RAID ID",'RAID Log'!$1:$1,0)),"")))</f>
        <v/>
      </c>
      <c r="B655" s="83" t="str">
        <f>IFERROR(MATCH(ROW()-1,'RAID Log'!$S:$S,0),"")</f>
        <v/>
      </c>
      <c r="C655" s="84" t="str">
        <f>IF($B655="","",IF(IFERROR(INDEX('RAID Log'!$1:$1048576,$B655,MATCH("Description",'RAID Log'!$1:$1,0)),"")="","",IFERROR(INDEX('RAID Log'!$1:$1048576,$B655,MATCH("Description",'RAID Log'!$1:$1,0)),"")))</f>
        <v/>
      </c>
      <c r="D655" s="84" t="str">
        <f>IF($B655="","",IF(IFERROR(INDEX('RAID Log'!$1:$1048576,$B655,MATCH("Impact/Effect of the RAID",'RAID Log'!$1:$1,0)),"")="","",IFERROR(INDEX('RAID Log'!$1:$1048576,$B655,MATCH("Impact/Effect of the RAID",'RAID Log'!$1:$1,0)),"")))</f>
        <v/>
      </c>
      <c r="E655" s="85" t="str">
        <f>IF($B655="","",IF(IFERROR(INDEX('RAID Log'!$1:$1048576,$B655,MATCH("Impact Area",'RAID Log'!$1:$1,0)),"")="","",IFERROR(INDEX('RAID Log'!$1:$1048576,$B655,MATCH("Impact Area",'RAID Log'!$1:$1,0)),"")))</f>
        <v/>
      </c>
      <c r="F655" s="85" t="str">
        <f>IF($B655="","",IF(IFERROR(INDEX('RAID Log'!$1:$1048576,$B655,MATCH("Impact Area",'RAID Log'!$1:$1,0)),"")="","",IFERROR(INDEX('RAID Log'!$1:$1048576,$B655,MATCH("Impact Area",'RAID Log'!$1:$1,0)),"")))</f>
        <v/>
      </c>
      <c r="G655" s="85" t="str">
        <f>IF($B655="","",IF(IFERROR(INDEX('RAID Log'!$1:$1048576,$B655,MATCH("Impact Rating",'RAID Log'!$1:$1,0)),"")="","",IFERROR(INDEX('RAID Log'!$1:$1048576,$B655,MATCH("Impact Rating",'RAID Log'!$1:$1,0)),"")))</f>
        <v/>
      </c>
      <c r="H655" s="85" t="str">
        <f>IF($B655="","",IF(IFERROR(INDEX('RAID Log'!$1:$1048576,$B655,MATCH("Initial Probability",'RAID Log'!$1:$1,0)),"")="","",IFERROR(INDEX('RAID Log'!$1:$1048576,$B655,MATCH("Initial Probability",'RAID Log'!$1:$1,0)),"")))</f>
        <v/>
      </c>
      <c r="I655" s="86" t="str">
        <f t="shared" si="30"/>
        <v/>
      </c>
      <c r="J655" s="85" t="str">
        <f t="shared" si="31"/>
        <v/>
      </c>
      <c r="K655" s="86" t="str">
        <f t="shared" si="32"/>
        <v/>
      </c>
      <c r="L655" s="85" t="str">
        <f>IF($B655="","",IF(IFERROR(INDEX('RAID Log'!$1:$1048576,$B655,MATCH("Status",'RAID Log'!$1:$1,0)),"")="","",IFERROR(INDEX('RAID Log'!$1:$1048576,$B655,MATCH("Status",'RAID Log'!$1:$1,0)),"")))</f>
        <v/>
      </c>
      <c r="M655" s="85" t="str">
        <f>IF($B655="","",IF(IFERROR(INDEX('RAID Log'!$1:$1048576,$B655,MATCH("RAID Owner",'RAID Log'!$1:$1,0)),"")="","",IFERROR(INDEX('RAID Log'!$1:$1048576,$B655,MATCH("RAID Owner",'RAID Log'!$1:$1,0)),"")))</f>
        <v/>
      </c>
      <c r="N655" s="87" t="str">
        <f>IF($B655="","",IF(IFERROR(INDEX('RAID Log'!$1:$1048576,$B655,MATCH("Date Raised",'RAID Log'!$1:$1,0)),"")="","",IFERROR(INDEX('RAID Log'!$1:$1048576,$B655,MATCH("Date Raised",'RAID Log'!$1:$1,0)),"")))</f>
        <v/>
      </c>
      <c r="O655" s="87" t="str">
        <f>IF($B655="","",IF(IFERROR(INDEX('RAID Log'!$1:$1048576,$B655,MATCH("Closed Date",'RAID Log'!$1:$1,0)),"")="","",IFERROR(INDEX('RAID Log'!$1:$1048576,$B655,MATCH("Closed Date",'RAID Log'!$1:$1,0)),"")))</f>
        <v/>
      </c>
      <c r="P655" s="85" t="str">
        <f>IF($B655="","",IF(IFERROR(INDEX('RAID Log'!$1:$1048576,$B655,MATCH("Mitigation Strategy",'RAID Log'!$1:$1,0)),"")="","",IFERROR(INDEX('RAID Log'!$1:$1048576,$B655,MATCH("Mitigation Strategy",'RAID Log'!$1:$1,0)),"")))</f>
        <v/>
      </c>
      <c r="Q655" s="88" t="str">
        <f>IF($B655="","",IF(IFERROR(INDEX('RAID Log'!$1:$1048576,$B655,MATCH("RAID Response/Plan",'RAID Log'!$1:$1,0)),"")="","",IFERROR(INDEX('RAID Log'!$1:$1048576,$B655,MATCH("RAID Response/Plan",'RAID Log'!$1:$1,0)),"")))</f>
        <v/>
      </c>
    </row>
    <row r="656" spans="1:17" ht="14.25" customHeight="1">
      <c r="A656" s="82" t="str">
        <f>IF($B656="","",IF(IFERROR(INDEX('RAID Log'!$1:$1048576,$B656,MATCH("RAID ID",'RAID Log'!$1:$1,0)),"")="","",IFERROR(INDEX('RAID Log'!$1:$1048576,$B656,MATCH("RAID ID",'RAID Log'!$1:$1,0)),"")))</f>
        <v/>
      </c>
      <c r="B656" s="83" t="str">
        <f>IFERROR(MATCH(ROW()-1,'RAID Log'!$S:$S,0),"")</f>
        <v/>
      </c>
      <c r="C656" s="84" t="str">
        <f>IF($B656="","",IF(IFERROR(INDEX('RAID Log'!$1:$1048576,$B656,MATCH("Description",'RAID Log'!$1:$1,0)),"")="","",IFERROR(INDEX('RAID Log'!$1:$1048576,$B656,MATCH("Description",'RAID Log'!$1:$1,0)),"")))</f>
        <v/>
      </c>
      <c r="D656" s="84" t="str">
        <f>IF($B656="","",IF(IFERROR(INDEX('RAID Log'!$1:$1048576,$B656,MATCH("Impact/Effect of the RAID",'RAID Log'!$1:$1,0)),"")="","",IFERROR(INDEX('RAID Log'!$1:$1048576,$B656,MATCH("Impact/Effect of the RAID",'RAID Log'!$1:$1,0)),"")))</f>
        <v/>
      </c>
      <c r="E656" s="85" t="str">
        <f>IF($B656="","",IF(IFERROR(INDEX('RAID Log'!$1:$1048576,$B656,MATCH("Impact Area",'RAID Log'!$1:$1,0)),"")="","",IFERROR(INDEX('RAID Log'!$1:$1048576,$B656,MATCH("Impact Area",'RAID Log'!$1:$1,0)),"")))</f>
        <v/>
      </c>
      <c r="F656" s="85" t="str">
        <f>IF($B656="","",IF(IFERROR(INDEX('RAID Log'!$1:$1048576,$B656,MATCH("Impact Area",'RAID Log'!$1:$1,0)),"")="","",IFERROR(INDEX('RAID Log'!$1:$1048576,$B656,MATCH("Impact Area",'RAID Log'!$1:$1,0)),"")))</f>
        <v/>
      </c>
      <c r="G656" s="85" t="str">
        <f>IF($B656="","",IF(IFERROR(INDEX('RAID Log'!$1:$1048576,$B656,MATCH("Impact Rating",'RAID Log'!$1:$1,0)),"")="","",IFERROR(INDEX('RAID Log'!$1:$1048576,$B656,MATCH("Impact Rating",'RAID Log'!$1:$1,0)),"")))</f>
        <v/>
      </c>
      <c r="H656" s="85" t="str">
        <f>IF($B656="","",IF(IFERROR(INDEX('RAID Log'!$1:$1048576,$B656,MATCH("Initial Probability",'RAID Log'!$1:$1,0)),"")="","",IFERROR(INDEX('RAID Log'!$1:$1048576,$B656,MATCH("Initial Probability",'RAID Log'!$1:$1,0)),"")))</f>
        <v/>
      </c>
      <c r="I656" s="86" t="str">
        <f t="shared" si="30"/>
        <v/>
      </c>
      <c r="J656" s="85" t="str">
        <f t="shared" si="31"/>
        <v/>
      </c>
      <c r="K656" s="86" t="str">
        <f t="shared" si="32"/>
        <v/>
      </c>
      <c r="L656" s="85" t="str">
        <f>IF($B656="","",IF(IFERROR(INDEX('RAID Log'!$1:$1048576,$B656,MATCH("Status",'RAID Log'!$1:$1,0)),"")="","",IFERROR(INDEX('RAID Log'!$1:$1048576,$B656,MATCH("Status",'RAID Log'!$1:$1,0)),"")))</f>
        <v/>
      </c>
      <c r="M656" s="85" t="str">
        <f>IF($B656="","",IF(IFERROR(INDEX('RAID Log'!$1:$1048576,$B656,MATCH("RAID Owner",'RAID Log'!$1:$1,0)),"")="","",IFERROR(INDEX('RAID Log'!$1:$1048576,$B656,MATCH("RAID Owner",'RAID Log'!$1:$1,0)),"")))</f>
        <v/>
      </c>
      <c r="N656" s="87" t="str">
        <f>IF($B656="","",IF(IFERROR(INDEX('RAID Log'!$1:$1048576,$B656,MATCH("Date Raised",'RAID Log'!$1:$1,0)),"")="","",IFERROR(INDEX('RAID Log'!$1:$1048576,$B656,MATCH("Date Raised",'RAID Log'!$1:$1,0)),"")))</f>
        <v/>
      </c>
      <c r="O656" s="87" t="str">
        <f>IF($B656="","",IF(IFERROR(INDEX('RAID Log'!$1:$1048576,$B656,MATCH("Closed Date",'RAID Log'!$1:$1,0)),"")="","",IFERROR(INDEX('RAID Log'!$1:$1048576,$B656,MATCH("Closed Date",'RAID Log'!$1:$1,0)),"")))</f>
        <v/>
      </c>
      <c r="P656" s="85" t="str">
        <f>IF($B656="","",IF(IFERROR(INDEX('RAID Log'!$1:$1048576,$B656,MATCH("Mitigation Strategy",'RAID Log'!$1:$1,0)),"")="","",IFERROR(INDEX('RAID Log'!$1:$1048576,$B656,MATCH("Mitigation Strategy",'RAID Log'!$1:$1,0)),"")))</f>
        <v/>
      </c>
      <c r="Q656" s="88" t="str">
        <f>IF($B656="","",IF(IFERROR(INDEX('RAID Log'!$1:$1048576,$B656,MATCH("RAID Response/Plan",'RAID Log'!$1:$1,0)),"")="","",IFERROR(INDEX('RAID Log'!$1:$1048576,$B656,MATCH("RAID Response/Plan",'RAID Log'!$1:$1,0)),"")))</f>
        <v/>
      </c>
    </row>
    <row r="657" spans="1:17" ht="14.25" customHeight="1">
      <c r="A657" s="82" t="str">
        <f>IF($B657="","",IF(IFERROR(INDEX('RAID Log'!$1:$1048576,$B657,MATCH("RAID ID",'RAID Log'!$1:$1,0)),"")="","",IFERROR(INDEX('RAID Log'!$1:$1048576,$B657,MATCH("RAID ID",'RAID Log'!$1:$1,0)),"")))</f>
        <v/>
      </c>
      <c r="B657" s="83" t="str">
        <f>IFERROR(MATCH(ROW()-1,'RAID Log'!$S:$S,0),"")</f>
        <v/>
      </c>
      <c r="C657" s="84" t="str">
        <f>IF($B657="","",IF(IFERROR(INDEX('RAID Log'!$1:$1048576,$B657,MATCH("Description",'RAID Log'!$1:$1,0)),"")="","",IFERROR(INDEX('RAID Log'!$1:$1048576,$B657,MATCH("Description",'RAID Log'!$1:$1,0)),"")))</f>
        <v/>
      </c>
      <c r="D657" s="84" t="str">
        <f>IF($B657="","",IF(IFERROR(INDEX('RAID Log'!$1:$1048576,$B657,MATCH("Impact/Effect of the RAID",'RAID Log'!$1:$1,0)),"")="","",IFERROR(INDEX('RAID Log'!$1:$1048576,$B657,MATCH("Impact/Effect of the RAID",'RAID Log'!$1:$1,0)),"")))</f>
        <v/>
      </c>
      <c r="E657" s="85" t="str">
        <f>IF($B657="","",IF(IFERROR(INDEX('RAID Log'!$1:$1048576,$B657,MATCH("Impact Area",'RAID Log'!$1:$1,0)),"")="","",IFERROR(INDEX('RAID Log'!$1:$1048576,$B657,MATCH("Impact Area",'RAID Log'!$1:$1,0)),"")))</f>
        <v/>
      </c>
      <c r="F657" s="85" t="str">
        <f>IF($B657="","",IF(IFERROR(INDEX('RAID Log'!$1:$1048576,$B657,MATCH("Impact Area",'RAID Log'!$1:$1,0)),"")="","",IFERROR(INDEX('RAID Log'!$1:$1048576,$B657,MATCH("Impact Area",'RAID Log'!$1:$1,0)),"")))</f>
        <v/>
      </c>
      <c r="G657" s="85" t="str">
        <f>IF($B657="","",IF(IFERROR(INDEX('RAID Log'!$1:$1048576,$B657,MATCH("Impact Rating",'RAID Log'!$1:$1,0)),"")="","",IFERROR(INDEX('RAID Log'!$1:$1048576,$B657,MATCH("Impact Rating",'RAID Log'!$1:$1,0)),"")))</f>
        <v/>
      </c>
      <c r="H657" s="85" t="str">
        <f>IF($B657="","",IF(IFERROR(INDEX('RAID Log'!$1:$1048576,$B657,MATCH("Initial Probability",'RAID Log'!$1:$1,0)),"")="","",IFERROR(INDEX('RAID Log'!$1:$1048576,$B657,MATCH("Initial Probability",'RAID Log'!$1:$1,0)),"")))</f>
        <v/>
      </c>
      <c r="I657" s="86" t="str">
        <f t="shared" si="30"/>
        <v/>
      </c>
      <c r="J657" s="85" t="str">
        <f t="shared" si="31"/>
        <v/>
      </c>
      <c r="K657" s="86" t="str">
        <f t="shared" si="32"/>
        <v/>
      </c>
      <c r="L657" s="85" t="str">
        <f>IF($B657="","",IF(IFERROR(INDEX('RAID Log'!$1:$1048576,$B657,MATCH("Status",'RAID Log'!$1:$1,0)),"")="","",IFERROR(INDEX('RAID Log'!$1:$1048576,$B657,MATCH("Status",'RAID Log'!$1:$1,0)),"")))</f>
        <v/>
      </c>
      <c r="M657" s="85" t="str">
        <f>IF($B657="","",IF(IFERROR(INDEX('RAID Log'!$1:$1048576,$B657,MATCH("RAID Owner",'RAID Log'!$1:$1,0)),"")="","",IFERROR(INDEX('RAID Log'!$1:$1048576,$B657,MATCH("RAID Owner",'RAID Log'!$1:$1,0)),"")))</f>
        <v/>
      </c>
      <c r="N657" s="87" t="str">
        <f>IF($B657="","",IF(IFERROR(INDEX('RAID Log'!$1:$1048576,$B657,MATCH("Date Raised",'RAID Log'!$1:$1,0)),"")="","",IFERROR(INDEX('RAID Log'!$1:$1048576,$B657,MATCH("Date Raised",'RAID Log'!$1:$1,0)),"")))</f>
        <v/>
      </c>
      <c r="O657" s="87" t="str">
        <f>IF($B657="","",IF(IFERROR(INDEX('RAID Log'!$1:$1048576,$B657,MATCH("Closed Date",'RAID Log'!$1:$1,0)),"")="","",IFERROR(INDEX('RAID Log'!$1:$1048576,$B657,MATCH("Closed Date",'RAID Log'!$1:$1,0)),"")))</f>
        <v/>
      </c>
      <c r="P657" s="85" t="str">
        <f>IF($B657="","",IF(IFERROR(INDEX('RAID Log'!$1:$1048576,$B657,MATCH("Mitigation Strategy",'RAID Log'!$1:$1,0)),"")="","",IFERROR(INDEX('RAID Log'!$1:$1048576,$B657,MATCH("Mitigation Strategy",'RAID Log'!$1:$1,0)),"")))</f>
        <v/>
      </c>
      <c r="Q657" s="88" t="str">
        <f>IF($B657="","",IF(IFERROR(INDEX('RAID Log'!$1:$1048576,$B657,MATCH("RAID Response/Plan",'RAID Log'!$1:$1,0)),"")="","",IFERROR(INDEX('RAID Log'!$1:$1048576,$B657,MATCH("RAID Response/Plan",'RAID Log'!$1:$1,0)),"")))</f>
        <v/>
      </c>
    </row>
    <row r="658" spans="1:17" ht="14.25" customHeight="1">
      <c r="A658" s="82" t="str">
        <f>IF($B658="","",IF(IFERROR(INDEX('RAID Log'!$1:$1048576,$B658,MATCH("RAID ID",'RAID Log'!$1:$1,0)),"")="","",IFERROR(INDEX('RAID Log'!$1:$1048576,$B658,MATCH("RAID ID",'RAID Log'!$1:$1,0)),"")))</f>
        <v/>
      </c>
      <c r="B658" s="83" t="str">
        <f>IFERROR(MATCH(ROW()-1,'RAID Log'!$S:$S,0),"")</f>
        <v/>
      </c>
      <c r="C658" s="84" t="str">
        <f>IF($B658="","",IF(IFERROR(INDEX('RAID Log'!$1:$1048576,$B658,MATCH("Description",'RAID Log'!$1:$1,0)),"")="","",IFERROR(INDEX('RAID Log'!$1:$1048576,$B658,MATCH("Description",'RAID Log'!$1:$1,0)),"")))</f>
        <v/>
      </c>
      <c r="D658" s="84" t="str">
        <f>IF($B658="","",IF(IFERROR(INDEX('RAID Log'!$1:$1048576,$B658,MATCH("Impact/Effect of the RAID",'RAID Log'!$1:$1,0)),"")="","",IFERROR(INDEX('RAID Log'!$1:$1048576,$B658,MATCH("Impact/Effect of the RAID",'RAID Log'!$1:$1,0)),"")))</f>
        <v/>
      </c>
      <c r="E658" s="85" t="str">
        <f>IF($B658="","",IF(IFERROR(INDEX('RAID Log'!$1:$1048576,$B658,MATCH("Impact Area",'RAID Log'!$1:$1,0)),"")="","",IFERROR(INDEX('RAID Log'!$1:$1048576,$B658,MATCH("Impact Area",'RAID Log'!$1:$1,0)),"")))</f>
        <v/>
      </c>
      <c r="F658" s="85" t="str">
        <f>IF($B658="","",IF(IFERROR(INDEX('RAID Log'!$1:$1048576,$B658,MATCH("Impact Area",'RAID Log'!$1:$1,0)),"")="","",IFERROR(INDEX('RAID Log'!$1:$1048576,$B658,MATCH("Impact Area",'RAID Log'!$1:$1,0)),"")))</f>
        <v/>
      </c>
      <c r="G658" s="85" t="str">
        <f>IF($B658="","",IF(IFERROR(INDEX('RAID Log'!$1:$1048576,$B658,MATCH("Impact Rating",'RAID Log'!$1:$1,0)),"")="","",IFERROR(INDEX('RAID Log'!$1:$1048576,$B658,MATCH("Impact Rating",'RAID Log'!$1:$1,0)),"")))</f>
        <v/>
      </c>
      <c r="H658" s="85" t="str">
        <f>IF($B658="","",IF(IFERROR(INDEX('RAID Log'!$1:$1048576,$B658,MATCH("Initial Probability",'RAID Log'!$1:$1,0)),"")="","",IFERROR(INDEX('RAID Log'!$1:$1048576,$B658,MATCH("Initial Probability",'RAID Log'!$1:$1,0)),"")))</f>
        <v/>
      </c>
      <c r="I658" s="86" t="str">
        <f t="shared" si="30"/>
        <v/>
      </c>
      <c r="J658" s="85" t="str">
        <f t="shared" si="31"/>
        <v/>
      </c>
      <c r="K658" s="86" t="str">
        <f t="shared" si="32"/>
        <v/>
      </c>
      <c r="L658" s="85" t="str">
        <f>IF($B658="","",IF(IFERROR(INDEX('RAID Log'!$1:$1048576,$B658,MATCH("Status",'RAID Log'!$1:$1,0)),"")="","",IFERROR(INDEX('RAID Log'!$1:$1048576,$B658,MATCH("Status",'RAID Log'!$1:$1,0)),"")))</f>
        <v/>
      </c>
      <c r="M658" s="85" t="str">
        <f>IF($B658="","",IF(IFERROR(INDEX('RAID Log'!$1:$1048576,$B658,MATCH("RAID Owner",'RAID Log'!$1:$1,0)),"")="","",IFERROR(INDEX('RAID Log'!$1:$1048576,$B658,MATCH("RAID Owner",'RAID Log'!$1:$1,0)),"")))</f>
        <v/>
      </c>
      <c r="N658" s="87" t="str">
        <f>IF($B658="","",IF(IFERROR(INDEX('RAID Log'!$1:$1048576,$B658,MATCH("Date Raised",'RAID Log'!$1:$1,0)),"")="","",IFERROR(INDEX('RAID Log'!$1:$1048576,$B658,MATCH("Date Raised",'RAID Log'!$1:$1,0)),"")))</f>
        <v/>
      </c>
      <c r="O658" s="87" t="str">
        <f>IF($B658="","",IF(IFERROR(INDEX('RAID Log'!$1:$1048576,$B658,MATCH("Closed Date",'RAID Log'!$1:$1,0)),"")="","",IFERROR(INDEX('RAID Log'!$1:$1048576,$B658,MATCH("Closed Date",'RAID Log'!$1:$1,0)),"")))</f>
        <v/>
      </c>
      <c r="P658" s="85" t="str">
        <f>IF($B658="","",IF(IFERROR(INDEX('RAID Log'!$1:$1048576,$B658,MATCH("Mitigation Strategy",'RAID Log'!$1:$1,0)),"")="","",IFERROR(INDEX('RAID Log'!$1:$1048576,$B658,MATCH("Mitigation Strategy",'RAID Log'!$1:$1,0)),"")))</f>
        <v/>
      </c>
      <c r="Q658" s="88" t="str">
        <f>IF($B658="","",IF(IFERROR(INDEX('RAID Log'!$1:$1048576,$B658,MATCH("RAID Response/Plan",'RAID Log'!$1:$1,0)),"")="","",IFERROR(INDEX('RAID Log'!$1:$1048576,$B658,MATCH("RAID Response/Plan",'RAID Log'!$1:$1,0)),"")))</f>
        <v/>
      </c>
    </row>
    <row r="659" spans="1:17" ht="14.25" customHeight="1">
      <c r="A659" s="82" t="str">
        <f>IF($B659="","",IF(IFERROR(INDEX('RAID Log'!$1:$1048576,$B659,MATCH("RAID ID",'RAID Log'!$1:$1,0)),"")="","",IFERROR(INDEX('RAID Log'!$1:$1048576,$B659,MATCH("RAID ID",'RAID Log'!$1:$1,0)),"")))</f>
        <v/>
      </c>
      <c r="B659" s="83" t="str">
        <f>IFERROR(MATCH(ROW()-1,'RAID Log'!$S:$S,0),"")</f>
        <v/>
      </c>
      <c r="C659" s="84" t="str">
        <f>IF($B659="","",IF(IFERROR(INDEX('RAID Log'!$1:$1048576,$B659,MATCH("Description",'RAID Log'!$1:$1,0)),"")="","",IFERROR(INDEX('RAID Log'!$1:$1048576,$B659,MATCH("Description",'RAID Log'!$1:$1,0)),"")))</f>
        <v/>
      </c>
      <c r="D659" s="84" t="str">
        <f>IF($B659="","",IF(IFERROR(INDEX('RAID Log'!$1:$1048576,$B659,MATCH("Impact/Effect of the RAID",'RAID Log'!$1:$1,0)),"")="","",IFERROR(INDEX('RAID Log'!$1:$1048576,$B659,MATCH("Impact/Effect of the RAID",'RAID Log'!$1:$1,0)),"")))</f>
        <v/>
      </c>
      <c r="E659" s="85" t="str">
        <f>IF($B659="","",IF(IFERROR(INDEX('RAID Log'!$1:$1048576,$B659,MATCH("Impact Area",'RAID Log'!$1:$1,0)),"")="","",IFERROR(INDEX('RAID Log'!$1:$1048576,$B659,MATCH("Impact Area",'RAID Log'!$1:$1,0)),"")))</f>
        <v/>
      </c>
      <c r="F659" s="85" t="str">
        <f>IF($B659="","",IF(IFERROR(INDEX('RAID Log'!$1:$1048576,$B659,MATCH("Impact Area",'RAID Log'!$1:$1,0)),"")="","",IFERROR(INDEX('RAID Log'!$1:$1048576,$B659,MATCH("Impact Area",'RAID Log'!$1:$1,0)),"")))</f>
        <v/>
      </c>
      <c r="G659" s="85" t="str">
        <f>IF($B659="","",IF(IFERROR(INDEX('RAID Log'!$1:$1048576,$B659,MATCH("Impact Rating",'RAID Log'!$1:$1,0)),"")="","",IFERROR(INDEX('RAID Log'!$1:$1048576,$B659,MATCH("Impact Rating",'RAID Log'!$1:$1,0)),"")))</f>
        <v/>
      </c>
      <c r="H659" s="85" t="str">
        <f>IF($B659="","",IF(IFERROR(INDEX('RAID Log'!$1:$1048576,$B659,MATCH("Initial Probability",'RAID Log'!$1:$1,0)),"")="","",IFERROR(INDEX('RAID Log'!$1:$1048576,$B659,MATCH("Initial Probability",'RAID Log'!$1:$1,0)),"")))</f>
        <v/>
      </c>
      <c r="I659" s="86" t="str">
        <f t="shared" si="30"/>
        <v/>
      </c>
      <c r="J659" s="85" t="str">
        <f t="shared" si="31"/>
        <v/>
      </c>
      <c r="K659" s="86" t="str">
        <f t="shared" si="32"/>
        <v/>
      </c>
      <c r="L659" s="85" t="str">
        <f>IF($B659="","",IF(IFERROR(INDEX('RAID Log'!$1:$1048576,$B659,MATCH("Status",'RAID Log'!$1:$1,0)),"")="","",IFERROR(INDEX('RAID Log'!$1:$1048576,$B659,MATCH("Status",'RAID Log'!$1:$1,0)),"")))</f>
        <v/>
      </c>
      <c r="M659" s="85" t="str">
        <f>IF($B659="","",IF(IFERROR(INDEX('RAID Log'!$1:$1048576,$B659,MATCH("RAID Owner",'RAID Log'!$1:$1,0)),"")="","",IFERROR(INDEX('RAID Log'!$1:$1048576,$B659,MATCH("RAID Owner",'RAID Log'!$1:$1,0)),"")))</f>
        <v/>
      </c>
      <c r="N659" s="87" t="str">
        <f>IF($B659="","",IF(IFERROR(INDEX('RAID Log'!$1:$1048576,$B659,MATCH("Date Raised",'RAID Log'!$1:$1,0)),"")="","",IFERROR(INDEX('RAID Log'!$1:$1048576,$B659,MATCH("Date Raised",'RAID Log'!$1:$1,0)),"")))</f>
        <v/>
      </c>
      <c r="O659" s="87" t="str">
        <f>IF($B659="","",IF(IFERROR(INDEX('RAID Log'!$1:$1048576,$B659,MATCH("Closed Date",'RAID Log'!$1:$1,0)),"")="","",IFERROR(INDEX('RAID Log'!$1:$1048576,$B659,MATCH("Closed Date",'RAID Log'!$1:$1,0)),"")))</f>
        <v/>
      </c>
      <c r="P659" s="85" t="str">
        <f>IF($B659="","",IF(IFERROR(INDEX('RAID Log'!$1:$1048576,$B659,MATCH("Mitigation Strategy",'RAID Log'!$1:$1,0)),"")="","",IFERROR(INDEX('RAID Log'!$1:$1048576,$B659,MATCH("Mitigation Strategy",'RAID Log'!$1:$1,0)),"")))</f>
        <v/>
      </c>
      <c r="Q659" s="88" t="str">
        <f>IF($B659="","",IF(IFERROR(INDEX('RAID Log'!$1:$1048576,$B659,MATCH("RAID Response/Plan",'RAID Log'!$1:$1,0)),"")="","",IFERROR(INDEX('RAID Log'!$1:$1048576,$B659,MATCH("RAID Response/Plan",'RAID Log'!$1:$1,0)),"")))</f>
        <v/>
      </c>
    </row>
    <row r="660" spans="1:17" ht="14.25" customHeight="1">
      <c r="A660" s="82" t="str">
        <f>IF($B660="","",IF(IFERROR(INDEX('RAID Log'!$1:$1048576,$B660,MATCH("RAID ID",'RAID Log'!$1:$1,0)),"")="","",IFERROR(INDEX('RAID Log'!$1:$1048576,$B660,MATCH("RAID ID",'RAID Log'!$1:$1,0)),"")))</f>
        <v/>
      </c>
      <c r="B660" s="83" t="str">
        <f>IFERROR(MATCH(ROW()-1,'RAID Log'!$S:$S,0),"")</f>
        <v/>
      </c>
      <c r="C660" s="84" t="str">
        <f>IF($B660="","",IF(IFERROR(INDEX('RAID Log'!$1:$1048576,$B660,MATCH("Description",'RAID Log'!$1:$1,0)),"")="","",IFERROR(INDEX('RAID Log'!$1:$1048576,$B660,MATCH("Description",'RAID Log'!$1:$1,0)),"")))</f>
        <v/>
      </c>
      <c r="D660" s="84" t="str">
        <f>IF($B660="","",IF(IFERROR(INDEX('RAID Log'!$1:$1048576,$B660,MATCH("Impact/Effect of the RAID",'RAID Log'!$1:$1,0)),"")="","",IFERROR(INDEX('RAID Log'!$1:$1048576,$B660,MATCH("Impact/Effect of the RAID",'RAID Log'!$1:$1,0)),"")))</f>
        <v/>
      </c>
      <c r="E660" s="85" t="str">
        <f>IF($B660="","",IF(IFERROR(INDEX('RAID Log'!$1:$1048576,$B660,MATCH("Impact Area",'RAID Log'!$1:$1,0)),"")="","",IFERROR(INDEX('RAID Log'!$1:$1048576,$B660,MATCH("Impact Area",'RAID Log'!$1:$1,0)),"")))</f>
        <v/>
      </c>
      <c r="F660" s="85" t="str">
        <f>IF($B660="","",IF(IFERROR(INDEX('RAID Log'!$1:$1048576,$B660,MATCH("Impact Area",'RAID Log'!$1:$1,0)),"")="","",IFERROR(INDEX('RAID Log'!$1:$1048576,$B660,MATCH("Impact Area",'RAID Log'!$1:$1,0)),"")))</f>
        <v/>
      </c>
      <c r="G660" s="85" t="str">
        <f>IF($B660="","",IF(IFERROR(INDEX('RAID Log'!$1:$1048576,$B660,MATCH("Impact Rating",'RAID Log'!$1:$1,0)),"")="","",IFERROR(INDEX('RAID Log'!$1:$1048576,$B660,MATCH("Impact Rating",'RAID Log'!$1:$1,0)),"")))</f>
        <v/>
      </c>
      <c r="H660" s="85" t="str">
        <f>IF($B660="","",IF(IFERROR(INDEX('RAID Log'!$1:$1048576,$B660,MATCH("Initial Probability",'RAID Log'!$1:$1,0)),"")="","",IFERROR(INDEX('RAID Log'!$1:$1048576,$B660,MATCH("Initial Probability",'RAID Log'!$1:$1,0)),"")))</f>
        <v/>
      </c>
      <c r="I660" s="86" t="str">
        <f t="shared" si="30"/>
        <v/>
      </c>
      <c r="J660" s="85" t="str">
        <f t="shared" si="31"/>
        <v/>
      </c>
      <c r="K660" s="86" t="str">
        <f t="shared" si="32"/>
        <v/>
      </c>
      <c r="L660" s="85" t="str">
        <f>IF($B660="","",IF(IFERROR(INDEX('RAID Log'!$1:$1048576,$B660,MATCH("Status",'RAID Log'!$1:$1,0)),"")="","",IFERROR(INDEX('RAID Log'!$1:$1048576,$B660,MATCH("Status",'RAID Log'!$1:$1,0)),"")))</f>
        <v/>
      </c>
      <c r="M660" s="85" t="str">
        <f>IF($B660="","",IF(IFERROR(INDEX('RAID Log'!$1:$1048576,$B660,MATCH("RAID Owner",'RAID Log'!$1:$1,0)),"")="","",IFERROR(INDEX('RAID Log'!$1:$1048576,$B660,MATCH("RAID Owner",'RAID Log'!$1:$1,0)),"")))</f>
        <v/>
      </c>
      <c r="N660" s="87" t="str">
        <f>IF($B660="","",IF(IFERROR(INDEX('RAID Log'!$1:$1048576,$B660,MATCH("Date Raised",'RAID Log'!$1:$1,0)),"")="","",IFERROR(INDEX('RAID Log'!$1:$1048576,$B660,MATCH("Date Raised",'RAID Log'!$1:$1,0)),"")))</f>
        <v/>
      </c>
      <c r="O660" s="87" t="str">
        <f>IF($B660="","",IF(IFERROR(INDEX('RAID Log'!$1:$1048576,$B660,MATCH("Closed Date",'RAID Log'!$1:$1,0)),"")="","",IFERROR(INDEX('RAID Log'!$1:$1048576,$B660,MATCH("Closed Date",'RAID Log'!$1:$1,0)),"")))</f>
        <v/>
      </c>
      <c r="P660" s="85" t="str">
        <f>IF($B660="","",IF(IFERROR(INDEX('RAID Log'!$1:$1048576,$B660,MATCH("Mitigation Strategy",'RAID Log'!$1:$1,0)),"")="","",IFERROR(INDEX('RAID Log'!$1:$1048576,$B660,MATCH("Mitigation Strategy",'RAID Log'!$1:$1,0)),"")))</f>
        <v/>
      </c>
      <c r="Q660" s="88" t="str">
        <f>IF($B660="","",IF(IFERROR(INDEX('RAID Log'!$1:$1048576,$B660,MATCH("RAID Response/Plan",'RAID Log'!$1:$1,0)),"")="","",IFERROR(INDEX('RAID Log'!$1:$1048576,$B660,MATCH("RAID Response/Plan",'RAID Log'!$1:$1,0)),"")))</f>
        <v/>
      </c>
    </row>
    <row r="661" spans="1:17" ht="14.25" customHeight="1">
      <c r="A661" s="82" t="str">
        <f>IF($B661="","",IF(IFERROR(INDEX('RAID Log'!$1:$1048576,$B661,MATCH("RAID ID",'RAID Log'!$1:$1,0)),"")="","",IFERROR(INDEX('RAID Log'!$1:$1048576,$B661,MATCH("RAID ID",'RAID Log'!$1:$1,0)),"")))</f>
        <v/>
      </c>
      <c r="B661" s="83" t="str">
        <f>IFERROR(MATCH(ROW()-1,'RAID Log'!$S:$S,0),"")</f>
        <v/>
      </c>
      <c r="C661" s="84" t="str">
        <f>IF($B661="","",IF(IFERROR(INDEX('RAID Log'!$1:$1048576,$B661,MATCH("Description",'RAID Log'!$1:$1,0)),"")="","",IFERROR(INDEX('RAID Log'!$1:$1048576,$B661,MATCH("Description",'RAID Log'!$1:$1,0)),"")))</f>
        <v/>
      </c>
      <c r="D661" s="84" t="str">
        <f>IF($B661="","",IF(IFERROR(INDEX('RAID Log'!$1:$1048576,$B661,MATCH("Impact/Effect of the RAID",'RAID Log'!$1:$1,0)),"")="","",IFERROR(INDEX('RAID Log'!$1:$1048576,$B661,MATCH("Impact/Effect of the RAID",'RAID Log'!$1:$1,0)),"")))</f>
        <v/>
      </c>
      <c r="E661" s="85" t="str">
        <f>IF($B661="","",IF(IFERROR(INDEX('RAID Log'!$1:$1048576,$B661,MATCH("Impact Area",'RAID Log'!$1:$1,0)),"")="","",IFERROR(INDEX('RAID Log'!$1:$1048576,$B661,MATCH("Impact Area",'RAID Log'!$1:$1,0)),"")))</f>
        <v/>
      </c>
      <c r="F661" s="85" t="str">
        <f>IF($B661="","",IF(IFERROR(INDEX('RAID Log'!$1:$1048576,$B661,MATCH("Impact Area",'RAID Log'!$1:$1,0)),"")="","",IFERROR(INDEX('RAID Log'!$1:$1048576,$B661,MATCH("Impact Area",'RAID Log'!$1:$1,0)),"")))</f>
        <v/>
      </c>
      <c r="G661" s="85" t="str">
        <f>IF($B661="","",IF(IFERROR(INDEX('RAID Log'!$1:$1048576,$B661,MATCH("Impact Rating",'RAID Log'!$1:$1,0)),"")="","",IFERROR(INDEX('RAID Log'!$1:$1048576,$B661,MATCH("Impact Rating",'RAID Log'!$1:$1,0)),"")))</f>
        <v/>
      </c>
      <c r="H661" s="85" t="str">
        <f>IF($B661="","",IF(IFERROR(INDEX('RAID Log'!$1:$1048576,$B661,MATCH("Initial Probability",'RAID Log'!$1:$1,0)),"")="","",IFERROR(INDEX('RAID Log'!$1:$1048576,$B661,MATCH("Initial Probability",'RAID Log'!$1:$1,0)),"")))</f>
        <v/>
      </c>
      <c r="I661" s="86" t="str">
        <f t="shared" si="30"/>
        <v/>
      </c>
      <c r="J661" s="85" t="str">
        <f t="shared" si="31"/>
        <v/>
      </c>
      <c r="K661" s="86" t="str">
        <f t="shared" si="32"/>
        <v/>
      </c>
      <c r="L661" s="85" t="str">
        <f>IF($B661="","",IF(IFERROR(INDEX('RAID Log'!$1:$1048576,$B661,MATCH("Status",'RAID Log'!$1:$1,0)),"")="","",IFERROR(INDEX('RAID Log'!$1:$1048576,$B661,MATCH("Status",'RAID Log'!$1:$1,0)),"")))</f>
        <v/>
      </c>
      <c r="M661" s="85" t="str">
        <f>IF($B661="","",IF(IFERROR(INDEX('RAID Log'!$1:$1048576,$B661,MATCH("RAID Owner",'RAID Log'!$1:$1,0)),"")="","",IFERROR(INDEX('RAID Log'!$1:$1048576,$B661,MATCH("RAID Owner",'RAID Log'!$1:$1,0)),"")))</f>
        <v/>
      </c>
      <c r="N661" s="87" t="str">
        <f>IF($B661="","",IF(IFERROR(INDEX('RAID Log'!$1:$1048576,$B661,MATCH("Date Raised",'RAID Log'!$1:$1,0)),"")="","",IFERROR(INDEX('RAID Log'!$1:$1048576,$B661,MATCH("Date Raised",'RAID Log'!$1:$1,0)),"")))</f>
        <v/>
      </c>
      <c r="O661" s="87" t="str">
        <f>IF($B661="","",IF(IFERROR(INDEX('RAID Log'!$1:$1048576,$B661,MATCH("Closed Date",'RAID Log'!$1:$1,0)),"")="","",IFERROR(INDEX('RAID Log'!$1:$1048576,$B661,MATCH("Closed Date",'RAID Log'!$1:$1,0)),"")))</f>
        <v/>
      </c>
      <c r="P661" s="85" t="str">
        <f>IF($B661="","",IF(IFERROR(INDEX('RAID Log'!$1:$1048576,$B661,MATCH("Mitigation Strategy",'RAID Log'!$1:$1,0)),"")="","",IFERROR(INDEX('RAID Log'!$1:$1048576,$B661,MATCH("Mitigation Strategy",'RAID Log'!$1:$1,0)),"")))</f>
        <v/>
      </c>
      <c r="Q661" s="88" t="str">
        <f>IF($B661="","",IF(IFERROR(INDEX('RAID Log'!$1:$1048576,$B661,MATCH("RAID Response/Plan",'RAID Log'!$1:$1,0)),"")="","",IFERROR(INDEX('RAID Log'!$1:$1048576,$B661,MATCH("RAID Response/Plan",'RAID Log'!$1:$1,0)),"")))</f>
        <v/>
      </c>
    </row>
    <row r="662" spans="1:17" ht="14.25" customHeight="1">
      <c r="A662" s="82" t="str">
        <f>IF($B662="","",IF(IFERROR(INDEX('RAID Log'!$1:$1048576,$B662,MATCH("RAID ID",'RAID Log'!$1:$1,0)),"")="","",IFERROR(INDEX('RAID Log'!$1:$1048576,$B662,MATCH("RAID ID",'RAID Log'!$1:$1,0)),"")))</f>
        <v/>
      </c>
      <c r="B662" s="83" t="str">
        <f>IFERROR(MATCH(ROW()-1,'RAID Log'!$S:$S,0),"")</f>
        <v/>
      </c>
      <c r="C662" s="84" t="str">
        <f>IF($B662="","",IF(IFERROR(INDEX('RAID Log'!$1:$1048576,$B662,MATCH("Description",'RAID Log'!$1:$1,0)),"")="","",IFERROR(INDEX('RAID Log'!$1:$1048576,$B662,MATCH("Description",'RAID Log'!$1:$1,0)),"")))</f>
        <v/>
      </c>
      <c r="D662" s="84" t="str">
        <f>IF($B662="","",IF(IFERROR(INDEX('RAID Log'!$1:$1048576,$B662,MATCH("Impact/Effect of the RAID",'RAID Log'!$1:$1,0)),"")="","",IFERROR(INDEX('RAID Log'!$1:$1048576,$B662,MATCH("Impact/Effect of the RAID",'RAID Log'!$1:$1,0)),"")))</f>
        <v/>
      </c>
      <c r="E662" s="85" t="str">
        <f>IF($B662="","",IF(IFERROR(INDEX('RAID Log'!$1:$1048576,$B662,MATCH("Impact Area",'RAID Log'!$1:$1,0)),"")="","",IFERROR(INDEX('RAID Log'!$1:$1048576,$B662,MATCH("Impact Area",'RAID Log'!$1:$1,0)),"")))</f>
        <v/>
      </c>
      <c r="F662" s="85" t="str">
        <f>IF($B662="","",IF(IFERROR(INDEX('RAID Log'!$1:$1048576,$B662,MATCH("Impact Area",'RAID Log'!$1:$1,0)),"")="","",IFERROR(INDEX('RAID Log'!$1:$1048576,$B662,MATCH("Impact Area",'RAID Log'!$1:$1,0)),"")))</f>
        <v/>
      </c>
      <c r="G662" s="85" t="str">
        <f>IF($B662="","",IF(IFERROR(INDEX('RAID Log'!$1:$1048576,$B662,MATCH("Impact Rating",'RAID Log'!$1:$1,0)),"")="","",IFERROR(INDEX('RAID Log'!$1:$1048576,$B662,MATCH("Impact Rating",'RAID Log'!$1:$1,0)),"")))</f>
        <v/>
      </c>
      <c r="H662" s="85" t="str">
        <f>IF($B662="","",IF(IFERROR(INDEX('RAID Log'!$1:$1048576,$B662,MATCH("Initial Probability",'RAID Log'!$1:$1,0)),"")="","",IFERROR(INDEX('RAID Log'!$1:$1048576,$B662,MATCH("Initial Probability",'RAID Log'!$1:$1,0)),"")))</f>
        <v/>
      </c>
      <c r="I662" s="86" t="str">
        <f t="shared" si="30"/>
        <v/>
      </c>
      <c r="J662" s="85" t="str">
        <f t="shared" si="31"/>
        <v/>
      </c>
      <c r="K662" s="86" t="str">
        <f t="shared" si="32"/>
        <v/>
      </c>
      <c r="L662" s="85" t="str">
        <f>IF($B662="","",IF(IFERROR(INDEX('RAID Log'!$1:$1048576,$B662,MATCH("Status",'RAID Log'!$1:$1,0)),"")="","",IFERROR(INDEX('RAID Log'!$1:$1048576,$B662,MATCH("Status",'RAID Log'!$1:$1,0)),"")))</f>
        <v/>
      </c>
      <c r="M662" s="85" t="str">
        <f>IF($B662="","",IF(IFERROR(INDEX('RAID Log'!$1:$1048576,$B662,MATCH("RAID Owner",'RAID Log'!$1:$1,0)),"")="","",IFERROR(INDEX('RAID Log'!$1:$1048576,$B662,MATCH("RAID Owner",'RAID Log'!$1:$1,0)),"")))</f>
        <v/>
      </c>
      <c r="N662" s="87" t="str">
        <f>IF($B662="","",IF(IFERROR(INDEX('RAID Log'!$1:$1048576,$B662,MATCH("Date Raised",'RAID Log'!$1:$1,0)),"")="","",IFERROR(INDEX('RAID Log'!$1:$1048576,$B662,MATCH("Date Raised",'RAID Log'!$1:$1,0)),"")))</f>
        <v/>
      </c>
      <c r="O662" s="87" t="str">
        <f>IF($B662="","",IF(IFERROR(INDEX('RAID Log'!$1:$1048576,$B662,MATCH("Closed Date",'RAID Log'!$1:$1,0)),"")="","",IFERROR(INDEX('RAID Log'!$1:$1048576,$B662,MATCH("Closed Date",'RAID Log'!$1:$1,0)),"")))</f>
        <v/>
      </c>
      <c r="P662" s="85" t="str">
        <f>IF($B662="","",IF(IFERROR(INDEX('RAID Log'!$1:$1048576,$B662,MATCH("Mitigation Strategy",'RAID Log'!$1:$1,0)),"")="","",IFERROR(INDEX('RAID Log'!$1:$1048576,$B662,MATCH("Mitigation Strategy",'RAID Log'!$1:$1,0)),"")))</f>
        <v/>
      </c>
      <c r="Q662" s="88" t="str">
        <f>IF($B662="","",IF(IFERROR(INDEX('RAID Log'!$1:$1048576,$B662,MATCH("RAID Response/Plan",'RAID Log'!$1:$1,0)),"")="","",IFERROR(INDEX('RAID Log'!$1:$1048576,$B662,MATCH("RAID Response/Plan",'RAID Log'!$1:$1,0)),"")))</f>
        <v/>
      </c>
    </row>
    <row r="663" spans="1:17" ht="14.25" customHeight="1">
      <c r="A663" s="82" t="str">
        <f>IF($B663="","",IF(IFERROR(INDEX('RAID Log'!$1:$1048576,$B663,MATCH("RAID ID",'RAID Log'!$1:$1,0)),"")="","",IFERROR(INDEX('RAID Log'!$1:$1048576,$B663,MATCH("RAID ID",'RAID Log'!$1:$1,0)),"")))</f>
        <v/>
      </c>
      <c r="B663" s="83" t="str">
        <f>IFERROR(MATCH(ROW()-1,'RAID Log'!$S:$S,0),"")</f>
        <v/>
      </c>
      <c r="C663" s="84" t="str">
        <f>IF($B663="","",IF(IFERROR(INDEX('RAID Log'!$1:$1048576,$B663,MATCH("Description",'RAID Log'!$1:$1,0)),"")="","",IFERROR(INDEX('RAID Log'!$1:$1048576,$B663,MATCH("Description",'RAID Log'!$1:$1,0)),"")))</f>
        <v/>
      </c>
      <c r="D663" s="84" t="str">
        <f>IF($B663="","",IF(IFERROR(INDEX('RAID Log'!$1:$1048576,$B663,MATCH("Impact/Effect of the RAID",'RAID Log'!$1:$1,0)),"")="","",IFERROR(INDEX('RAID Log'!$1:$1048576,$B663,MATCH("Impact/Effect of the RAID",'RAID Log'!$1:$1,0)),"")))</f>
        <v/>
      </c>
      <c r="E663" s="85" t="str">
        <f>IF($B663="","",IF(IFERROR(INDEX('RAID Log'!$1:$1048576,$B663,MATCH("Impact Area",'RAID Log'!$1:$1,0)),"")="","",IFERROR(INDEX('RAID Log'!$1:$1048576,$B663,MATCH("Impact Area",'RAID Log'!$1:$1,0)),"")))</f>
        <v/>
      </c>
      <c r="F663" s="85" t="str">
        <f>IF($B663="","",IF(IFERROR(INDEX('RAID Log'!$1:$1048576,$B663,MATCH("Impact Area",'RAID Log'!$1:$1,0)),"")="","",IFERROR(INDEX('RAID Log'!$1:$1048576,$B663,MATCH("Impact Area",'RAID Log'!$1:$1,0)),"")))</f>
        <v/>
      </c>
      <c r="G663" s="85" t="str">
        <f>IF($B663="","",IF(IFERROR(INDEX('RAID Log'!$1:$1048576,$B663,MATCH("Impact Rating",'RAID Log'!$1:$1,0)),"")="","",IFERROR(INDEX('RAID Log'!$1:$1048576,$B663,MATCH("Impact Rating",'RAID Log'!$1:$1,0)),"")))</f>
        <v/>
      </c>
      <c r="H663" s="85" t="str">
        <f>IF($B663="","",IF(IFERROR(INDEX('RAID Log'!$1:$1048576,$B663,MATCH("Initial Probability",'RAID Log'!$1:$1,0)),"")="","",IFERROR(INDEX('RAID Log'!$1:$1048576,$B663,MATCH("Initial Probability",'RAID Log'!$1:$1,0)),"")))</f>
        <v/>
      </c>
      <c r="I663" s="86" t="str">
        <f t="shared" si="30"/>
        <v/>
      </c>
      <c r="J663" s="85" t="str">
        <f t="shared" si="31"/>
        <v/>
      </c>
      <c r="K663" s="86" t="str">
        <f t="shared" si="32"/>
        <v/>
      </c>
      <c r="L663" s="85" t="str">
        <f>IF($B663="","",IF(IFERROR(INDEX('RAID Log'!$1:$1048576,$B663,MATCH("Status",'RAID Log'!$1:$1,0)),"")="","",IFERROR(INDEX('RAID Log'!$1:$1048576,$B663,MATCH("Status",'RAID Log'!$1:$1,0)),"")))</f>
        <v/>
      </c>
      <c r="M663" s="85" t="str">
        <f>IF($B663="","",IF(IFERROR(INDEX('RAID Log'!$1:$1048576,$B663,MATCH("RAID Owner",'RAID Log'!$1:$1,0)),"")="","",IFERROR(INDEX('RAID Log'!$1:$1048576,$B663,MATCH("RAID Owner",'RAID Log'!$1:$1,0)),"")))</f>
        <v/>
      </c>
      <c r="N663" s="87" t="str">
        <f>IF($B663="","",IF(IFERROR(INDEX('RAID Log'!$1:$1048576,$B663,MATCH("Date Raised",'RAID Log'!$1:$1,0)),"")="","",IFERROR(INDEX('RAID Log'!$1:$1048576,$B663,MATCH("Date Raised",'RAID Log'!$1:$1,0)),"")))</f>
        <v/>
      </c>
      <c r="O663" s="87" t="str">
        <f>IF($B663="","",IF(IFERROR(INDEX('RAID Log'!$1:$1048576,$B663,MATCH("Closed Date",'RAID Log'!$1:$1,0)),"")="","",IFERROR(INDEX('RAID Log'!$1:$1048576,$B663,MATCH("Closed Date",'RAID Log'!$1:$1,0)),"")))</f>
        <v/>
      </c>
      <c r="P663" s="85" t="str">
        <f>IF($B663="","",IF(IFERROR(INDEX('RAID Log'!$1:$1048576,$B663,MATCH("Mitigation Strategy",'RAID Log'!$1:$1,0)),"")="","",IFERROR(INDEX('RAID Log'!$1:$1048576,$B663,MATCH("Mitigation Strategy",'RAID Log'!$1:$1,0)),"")))</f>
        <v/>
      </c>
      <c r="Q663" s="88" t="str">
        <f>IF($B663="","",IF(IFERROR(INDEX('RAID Log'!$1:$1048576,$B663,MATCH("RAID Response/Plan",'RAID Log'!$1:$1,0)),"")="","",IFERROR(INDEX('RAID Log'!$1:$1048576,$B663,MATCH("RAID Response/Plan",'RAID Log'!$1:$1,0)),"")))</f>
        <v/>
      </c>
    </row>
    <row r="664" spans="1:17" ht="14.25" customHeight="1">
      <c r="A664" s="82" t="str">
        <f>IF($B664="","",IF(IFERROR(INDEX('RAID Log'!$1:$1048576,$B664,MATCH("RAID ID",'RAID Log'!$1:$1,0)),"")="","",IFERROR(INDEX('RAID Log'!$1:$1048576,$B664,MATCH("RAID ID",'RAID Log'!$1:$1,0)),"")))</f>
        <v/>
      </c>
      <c r="B664" s="83" t="str">
        <f>IFERROR(MATCH(ROW()-1,'RAID Log'!$S:$S,0),"")</f>
        <v/>
      </c>
      <c r="C664" s="84" t="str">
        <f>IF($B664="","",IF(IFERROR(INDEX('RAID Log'!$1:$1048576,$B664,MATCH("Description",'RAID Log'!$1:$1,0)),"")="","",IFERROR(INDEX('RAID Log'!$1:$1048576,$B664,MATCH("Description",'RAID Log'!$1:$1,0)),"")))</f>
        <v/>
      </c>
      <c r="D664" s="84" t="str">
        <f>IF($B664="","",IF(IFERROR(INDEX('RAID Log'!$1:$1048576,$B664,MATCH("Impact/Effect of the RAID",'RAID Log'!$1:$1,0)),"")="","",IFERROR(INDEX('RAID Log'!$1:$1048576,$B664,MATCH("Impact/Effect of the RAID",'RAID Log'!$1:$1,0)),"")))</f>
        <v/>
      </c>
      <c r="E664" s="85" t="str">
        <f>IF($B664="","",IF(IFERROR(INDEX('RAID Log'!$1:$1048576,$B664,MATCH("Impact Area",'RAID Log'!$1:$1,0)),"")="","",IFERROR(INDEX('RAID Log'!$1:$1048576,$B664,MATCH("Impact Area",'RAID Log'!$1:$1,0)),"")))</f>
        <v/>
      </c>
      <c r="F664" s="85" t="str">
        <f>IF($B664="","",IF(IFERROR(INDEX('RAID Log'!$1:$1048576,$B664,MATCH("Impact Area",'RAID Log'!$1:$1,0)),"")="","",IFERROR(INDEX('RAID Log'!$1:$1048576,$B664,MATCH("Impact Area",'RAID Log'!$1:$1,0)),"")))</f>
        <v/>
      </c>
      <c r="G664" s="85" t="str">
        <f>IF($B664="","",IF(IFERROR(INDEX('RAID Log'!$1:$1048576,$B664,MATCH("Impact Rating",'RAID Log'!$1:$1,0)),"")="","",IFERROR(INDEX('RAID Log'!$1:$1048576,$B664,MATCH("Impact Rating",'RAID Log'!$1:$1,0)),"")))</f>
        <v/>
      </c>
      <c r="H664" s="85" t="str">
        <f>IF($B664="","",IF(IFERROR(INDEX('RAID Log'!$1:$1048576,$B664,MATCH("Initial Probability",'RAID Log'!$1:$1,0)),"")="","",IFERROR(INDEX('RAID Log'!$1:$1048576,$B664,MATCH("Initial Probability",'RAID Log'!$1:$1,0)),"")))</f>
        <v/>
      </c>
      <c r="I664" s="86" t="str">
        <f t="shared" si="30"/>
        <v/>
      </c>
      <c r="J664" s="85" t="str">
        <f t="shared" si="31"/>
        <v/>
      </c>
      <c r="K664" s="86" t="str">
        <f t="shared" si="32"/>
        <v/>
      </c>
      <c r="L664" s="85" t="str">
        <f>IF($B664="","",IF(IFERROR(INDEX('RAID Log'!$1:$1048576,$B664,MATCH("Status",'RAID Log'!$1:$1,0)),"")="","",IFERROR(INDEX('RAID Log'!$1:$1048576,$B664,MATCH("Status",'RAID Log'!$1:$1,0)),"")))</f>
        <v/>
      </c>
      <c r="M664" s="85" t="str">
        <f>IF($B664="","",IF(IFERROR(INDEX('RAID Log'!$1:$1048576,$B664,MATCH("RAID Owner",'RAID Log'!$1:$1,0)),"")="","",IFERROR(INDEX('RAID Log'!$1:$1048576,$B664,MATCH("RAID Owner",'RAID Log'!$1:$1,0)),"")))</f>
        <v/>
      </c>
      <c r="N664" s="87" t="str">
        <f>IF($B664="","",IF(IFERROR(INDEX('RAID Log'!$1:$1048576,$B664,MATCH("Date Raised",'RAID Log'!$1:$1,0)),"")="","",IFERROR(INDEX('RAID Log'!$1:$1048576,$B664,MATCH("Date Raised",'RAID Log'!$1:$1,0)),"")))</f>
        <v/>
      </c>
      <c r="O664" s="87" t="str">
        <f>IF($B664="","",IF(IFERROR(INDEX('RAID Log'!$1:$1048576,$B664,MATCH("Closed Date",'RAID Log'!$1:$1,0)),"")="","",IFERROR(INDEX('RAID Log'!$1:$1048576,$B664,MATCH("Closed Date",'RAID Log'!$1:$1,0)),"")))</f>
        <v/>
      </c>
      <c r="P664" s="85" t="str">
        <f>IF($B664="","",IF(IFERROR(INDEX('RAID Log'!$1:$1048576,$B664,MATCH("Mitigation Strategy",'RAID Log'!$1:$1,0)),"")="","",IFERROR(INDEX('RAID Log'!$1:$1048576,$B664,MATCH("Mitigation Strategy",'RAID Log'!$1:$1,0)),"")))</f>
        <v/>
      </c>
      <c r="Q664" s="88" t="str">
        <f>IF($B664="","",IF(IFERROR(INDEX('RAID Log'!$1:$1048576,$B664,MATCH("RAID Response/Plan",'RAID Log'!$1:$1,0)),"")="","",IFERROR(INDEX('RAID Log'!$1:$1048576,$B664,MATCH("RAID Response/Plan",'RAID Log'!$1:$1,0)),"")))</f>
        <v/>
      </c>
    </row>
    <row r="665" spans="1:17" ht="14.25" customHeight="1">
      <c r="A665" s="82" t="str">
        <f>IF($B665="","",IF(IFERROR(INDEX('RAID Log'!$1:$1048576,$B665,MATCH("RAID ID",'RAID Log'!$1:$1,0)),"")="","",IFERROR(INDEX('RAID Log'!$1:$1048576,$B665,MATCH("RAID ID",'RAID Log'!$1:$1,0)),"")))</f>
        <v/>
      </c>
      <c r="B665" s="83" t="str">
        <f>IFERROR(MATCH(ROW()-1,'RAID Log'!$S:$S,0),"")</f>
        <v/>
      </c>
      <c r="C665" s="84" t="str">
        <f>IF($B665="","",IF(IFERROR(INDEX('RAID Log'!$1:$1048576,$B665,MATCH("Description",'RAID Log'!$1:$1,0)),"")="","",IFERROR(INDEX('RAID Log'!$1:$1048576,$B665,MATCH("Description",'RAID Log'!$1:$1,0)),"")))</f>
        <v/>
      </c>
      <c r="D665" s="84" t="str">
        <f>IF($B665="","",IF(IFERROR(INDEX('RAID Log'!$1:$1048576,$B665,MATCH("Impact/Effect of the RAID",'RAID Log'!$1:$1,0)),"")="","",IFERROR(INDEX('RAID Log'!$1:$1048576,$B665,MATCH("Impact/Effect of the RAID",'RAID Log'!$1:$1,0)),"")))</f>
        <v/>
      </c>
      <c r="E665" s="85" t="str">
        <f>IF($B665="","",IF(IFERROR(INDEX('RAID Log'!$1:$1048576,$B665,MATCH("Impact Area",'RAID Log'!$1:$1,0)),"")="","",IFERROR(INDEX('RAID Log'!$1:$1048576,$B665,MATCH("Impact Area",'RAID Log'!$1:$1,0)),"")))</f>
        <v/>
      </c>
      <c r="F665" s="85" t="str">
        <f>IF($B665="","",IF(IFERROR(INDEX('RAID Log'!$1:$1048576,$B665,MATCH("Impact Area",'RAID Log'!$1:$1,0)),"")="","",IFERROR(INDEX('RAID Log'!$1:$1048576,$B665,MATCH("Impact Area",'RAID Log'!$1:$1,0)),"")))</f>
        <v/>
      </c>
      <c r="G665" s="85" t="str">
        <f>IF($B665="","",IF(IFERROR(INDEX('RAID Log'!$1:$1048576,$B665,MATCH("Impact Rating",'RAID Log'!$1:$1,0)),"")="","",IFERROR(INDEX('RAID Log'!$1:$1048576,$B665,MATCH("Impact Rating",'RAID Log'!$1:$1,0)),"")))</f>
        <v/>
      </c>
      <c r="H665" s="85" t="str">
        <f>IF($B665="","",IF(IFERROR(INDEX('RAID Log'!$1:$1048576,$B665,MATCH("Initial Probability",'RAID Log'!$1:$1,0)),"")="","",IFERROR(INDEX('RAID Log'!$1:$1048576,$B665,MATCH("Initial Probability",'RAID Log'!$1:$1,0)),"")))</f>
        <v/>
      </c>
      <c r="I665" s="86" t="str">
        <f t="shared" si="30"/>
        <v/>
      </c>
      <c r="J665" s="85" t="str">
        <f t="shared" si="31"/>
        <v/>
      </c>
      <c r="K665" s="86" t="str">
        <f t="shared" si="32"/>
        <v/>
      </c>
      <c r="L665" s="85" t="str">
        <f>IF($B665="","",IF(IFERROR(INDEX('RAID Log'!$1:$1048576,$B665,MATCH("Status",'RAID Log'!$1:$1,0)),"")="","",IFERROR(INDEX('RAID Log'!$1:$1048576,$B665,MATCH("Status",'RAID Log'!$1:$1,0)),"")))</f>
        <v/>
      </c>
      <c r="M665" s="85" t="str">
        <f>IF($B665="","",IF(IFERROR(INDEX('RAID Log'!$1:$1048576,$B665,MATCH("RAID Owner",'RAID Log'!$1:$1,0)),"")="","",IFERROR(INDEX('RAID Log'!$1:$1048576,$B665,MATCH("RAID Owner",'RAID Log'!$1:$1,0)),"")))</f>
        <v/>
      </c>
      <c r="N665" s="87" t="str">
        <f>IF($B665="","",IF(IFERROR(INDEX('RAID Log'!$1:$1048576,$B665,MATCH("Date Raised",'RAID Log'!$1:$1,0)),"")="","",IFERROR(INDEX('RAID Log'!$1:$1048576,$B665,MATCH("Date Raised",'RAID Log'!$1:$1,0)),"")))</f>
        <v/>
      </c>
      <c r="O665" s="87" t="str">
        <f>IF($B665="","",IF(IFERROR(INDEX('RAID Log'!$1:$1048576,$B665,MATCH("Closed Date",'RAID Log'!$1:$1,0)),"")="","",IFERROR(INDEX('RAID Log'!$1:$1048576,$B665,MATCH("Closed Date",'RAID Log'!$1:$1,0)),"")))</f>
        <v/>
      </c>
      <c r="P665" s="85" t="str">
        <f>IF($B665="","",IF(IFERROR(INDEX('RAID Log'!$1:$1048576,$B665,MATCH("Mitigation Strategy",'RAID Log'!$1:$1,0)),"")="","",IFERROR(INDEX('RAID Log'!$1:$1048576,$B665,MATCH("Mitigation Strategy",'RAID Log'!$1:$1,0)),"")))</f>
        <v/>
      </c>
      <c r="Q665" s="88" t="str">
        <f>IF($B665="","",IF(IFERROR(INDEX('RAID Log'!$1:$1048576,$B665,MATCH("RAID Response/Plan",'RAID Log'!$1:$1,0)),"")="","",IFERROR(INDEX('RAID Log'!$1:$1048576,$B665,MATCH("RAID Response/Plan",'RAID Log'!$1:$1,0)),"")))</f>
        <v/>
      </c>
    </row>
    <row r="666" spans="1:17" ht="14.25" customHeight="1">
      <c r="A666" s="82" t="str">
        <f>IF($B666="","",IF(IFERROR(INDEX('RAID Log'!$1:$1048576,$B666,MATCH("RAID ID",'RAID Log'!$1:$1,0)),"")="","",IFERROR(INDEX('RAID Log'!$1:$1048576,$B666,MATCH("RAID ID",'RAID Log'!$1:$1,0)),"")))</f>
        <v/>
      </c>
      <c r="B666" s="83" t="str">
        <f>IFERROR(MATCH(ROW()-1,'RAID Log'!$S:$S,0),"")</f>
        <v/>
      </c>
      <c r="C666" s="84" t="str">
        <f>IF($B666="","",IF(IFERROR(INDEX('RAID Log'!$1:$1048576,$B666,MATCH("Description",'RAID Log'!$1:$1,0)),"")="","",IFERROR(INDEX('RAID Log'!$1:$1048576,$B666,MATCH("Description",'RAID Log'!$1:$1,0)),"")))</f>
        <v/>
      </c>
      <c r="D666" s="84" t="str">
        <f>IF($B666="","",IF(IFERROR(INDEX('RAID Log'!$1:$1048576,$B666,MATCH("Impact/Effect of the RAID",'RAID Log'!$1:$1,0)),"")="","",IFERROR(INDEX('RAID Log'!$1:$1048576,$B666,MATCH("Impact/Effect of the RAID",'RAID Log'!$1:$1,0)),"")))</f>
        <v/>
      </c>
      <c r="E666" s="85" t="str">
        <f>IF($B666="","",IF(IFERROR(INDEX('RAID Log'!$1:$1048576,$B666,MATCH("Impact Area",'RAID Log'!$1:$1,0)),"")="","",IFERROR(INDEX('RAID Log'!$1:$1048576,$B666,MATCH("Impact Area",'RAID Log'!$1:$1,0)),"")))</f>
        <v/>
      </c>
      <c r="F666" s="85" t="str">
        <f>IF($B666="","",IF(IFERROR(INDEX('RAID Log'!$1:$1048576,$B666,MATCH("Impact Area",'RAID Log'!$1:$1,0)),"")="","",IFERROR(INDEX('RAID Log'!$1:$1048576,$B666,MATCH("Impact Area",'RAID Log'!$1:$1,0)),"")))</f>
        <v/>
      </c>
      <c r="G666" s="85" t="str">
        <f>IF($B666="","",IF(IFERROR(INDEX('RAID Log'!$1:$1048576,$B666,MATCH("Impact Rating",'RAID Log'!$1:$1,0)),"")="","",IFERROR(INDEX('RAID Log'!$1:$1048576,$B666,MATCH("Impact Rating",'RAID Log'!$1:$1,0)),"")))</f>
        <v/>
      </c>
      <c r="H666" s="85" t="str">
        <f>IF($B666="","",IF(IFERROR(INDEX('RAID Log'!$1:$1048576,$B666,MATCH("Initial Probability",'RAID Log'!$1:$1,0)),"")="","",IFERROR(INDEX('RAID Log'!$1:$1048576,$B666,MATCH("Initial Probability",'RAID Log'!$1:$1,0)),"")))</f>
        <v/>
      </c>
      <c r="I666" s="86" t="str">
        <f t="shared" si="30"/>
        <v/>
      </c>
      <c r="J666" s="85" t="str">
        <f t="shared" si="31"/>
        <v/>
      </c>
      <c r="K666" s="86" t="str">
        <f t="shared" si="32"/>
        <v/>
      </c>
      <c r="L666" s="85" t="str">
        <f>IF($B666="","",IF(IFERROR(INDEX('RAID Log'!$1:$1048576,$B666,MATCH("Status",'RAID Log'!$1:$1,0)),"")="","",IFERROR(INDEX('RAID Log'!$1:$1048576,$B666,MATCH("Status",'RAID Log'!$1:$1,0)),"")))</f>
        <v/>
      </c>
      <c r="M666" s="85" t="str">
        <f>IF($B666="","",IF(IFERROR(INDEX('RAID Log'!$1:$1048576,$B666,MATCH("RAID Owner",'RAID Log'!$1:$1,0)),"")="","",IFERROR(INDEX('RAID Log'!$1:$1048576,$B666,MATCH("RAID Owner",'RAID Log'!$1:$1,0)),"")))</f>
        <v/>
      </c>
      <c r="N666" s="87" t="str">
        <f>IF($B666="","",IF(IFERROR(INDEX('RAID Log'!$1:$1048576,$B666,MATCH("Date Raised",'RAID Log'!$1:$1,0)),"")="","",IFERROR(INDEX('RAID Log'!$1:$1048576,$B666,MATCH("Date Raised",'RAID Log'!$1:$1,0)),"")))</f>
        <v/>
      </c>
      <c r="O666" s="87" t="str">
        <f>IF($B666="","",IF(IFERROR(INDEX('RAID Log'!$1:$1048576,$B666,MATCH("Closed Date",'RAID Log'!$1:$1,0)),"")="","",IFERROR(INDEX('RAID Log'!$1:$1048576,$B666,MATCH("Closed Date",'RAID Log'!$1:$1,0)),"")))</f>
        <v/>
      </c>
      <c r="P666" s="85" t="str">
        <f>IF($B666="","",IF(IFERROR(INDEX('RAID Log'!$1:$1048576,$B666,MATCH("Mitigation Strategy",'RAID Log'!$1:$1,0)),"")="","",IFERROR(INDEX('RAID Log'!$1:$1048576,$B666,MATCH("Mitigation Strategy",'RAID Log'!$1:$1,0)),"")))</f>
        <v/>
      </c>
      <c r="Q666" s="88" t="str">
        <f>IF($B666="","",IF(IFERROR(INDEX('RAID Log'!$1:$1048576,$B666,MATCH("RAID Response/Plan",'RAID Log'!$1:$1,0)),"")="","",IFERROR(INDEX('RAID Log'!$1:$1048576,$B666,MATCH("RAID Response/Plan",'RAID Log'!$1:$1,0)),"")))</f>
        <v/>
      </c>
    </row>
    <row r="667" spans="1:17" ht="14.25" customHeight="1">
      <c r="A667" s="82" t="str">
        <f>IF($B667="","",IF(IFERROR(INDEX('RAID Log'!$1:$1048576,$B667,MATCH("RAID ID",'RAID Log'!$1:$1,0)),"")="","",IFERROR(INDEX('RAID Log'!$1:$1048576,$B667,MATCH("RAID ID",'RAID Log'!$1:$1,0)),"")))</f>
        <v/>
      </c>
      <c r="B667" s="83" t="str">
        <f>IFERROR(MATCH(ROW()-1,'RAID Log'!$S:$S,0),"")</f>
        <v/>
      </c>
      <c r="C667" s="84" t="str">
        <f>IF($B667="","",IF(IFERROR(INDEX('RAID Log'!$1:$1048576,$B667,MATCH("Description",'RAID Log'!$1:$1,0)),"")="","",IFERROR(INDEX('RAID Log'!$1:$1048576,$B667,MATCH("Description",'RAID Log'!$1:$1,0)),"")))</f>
        <v/>
      </c>
      <c r="D667" s="84" t="str">
        <f>IF($B667="","",IF(IFERROR(INDEX('RAID Log'!$1:$1048576,$B667,MATCH("Impact/Effect of the RAID",'RAID Log'!$1:$1,0)),"")="","",IFERROR(INDEX('RAID Log'!$1:$1048576,$B667,MATCH("Impact/Effect of the RAID",'RAID Log'!$1:$1,0)),"")))</f>
        <v/>
      </c>
      <c r="E667" s="85" t="str">
        <f>IF($B667="","",IF(IFERROR(INDEX('RAID Log'!$1:$1048576,$B667,MATCH("Impact Area",'RAID Log'!$1:$1,0)),"")="","",IFERROR(INDEX('RAID Log'!$1:$1048576,$B667,MATCH("Impact Area",'RAID Log'!$1:$1,0)),"")))</f>
        <v/>
      </c>
      <c r="F667" s="85" t="str">
        <f>IF($B667="","",IF(IFERROR(INDEX('RAID Log'!$1:$1048576,$B667,MATCH("Impact Area",'RAID Log'!$1:$1,0)),"")="","",IFERROR(INDEX('RAID Log'!$1:$1048576,$B667,MATCH("Impact Area",'RAID Log'!$1:$1,0)),"")))</f>
        <v/>
      </c>
      <c r="G667" s="85" t="str">
        <f>IF($B667="","",IF(IFERROR(INDEX('RAID Log'!$1:$1048576,$B667,MATCH("Impact Rating",'RAID Log'!$1:$1,0)),"")="","",IFERROR(INDEX('RAID Log'!$1:$1048576,$B667,MATCH("Impact Rating",'RAID Log'!$1:$1,0)),"")))</f>
        <v/>
      </c>
      <c r="H667" s="85" t="str">
        <f>IF($B667="","",IF(IFERROR(INDEX('RAID Log'!$1:$1048576,$B667,MATCH("Initial Probability",'RAID Log'!$1:$1,0)),"")="","",IFERROR(INDEX('RAID Log'!$1:$1048576,$B667,MATCH("Initial Probability",'RAID Log'!$1:$1,0)),"")))</f>
        <v/>
      </c>
      <c r="I667" s="86" t="str">
        <f t="shared" si="30"/>
        <v/>
      </c>
      <c r="J667" s="85" t="str">
        <f t="shared" si="31"/>
        <v/>
      </c>
      <c r="K667" s="86" t="str">
        <f t="shared" si="32"/>
        <v/>
      </c>
      <c r="L667" s="85" t="str">
        <f>IF($B667="","",IF(IFERROR(INDEX('RAID Log'!$1:$1048576,$B667,MATCH("Status",'RAID Log'!$1:$1,0)),"")="","",IFERROR(INDEX('RAID Log'!$1:$1048576,$B667,MATCH("Status",'RAID Log'!$1:$1,0)),"")))</f>
        <v/>
      </c>
      <c r="M667" s="85" t="str">
        <f>IF($B667="","",IF(IFERROR(INDEX('RAID Log'!$1:$1048576,$B667,MATCH("RAID Owner",'RAID Log'!$1:$1,0)),"")="","",IFERROR(INDEX('RAID Log'!$1:$1048576,$B667,MATCH("RAID Owner",'RAID Log'!$1:$1,0)),"")))</f>
        <v/>
      </c>
      <c r="N667" s="87" t="str">
        <f>IF($B667="","",IF(IFERROR(INDEX('RAID Log'!$1:$1048576,$B667,MATCH("Date Raised",'RAID Log'!$1:$1,0)),"")="","",IFERROR(INDEX('RAID Log'!$1:$1048576,$B667,MATCH("Date Raised",'RAID Log'!$1:$1,0)),"")))</f>
        <v/>
      </c>
      <c r="O667" s="87" t="str">
        <f>IF($B667="","",IF(IFERROR(INDEX('RAID Log'!$1:$1048576,$B667,MATCH("Closed Date",'RAID Log'!$1:$1,0)),"")="","",IFERROR(INDEX('RAID Log'!$1:$1048576,$B667,MATCH("Closed Date",'RAID Log'!$1:$1,0)),"")))</f>
        <v/>
      </c>
      <c r="P667" s="85" t="str">
        <f>IF($B667="","",IF(IFERROR(INDEX('RAID Log'!$1:$1048576,$B667,MATCH("Mitigation Strategy",'RAID Log'!$1:$1,0)),"")="","",IFERROR(INDEX('RAID Log'!$1:$1048576,$B667,MATCH("Mitigation Strategy",'RAID Log'!$1:$1,0)),"")))</f>
        <v/>
      </c>
      <c r="Q667" s="88" t="str">
        <f>IF($B667="","",IF(IFERROR(INDEX('RAID Log'!$1:$1048576,$B667,MATCH("RAID Response/Plan",'RAID Log'!$1:$1,0)),"")="","",IFERROR(INDEX('RAID Log'!$1:$1048576,$B667,MATCH("RAID Response/Plan",'RAID Log'!$1:$1,0)),"")))</f>
        <v/>
      </c>
    </row>
    <row r="668" spans="1:17" ht="14.25" customHeight="1">
      <c r="A668" s="82" t="str">
        <f>IF($B668="","",IF(IFERROR(INDEX('RAID Log'!$1:$1048576,$B668,MATCH("RAID ID",'RAID Log'!$1:$1,0)),"")="","",IFERROR(INDEX('RAID Log'!$1:$1048576,$B668,MATCH("RAID ID",'RAID Log'!$1:$1,0)),"")))</f>
        <v/>
      </c>
      <c r="B668" s="83" t="str">
        <f>IFERROR(MATCH(ROW()-1,'RAID Log'!$S:$S,0),"")</f>
        <v/>
      </c>
      <c r="C668" s="84" t="str">
        <f>IF($B668="","",IF(IFERROR(INDEX('RAID Log'!$1:$1048576,$B668,MATCH("Description",'RAID Log'!$1:$1,0)),"")="","",IFERROR(INDEX('RAID Log'!$1:$1048576,$B668,MATCH("Description",'RAID Log'!$1:$1,0)),"")))</f>
        <v/>
      </c>
      <c r="D668" s="84" t="str">
        <f>IF($B668="","",IF(IFERROR(INDEX('RAID Log'!$1:$1048576,$B668,MATCH("Impact/Effect of the RAID",'RAID Log'!$1:$1,0)),"")="","",IFERROR(INDEX('RAID Log'!$1:$1048576,$B668,MATCH("Impact/Effect of the RAID",'RAID Log'!$1:$1,0)),"")))</f>
        <v/>
      </c>
      <c r="E668" s="85" t="str">
        <f>IF($B668="","",IF(IFERROR(INDEX('RAID Log'!$1:$1048576,$B668,MATCH("Impact Area",'RAID Log'!$1:$1,0)),"")="","",IFERROR(INDEX('RAID Log'!$1:$1048576,$B668,MATCH("Impact Area",'RAID Log'!$1:$1,0)),"")))</f>
        <v/>
      </c>
      <c r="F668" s="85" t="str">
        <f>IF($B668="","",IF(IFERROR(INDEX('RAID Log'!$1:$1048576,$B668,MATCH("Impact Area",'RAID Log'!$1:$1,0)),"")="","",IFERROR(INDEX('RAID Log'!$1:$1048576,$B668,MATCH("Impact Area",'RAID Log'!$1:$1,0)),"")))</f>
        <v/>
      </c>
      <c r="G668" s="85" t="str">
        <f>IF($B668="","",IF(IFERROR(INDEX('RAID Log'!$1:$1048576,$B668,MATCH("Impact Rating",'RAID Log'!$1:$1,0)),"")="","",IFERROR(INDEX('RAID Log'!$1:$1048576,$B668,MATCH("Impact Rating",'RAID Log'!$1:$1,0)),"")))</f>
        <v/>
      </c>
      <c r="H668" s="85" t="str">
        <f>IF($B668="","",IF(IFERROR(INDEX('RAID Log'!$1:$1048576,$B668,MATCH("Initial Probability",'RAID Log'!$1:$1,0)),"")="","",IFERROR(INDEX('RAID Log'!$1:$1048576,$B668,MATCH("Initial Probability",'RAID Log'!$1:$1,0)),"")))</f>
        <v/>
      </c>
      <c r="I668" s="86" t="str">
        <f t="shared" si="30"/>
        <v/>
      </c>
      <c r="J668" s="85" t="str">
        <f t="shared" si="31"/>
        <v/>
      </c>
      <c r="K668" s="86" t="str">
        <f t="shared" si="32"/>
        <v/>
      </c>
      <c r="L668" s="85" t="str">
        <f>IF($B668="","",IF(IFERROR(INDEX('RAID Log'!$1:$1048576,$B668,MATCH("Status",'RAID Log'!$1:$1,0)),"")="","",IFERROR(INDEX('RAID Log'!$1:$1048576,$B668,MATCH("Status",'RAID Log'!$1:$1,0)),"")))</f>
        <v/>
      </c>
      <c r="M668" s="85" t="str">
        <f>IF($B668="","",IF(IFERROR(INDEX('RAID Log'!$1:$1048576,$B668,MATCH("RAID Owner",'RAID Log'!$1:$1,0)),"")="","",IFERROR(INDEX('RAID Log'!$1:$1048576,$B668,MATCH("RAID Owner",'RAID Log'!$1:$1,0)),"")))</f>
        <v/>
      </c>
      <c r="N668" s="87" t="str">
        <f>IF($B668="","",IF(IFERROR(INDEX('RAID Log'!$1:$1048576,$B668,MATCH("Date Raised",'RAID Log'!$1:$1,0)),"")="","",IFERROR(INDEX('RAID Log'!$1:$1048576,$B668,MATCH("Date Raised",'RAID Log'!$1:$1,0)),"")))</f>
        <v/>
      </c>
      <c r="O668" s="87" t="str">
        <f>IF($B668="","",IF(IFERROR(INDEX('RAID Log'!$1:$1048576,$B668,MATCH("Closed Date",'RAID Log'!$1:$1,0)),"")="","",IFERROR(INDEX('RAID Log'!$1:$1048576,$B668,MATCH("Closed Date",'RAID Log'!$1:$1,0)),"")))</f>
        <v/>
      </c>
      <c r="P668" s="85" t="str">
        <f>IF($B668="","",IF(IFERROR(INDEX('RAID Log'!$1:$1048576,$B668,MATCH("Mitigation Strategy",'RAID Log'!$1:$1,0)),"")="","",IFERROR(INDEX('RAID Log'!$1:$1048576,$B668,MATCH("Mitigation Strategy",'RAID Log'!$1:$1,0)),"")))</f>
        <v/>
      </c>
      <c r="Q668" s="88" t="str">
        <f>IF($B668="","",IF(IFERROR(INDEX('RAID Log'!$1:$1048576,$B668,MATCH("RAID Response/Plan",'RAID Log'!$1:$1,0)),"")="","",IFERROR(INDEX('RAID Log'!$1:$1048576,$B668,MATCH("RAID Response/Plan",'RAID Log'!$1:$1,0)),"")))</f>
        <v/>
      </c>
    </row>
    <row r="669" spans="1:17" ht="14.25" customHeight="1">
      <c r="A669" s="82" t="str">
        <f>IF($B669="","",IF(IFERROR(INDEX('RAID Log'!$1:$1048576,$B669,MATCH("RAID ID",'RAID Log'!$1:$1,0)),"")="","",IFERROR(INDEX('RAID Log'!$1:$1048576,$B669,MATCH("RAID ID",'RAID Log'!$1:$1,0)),"")))</f>
        <v/>
      </c>
      <c r="B669" s="83" t="str">
        <f>IFERROR(MATCH(ROW()-1,'RAID Log'!$S:$S,0),"")</f>
        <v/>
      </c>
      <c r="C669" s="84" t="str">
        <f>IF($B669="","",IF(IFERROR(INDEX('RAID Log'!$1:$1048576,$B669,MATCH("Description",'RAID Log'!$1:$1,0)),"")="","",IFERROR(INDEX('RAID Log'!$1:$1048576,$B669,MATCH("Description",'RAID Log'!$1:$1,0)),"")))</f>
        <v/>
      </c>
      <c r="D669" s="84" t="str">
        <f>IF($B669="","",IF(IFERROR(INDEX('RAID Log'!$1:$1048576,$B669,MATCH("Impact/Effect of the RAID",'RAID Log'!$1:$1,0)),"")="","",IFERROR(INDEX('RAID Log'!$1:$1048576,$B669,MATCH("Impact/Effect of the RAID",'RAID Log'!$1:$1,0)),"")))</f>
        <v/>
      </c>
      <c r="E669" s="85" t="str">
        <f>IF($B669="","",IF(IFERROR(INDEX('RAID Log'!$1:$1048576,$B669,MATCH("Impact Area",'RAID Log'!$1:$1,0)),"")="","",IFERROR(INDEX('RAID Log'!$1:$1048576,$B669,MATCH("Impact Area",'RAID Log'!$1:$1,0)),"")))</f>
        <v/>
      </c>
      <c r="F669" s="85" t="str">
        <f>IF($B669="","",IF(IFERROR(INDEX('RAID Log'!$1:$1048576,$B669,MATCH("Impact Area",'RAID Log'!$1:$1,0)),"")="","",IFERROR(INDEX('RAID Log'!$1:$1048576,$B669,MATCH("Impact Area",'RAID Log'!$1:$1,0)),"")))</f>
        <v/>
      </c>
      <c r="G669" s="85" t="str">
        <f>IF($B669="","",IF(IFERROR(INDEX('RAID Log'!$1:$1048576,$B669,MATCH("Impact Rating",'RAID Log'!$1:$1,0)),"")="","",IFERROR(INDEX('RAID Log'!$1:$1048576,$B669,MATCH("Impact Rating",'RAID Log'!$1:$1,0)),"")))</f>
        <v/>
      </c>
      <c r="H669" s="85" t="str">
        <f>IF($B669="","",IF(IFERROR(INDEX('RAID Log'!$1:$1048576,$B669,MATCH("Initial Probability",'RAID Log'!$1:$1,0)),"")="","",IFERROR(INDEX('RAID Log'!$1:$1048576,$B669,MATCH("Initial Probability",'RAID Log'!$1:$1,0)),"")))</f>
        <v/>
      </c>
      <c r="I669" s="86" t="str">
        <f t="shared" si="30"/>
        <v/>
      </c>
      <c r="J669" s="85" t="str">
        <f t="shared" si="31"/>
        <v/>
      </c>
      <c r="K669" s="86" t="str">
        <f t="shared" si="32"/>
        <v/>
      </c>
      <c r="L669" s="85" t="str">
        <f>IF($B669="","",IF(IFERROR(INDEX('RAID Log'!$1:$1048576,$B669,MATCH("Status",'RAID Log'!$1:$1,0)),"")="","",IFERROR(INDEX('RAID Log'!$1:$1048576,$B669,MATCH("Status",'RAID Log'!$1:$1,0)),"")))</f>
        <v/>
      </c>
      <c r="M669" s="85" t="str">
        <f>IF($B669="","",IF(IFERROR(INDEX('RAID Log'!$1:$1048576,$B669,MATCH("RAID Owner",'RAID Log'!$1:$1,0)),"")="","",IFERROR(INDEX('RAID Log'!$1:$1048576,$B669,MATCH("RAID Owner",'RAID Log'!$1:$1,0)),"")))</f>
        <v/>
      </c>
      <c r="N669" s="87" t="str">
        <f>IF($B669="","",IF(IFERROR(INDEX('RAID Log'!$1:$1048576,$B669,MATCH("Date Raised",'RAID Log'!$1:$1,0)),"")="","",IFERROR(INDEX('RAID Log'!$1:$1048576,$B669,MATCH("Date Raised",'RAID Log'!$1:$1,0)),"")))</f>
        <v/>
      </c>
      <c r="O669" s="87" t="str">
        <f>IF($B669="","",IF(IFERROR(INDEX('RAID Log'!$1:$1048576,$B669,MATCH("Closed Date",'RAID Log'!$1:$1,0)),"")="","",IFERROR(INDEX('RAID Log'!$1:$1048576,$B669,MATCH("Closed Date",'RAID Log'!$1:$1,0)),"")))</f>
        <v/>
      </c>
      <c r="P669" s="85" t="str">
        <f>IF($B669="","",IF(IFERROR(INDEX('RAID Log'!$1:$1048576,$B669,MATCH("Mitigation Strategy",'RAID Log'!$1:$1,0)),"")="","",IFERROR(INDEX('RAID Log'!$1:$1048576,$B669,MATCH("Mitigation Strategy",'RAID Log'!$1:$1,0)),"")))</f>
        <v/>
      </c>
      <c r="Q669" s="88" t="str">
        <f>IF($B669="","",IF(IFERROR(INDEX('RAID Log'!$1:$1048576,$B669,MATCH("RAID Response/Plan",'RAID Log'!$1:$1,0)),"")="","",IFERROR(INDEX('RAID Log'!$1:$1048576,$B669,MATCH("RAID Response/Plan",'RAID Log'!$1:$1,0)),"")))</f>
        <v/>
      </c>
    </row>
    <row r="670" spans="1:17" ht="14.25" customHeight="1">
      <c r="A670" s="82" t="str">
        <f>IF($B670="","",IF(IFERROR(INDEX('RAID Log'!$1:$1048576,$B670,MATCH("RAID ID",'RAID Log'!$1:$1,0)),"")="","",IFERROR(INDEX('RAID Log'!$1:$1048576,$B670,MATCH("RAID ID",'RAID Log'!$1:$1,0)),"")))</f>
        <v/>
      </c>
      <c r="B670" s="83" t="str">
        <f>IFERROR(MATCH(ROW()-1,'RAID Log'!$S:$S,0),"")</f>
        <v/>
      </c>
      <c r="C670" s="84" t="str">
        <f>IF($B670="","",IF(IFERROR(INDEX('RAID Log'!$1:$1048576,$B670,MATCH("Description",'RAID Log'!$1:$1,0)),"")="","",IFERROR(INDEX('RAID Log'!$1:$1048576,$B670,MATCH("Description",'RAID Log'!$1:$1,0)),"")))</f>
        <v/>
      </c>
      <c r="D670" s="84" t="str">
        <f>IF($B670="","",IF(IFERROR(INDEX('RAID Log'!$1:$1048576,$B670,MATCH("Impact/Effect of the RAID",'RAID Log'!$1:$1,0)),"")="","",IFERROR(INDEX('RAID Log'!$1:$1048576,$B670,MATCH("Impact/Effect of the RAID",'RAID Log'!$1:$1,0)),"")))</f>
        <v/>
      </c>
      <c r="E670" s="85" t="str">
        <f>IF($B670="","",IF(IFERROR(INDEX('RAID Log'!$1:$1048576,$B670,MATCH("Impact Area",'RAID Log'!$1:$1,0)),"")="","",IFERROR(INDEX('RAID Log'!$1:$1048576,$B670,MATCH("Impact Area",'RAID Log'!$1:$1,0)),"")))</f>
        <v/>
      </c>
      <c r="F670" s="85" t="str">
        <f>IF($B670="","",IF(IFERROR(INDEX('RAID Log'!$1:$1048576,$B670,MATCH("Impact Area",'RAID Log'!$1:$1,0)),"")="","",IFERROR(INDEX('RAID Log'!$1:$1048576,$B670,MATCH("Impact Area",'RAID Log'!$1:$1,0)),"")))</f>
        <v/>
      </c>
      <c r="G670" s="85" t="str">
        <f>IF($B670="","",IF(IFERROR(INDEX('RAID Log'!$1:$1048576,$B670,MATCH("Impact Rating",'RAID Log'!$1:$1,0)),"")="","",IFERROR(INDEX('RAID Log'!$1:$1048576,$B670,MATCH("Impact Rating",'RAID Log'!$1:$1,0)),"")))</f>
        <v/>
      </c>
      <c r="H670" s="85" t="str">
        <f>IF($B670="","",IF(IFERROR(INDEX('RAID Log'!$1:$1048576,$B670,MATCH("Initial Probability",'RAID Log'!$1:$1,0)),"")="","",IFERROR(INDEX('RAID Log'!$1:$1048576,$B670,MATCH("Initial Probability",'RAID Log'!$1:$1,0)),"")))</f>
        <v/>
      </c>
      <c r="I670" s="86" t="str">
        <f t="shared" si="30"/>
        <v/>
      </c>
      <c r="J670" s="85" t="str">
        <f t="shared" si="31"/>
        <v/>
      </c>
      <c r="K670" s="86" t="str">
        <f t="shared" si="32"/>
        <v/>
      </c>
      <c r="L670" s="85" t="str">
        <f>IF($B670="","",IF(IFERROR(INDEX('RAID Log'!$1:$1048576,$B670,MATCH("Status",'RAID Log'!$1:$1,0)),"")="","",IFERROR(INDEX('RAID Log'!$1:$1048576,$B670,MATCH("Status",'RAID Log'!$1:$1,0)),"")))</f>
        <v/>
      </c>
      <c r="M670" s="85" t="str">
        <f>IF($B670="","",IF(IFERROR(INDEX('RAID Log'!$1:$1048576,$B670,MATCH("RAID Owner",'RAID Log'!$1:$1,0)),"")="","",IFERROR(INDEX('RAID Log'!$1:$1048576,$B670,MATCH("RAID Owner",'RAID Log'!$1:$1,0)),"")))</f>
        <v/>
      </c>
      <c r="N670" s="87" t="str">
        <f>IF($B670="","",IF(IFERROR(INDEX('RAID Log'!$1:$1048576,$B670,MATCH("Date Raised",'RAID Log'!$1:$1,0)),"")="","",IFERROR(INDEX('RAID Log'!$1:$1048576,$B670,MATCH("Date Raised",'RAID Log'!$1:$1,0)),"")))</f>
        <v/>
      </c>
      <c r="O670" s="87" t="str">
        <f>IF($B670="","",IF(IFERROR(INDEX('RAID Log'!$1:$1048576,$B670,MATCH("Closed Date",'RAID Log'!$1:$1,0)),"")="","",IFERROR(INDEX('RAID Log'!$1:$1048576,$B670,MATCH("Closed Date",'RAID Log'!$1:$1,0)),"")))</f>
        <v/>
      </c>
      <c r="P670" s="85" t="str">
        <f>IF($B670="","",IF(IFERROR(INDEX('RAID Log'!$1:$1048576,$B670,MATCH("Mitigation Strategy",'RAID Log'!$1:$1,0)),"")="","",IFERROR(INDEX('RAID Log'!$1:$1048576,$B670,MATCH("Mitigation Strategy",'RAID Log'!$1:$1,0)),"")))</f>
        <v/>
      </c>
      <c r="Q670" s="88" t="str">
        <f>IF($B670="","",IF(IFERROR(INDEX('RAID Log'!$1:$1048576,$B670,MATCH("RAID Response/Plan",'RAID Log'!$1:$1,0)),"")="","",IFERROR(INDEX('RAID Log'!$1:$1048576,$B670,MATCH("RAID Response/Plan",'RAID Log'!$1:$1,0)),"")))</f>
        <v/>
      </c>
    </row>
    <row r="671" spans="1:17" ht="14.25" customHeight="1">
      <c r="A671" s="82" t="str">
        <f>IF($B671="","",IF(IFERROR(INDEX('RAID Log'!$1:$1048576,$B671,MATCH("RAID ID",'RAID Log'!$1:$1,0)),"")="","",IFERROR(INDEX('RAID Log'!$1:$1048576,$B671,MATCH("RAID ID",'RAID Log'!$1:$1,0)),"")))</f>
        <v/>
      </c>
      <c r="B671" s="83" t="str">
        <f>IFERROR(MATCH(ROW()-1,'RAID Log'!$S:$S,0),"")</f>
        <v/>
      </c>
      <c r="C671" s="84" t="str">
        <f>IF($B671="","",IF(IFERROR(INDEX('RAID Log'!$1:$1048576,$B671,MATCH("Description",'RAID Log'!$1:$1,0)),"")="","",IFERROR(INDEX('RAID Log'!$1:$1048576,$B671,MATCH("Description",'RAID Log'!$1:$1,0)),"")))</f>
        <v/>
      </c>
      <c r="D671" s="84" t="str">
        <f>IF($B671="","",IF(IFERROR(INDEX('RAID Log'!$1:$1048576,$B671,MATCH("Impact/Effect of the RAID",'RAID Log'!$1:$1,0)),"")="","",IFERROR(INDEX('RAID Log'!$1:$1048576,$B671,MATCH("Impact/Effect of the RAID",'RAID Log'!$1:$1,0)),"")))</f>
        <v/>
      </c>
      <c r="E671" s="85" t="str">
        <f>IF($B671="","",IF(IFERROR(INDEX('RAID Log'!$1:$1048576,$B671,MATCH("Impact Area",'RAID Log'!$1:$1,0)),"")="","",IFERROR(INDEX('RAID Log'!$1:$1048576,$B671,MATCH("Impact Area",'RAID Log'!$1:$1,0)),"")))</f>
        <v/>
      </c>
      <c r="F671" s="85" t="str">
        <f>IF($B671="","",IF(IFERROR(INDEX('RAID Log'!$1:$1048576,$B671,MATCH("Impact Area",'RAID Log'!$1:$1,0)),"")="","",IFERROR(INDEX('RAID Log'!$1:$1048576,$B671,MATCH("Impact Area",'RAID Log'!$1:$1,0)),"")))</f>
        <v/>
      </c>
      <c r="G671" s="85" t="str">
        <f>IF($B671="","",IF(IFERROR(INDEX('RAID Log'!$1:$1048576,$B671,MATCH("Impact Rating",'RAID Log'!$1:$1,0)),"")="","",IFERROR(INDEX('RAID Log'!$1:$1048576,$B671,MATCH("Impact Rating",'RAID Log'!$1:$1,0)),"")))</f>
        <v/>
      </c>
      <c r="H671" s="85" t="str">
        <f>IF($B671="","",IF(IFERROR(INDEX('RAID Log'!$1:$1048576,$B671,MATCH("Initial Probability",'RAID Log'!$1:$1,0)),"")="","",IFERROR(INDEX('RAID Log'!$1:$1048576,$B671,MATCH("Initial Probability",'RAID Log'!$1:$1,0)),"")))</f>
        <v/>
      </c>
      <c r="I671" s="86" t="str">
        <f t="shared" si="30"/>
        <v/>
      </c>
      <c r="J671" s="85" t="str">
        <f t="shared" si="31"/>
        <v/>
      </c>
      <c r="K671" s="86" t="str">
        <f t="shared" si="32"/>
        <v/>
      </c>
      <c r="L671" s="85" t="str">
        <f>IF($B671="","",IF(IFERROR(INDEX('RAID Log'!$1:$1048576,$B671,MATCH("Status",'RAID Log'!$1:$1,0)),"")="","",IFERROR(INDEX('RAID Log'!$1:$1048576,$B671,MATCH("Status",'RAID Log'!$1:$1,0)),"")))</f>
        <v/>
      </c>
      <c r="M671" s="85" t="str">
        <f>IF($B671="","",IF(IFERROR(INDEX('RAID Log'!$1:$1048576,$B671,MATCH("RAID Owner",'RAID Log'!$1:$1,0)),"")="","",IFERROR(INDEX('RAID Log'!$1:$1048576,$B671,MATCH("RAID Owner",'RAID Log'!$1:$1,0)),"")))</f>
        <v/>
      </c>
      <c r="N671" s="87" t="str">
        <f>IF($B671="","",IF(IFERROR(INDEX('RAID Log'!$1:$1048576,$B671,MATCH("Date Raised",'RAID Log'!$1:$1,0)),"")="","",IFERROR(INDEX('RAID Log'!$1:$1048576,$B671,MATCH("Date Raised",'RAID Log'!$1:$1,0)),"")))</f>
        <v/>
      </c>
      <c r="O671" s="87" t="str">
        <f>IF($B671="","",IF(IFERROR(INDEX('RAID Log'!$1:$1048576,$B671,MATCH("Closed Date",'RAID Log'!$1:$1,0)),"")="","",IFERROR(INDEX('RAID Log'!$1:$1048576,$B671,MATCH("Closed Date",'RAID Log'!$1:$1,0)),"")))</f>
        <v/>
      </c>
      <c r="P671" s="85" t="str">
        <f>IF($B671="","",IF(IFERROR(INDEX('RAID Log'!$1:$1048576,$B671,MATCH("Mitigation Strategy",'RAID Log'!$1:$1,0)),"")="","",IFERROR(INDEX('RAID Log'!$1:$1048576,$B671,MATCH("Mitigation Strategy",'RAID Log'!$1:$1,0)),"")))</f>
        <v/>
      </c>
      <c r="Q671" s="88" t="str">
        <f>IF($B671="","",IF(IFERROR(INDEX('RAID Log'!$1:$1048576,$B671,MATCH("RAID Response/Plan",'RAID Log'!$1:$1,0)),"")="","",IFERROR(INDEX('RAID Log'!$1:$1048576,$B671,MATCH("RAID Response/Plan",'RAID Log'!$1:$1,0)),"")))</f>
        <v/>
      </c>
    </row>
    <row r="672" spans="1:17" ht="14.25" customHeight="1">
      <c r="A672" s="82" t="str">
        <f>IF($B672="","",IF(IFERROR(INDEX('RAID Log'!$1:$1048576,$B672,MATCH("RAID ID",'RAID Log'!$1:$1,0)),"")="","",IFERROR(INDEX('RAID Log'!$1:$1048576,$B672,MATCH("RAID ID",'RAID Log'!$1:$1,0)),"")))</f>
        <v/>
      </c>
      <c r="B672" s="83" t="str">
        <f>IFERROR(MATCH(ROW()-1,'RAID Log'!$S:$S,0),"")</f>
        <v/>
      </c>
      <c r="C672" s="84" t="str">
        <f>IF($B672="","",IF(IFERROR(INDEX('RAID Log'!$1:$1048576,$B672,MATCH("Description",'RAID Log'!$1:$1,0)),"")="","",IFERROR(INDEX('RAID Log'!$1:$1048576,$B672,MATCH("Description",'RAID Log'!$1:$1,0)),"")))</f>
        <v/>
      </c>
      <c r="D672" s="84" t="str">
        <f>IF($B672="","",IF(IFERROR(INDEX('RAID Log'!$1:$1048576,$B672,MATCH("Impact/Effect of the RAID",'RAID Log'!$1:$1,0)),"")="","",IFERROR(INDEX('RAID Log'!$1:$1048576,$B672,MATCH("Impact/Effect of the RAID",'RAID Log'!$1:$1,0)),"")))</f>
        <v/>
      </c>
      <c r="E672" s="85" t="str">
        <f>IF($B672="","",IF(IFERROR(INDEX('RAID Log'!$1:$1048576,$B672,MATCH("Impact Area",'RAID Log'!$1:$1,0)),"")="","",IFERROR(INDEX('RAID Log'!$1:$1048576,$B672,MATCH("Impact Area",'RAID Log'!$1:$1,0)),"")))</f>
        <v/>
      </c>
      <c r="F672" s="85" t="str">
        <f>IF($B672="","",IF(IFERROR(INDEX('RAID Log'!$1:$1048576,$B672,MATCH("Impact Area",'RAID Log'!$1:$1,0)),"")="","",IFERROR(INDEX('RAID Log'!$1:$1048576,$B672,MATCH("Impact Area",'RAID Log'!$1:$1,0)),"")))</f>
        <v/>
      </c>
      <c r="G672" s="85" t="str">
        <f>IF($B672="","",IF(IFERROR(INDEX('RAID Log'!$1:$1048576,$B672,MATCH("Impact Rating",'RAID Log'!$1:$1,0)),"")="","",IFERROR(INDEX('RAID Log'!$1:$1048576,$B672,MATCH("Impact Rating",'RAID Log'!$1:$1,0)),"")))</f>
        <v/>
      </c>
      <c r="H672" s="85" t="str">
        <f>IF($B672="","",IF(IFERROR(INDEX('RAID Log'!$1:$1048576,$B672,MATCH("Initial Probability",'RAID Log'!$1:$1,0)),"")="","",IFERROR(INDEX('RAID Log'!$1:$1048576,$B672,MATCH("Initial Probability",'RAID Log'!$1:$1,0)),"")))</f>
        <v/>
      </c>
      <c r="I672" s="86" t="str">
        <f t="shared" si="30"/>
        <v/>
      </c>
      <c r="J672" s="85" t="str">
        <f t="shared" si="31"/>
        <v/>
      </c>
      <c r="K672" s="86" t="str">
        <f t="shared" si="32"/>
        <v/>
      </c>
      <c r="L672" s="85" t="str">
        <f>IF($B672="","",IF(IFERROR(INDEX('RAID Log'!$1:$1048576,$B672,MATCH("Status",'RAID Log'!$1:$1,0)),"")="","",IFERROR(INDEX('RAID Log'!$1:$1048576,$B672,MATCH("Status",'RAID Log'!$1:$1,0)),"")))</f>
        <v/>
      </c>
      <c r="M672" s="85" t="str">
        <f>IF($B672="","",IF(IFERROR(INDEX('RAID Log'!$1:$1048576,$B672,MATCH("RAID Owner",'RAID Log'!$1:$1,0)),"")="","",IFERROR(INDEX('RAID Log'!$1:$1048576,$B672,MATCH("RAID Owner",'RAID Log'!$1:$1,0)),"")))</f>
        <v/>
      </c>
      <c r="N672" s="87" t="str">
        <f>IF($B672="","",IF(IFERROR(INDEX('RAID Log'!$1:$1048576,$B672,MATCH("Date Raised",'RAID Log'!$1:$1,0)),"")="","",IFERROR(INDEX('RAID Log'!$1:$1048576,$B672,MATCH("Date Raised",'RAID Log'!$1:$1,0)),"")))</f>
        <v/>
      </c>
      <c r="O672" s="87" t="str">
        <f>IF($B672="","",IF(IFERROR(INDEX('RAID Log'!$1:$1048576,$B672,MATCH("Closed Date",'RAID Log'!$1:$1,0)),"")="","",IFERROR(INDEX('RAID Log'!$1:$1048576,$B672,MATCH("Closed Date",'RAID Log'!$1:$1,0)),"")))</f>
        <v/>
      </c>
      <c r="P672" s="85" t="str">
        <f>IF($B672="","",IF(IFERROR(INDEX('RAID Log'!$1:$1048576,$B672,MATCH("Mitigation Strategy",'RAID Log'!$1:$1,0)),"")="","",IFERROR(INDEX('RAID Log'!$1:$1048576,$B672,MATCH("Mitigation Strategy",'RAID Log'!$1:$1,0)),"")))</f>
        <v/>
      </c>
      <c r="Q672" s="88" t="str">
        <f>IF($B672="","",IF(IFERROR(INDEX('RAID Log'!$1:$1048576,$B672,MATCH("RAID Response/Plan",'RAID Log'!$1:$1,0)),"")="","",IFERROR(INDEX('RAID Log'!$1:$1048576,$B672,MATCH("RAID Response/Plan",'RAID Log'!$1:$1,0)),"")))</f>
        <v/>
      </c>
    </row>
    <row r="673" spans="1:17" ht="14.25" customHeight="1">
      <c r="A673" s="82" t="str">
        <f>IF($B673="","",IF(IFERROR(INDEX('RAID Log'!$1:$1048576,$B673,MATCH("RAID ID",'RAID Log'!$1:$1,0)),"")="","",IFERROR(INDEX('RAID Log'!$1:$1048576,$B673,MATCH("RAID ID",'RAID Log'!$1:$1,0)),"")))</f>
        <v/>
      </c>
      <c r="B673" s="83" t="str">
        <f>IFERROR(MATCH(ROW()-1,'RAID Log'!$S:$S,0),"")</f>
        <v/>
      </c>
      <c r="C673" s="84" t="str">
        <f>IF($B673="","",IF(IFERROR(INDEX('RAID Log'!$1:$1048576,$B673,MATCH("Description",'RAID Log'!$1:$1,0)),"")="","",IFERROR(INDEX('RAID Log'!$1:$1048576,$B673,MATCH("Description",'RAID Log'!$1:$1,0)),"")))</f>
        <v/>
      </c>
      <c r="D673" s="84" t="str">
        <f>IF($B673="","",IF(IFERROR(INDEX('RAID Log'!$1:$1048576,$B673,MATCH("Impact/Effect of the RAID",'RAID Log'!$1:$1,0)),"")="","",IFERROR(INDEX('RAID Log'!$1:$1048576,$B673,MATCH("Impact/Effect of the RAID",'RAID Log'!$1:$1,0)),"")))</f>
        <v/>
      </c>
      <c r="E673" s="85" t="str">
        <f>IF($B673="","",IF(IFERROR(INDEX('RAID Log'!$1:$1048576,$B673,MATCH("Impact Area",'RAID Log'!$1:$1,0)),"")="","",IFERROR(INDEX('RAID Log'!$1:$1048576,$B673,MATCH("Impact Area",'RAID Log'!$1:$1,0)),"")))</f>
        <v/>
      </c>
      <c r="F673" s="85" t="str">
        <f>IF($B673="","",IF(IFERROR(INDEX('RAID Log'!$1:$1048576,$B673,MATCH("Impact Area",'RAID Log'!$1:$1,0)),"")="","",IFERROR(INDEX('RAID Log'!$1:$1048576,$B673,MATCH("Impact Area",'RAID Log'!$1:$1,0)),"")))</f>
        <v/>
      </c>
      <c r="G673" s="85" t="str">
        <f>IF($B673="","",IF(IFERROR(INDEX('RAID Log'!$1:$1048576,$B673,MATCH("Impact Rating",'RAID Log'!$1:$1,0)),"")="","",IFERROR(INDEX('RAID Log'!$1:$1048576,$B673,MATCH("Impact Rating",'RAID Log'!$1:$1,0)),"")))</f>
        <v/>
      </c>
      <c r="H673" s="85" t="str">
        <f>IF($B673="","",IF(IFERROR(INDEX('RAID Log'!$1:$1048576,$B673,MATCH("Initial Probability",'RAID Log'!$1:$1,0)),"")="","",IFERROR(INDEX('RAID Log'!$1:$1048576,$B673,MATCH("Initial Probability",'RAID Log'!$1:$1,0)),"")))</f>
        <v/>
      </c>
      <c r="I673" s="86" t="str">
        <f t="shared" si="30"/>
        <v/>
      </c>
      <c r="J673" s="85" t="str">
        <f t="shared" si="31"/>
        <v/>
      </c>
      <c r="K673" s="86" t="str">
        <f t="shared" si="32"/>
        <v/>
      </c>
      <c r="L673" s="85" t="str">
        <f>IF($B673="","",IF(IFERROR(INDEX('RAID Log'!$1:$1048576,$B673,MATCH("Status",'RAID Log'!$1:$1,0)),"")="","",IFERROR(INDEX('RAID Log'!$1:$1048576,$B673,MATCH("Status",'RAID Log'!$1:$1,0)),"")))</f>
        <v/>
      </c>
      <c r="M673" s="85" t="str">
        <f>IF($B673="","",IF(IFERROR(INDEX('RAID Log'!$1:$1048576,$B673,MATCH("RAID Owner",'RAID Log'!$1:$1,0)),"")="","",IFERROR(INDEX('RAID Log'!$1:$1048576,$B673,MATCH("RAID Owner",'RAID Log'!$1:$1,0)),"")))</f>
        <v/>
      </c>
      <c r="N673" s="87" t="str">
        <f>IF($B673="","",IF(IFERROR(INDEX('RAID Log'!$1:$1048576,$B673,MATCH("Date Raised",'RAID Log'!$1:$1,0)),"")="","",IFERROR(INDEX('RAID Log'!$1:$1048576,$B673,MATCH("Date Raised",'RAID Log'!$1:$1,0)),"")))</f>
        <v/>
      </c>
      <c r="O673" s="87" t="str">
        <f>IF($B673="","",IF(IFERROR(INDEX('RAID Log'!$1:$1048576,$B673,MATCH("Closed Date",'RAID Log'!$1:$1,0)),"")="","",IFERROR(INDEX('RAID Log'!$1:$1048576,$B673,MATCH("Closed Date",'RAID Log'!$1:$1,0)),"")))</f>
        <v/>
      </c>
      <c r="P673" s="85" t="str">
        <f>IF($B673="","",IF(IFERROR(INDEX('RAID Log'!$1:$1048576,$B673,MATCH("Mitigation Strategy",'RAID Log'!$1:$1,0)),"")="","",IFERROR(INDEX('RAID Log'!$1:$1048576,$B673,MATCH("Mitigation Strategy",'RAID Log'!$1:$1,0)),"")))</f>
        <v/>
      </c>
      <c r="Q673" s="88" t="str">
        <f>IF($B673="","",IF(IFERROR(INDEX('RAID Log'!$1:$1048576,$B673,MATCH("RAID Response/Plan",'RAID Log'!$1:$1,0)),"")="","",IFERROR(INDEX('RAID Log'!$1:$1048576,$B673,MATCH("RAID Response/Plan",'RAID Log'!$1:$1,0)),"")))</f>
        <v/>
      </c>
    </row>
    <row r="674" spans="1:17" ht="14.25" customHeight="1">
      <c r="A674" s="82" t="str">
        <f>IF($B674="","",IF(IFERROR(INDEX('RAID Log'!$1:$1048576,$B674,MATCH("RAID ID",'RAID Log'!$1:$1,0)),"")="","",IFERROR(INDEX('RAID Log'!$1:$1048576,$B674,MATCH("RAID ID",'RAID Log'!$1:$1,0)),"")))</f>
        <v/>
      </c>
      <c r="B674" s="83" t="str">
        <f>IFERROR(MATCH(ROW()-1,'RAID Log'!$S:$S,0),"")</f>
        <v/>
      </c>
      <c r="C674" s="84" t="str">
        <f>IF($B674="","",IF(IFERROR(INDEX('RAID Log'!$1:$1048576,$B674,MATCH("Description",'RAID Log'!$1:$1,0)),"")="","",IFERROR(INDEX('RAID Log'!$1:$1048576,$B674,MATCH("Description",'RAID Log'!$1:$1,0)),"")))</f>
        <v/>
      </c>
      <c r="D674" s="84" t="str">
        <f>IF($B674="","",IF(IFERROR(INDEX('RAID Log'!$1:$1048576,$B674,MATCH("Impact/Effect of the RAID",'RAID Log'!$1:$1,0)),"")="","",IFERROR(INDEX('RAID Log'!$1:$1048576,$B674,MATCH("Impact/Effect of the RAID",'RAID Log'!$1:$1,0)),"")))</f>
        <v/>
      </c>
      <c r="E674" s="85" t="str">
        <f>IF($B674="","",IF(IFERROR(INDEX('RAID Log'!$1:$1048576,$B674,MATCH("Impact Area",'RAID Log'!$1:$1,0)),"")="","",IFERROR(INDEX('RAID Log'!$1:$1048576,$B674,MATCH("Impact Area",'RAID Log'!$1:$1,0)),"")))</f>
        <v/>
      </c>
      <c r="F674" s="85" t="str">
        <f>IF($B674="","",IF(IFERROR(INDEX('RAID Log'!$1:$1048576,$B674,MATCH("Impact Area",'RAID Log'!$1:$1,0)),"")="","",IFERROR(INDEX('RAID Log'!$1:$1048576,$B674,MATCH("Impact Area",'RAID Log'!$1:$1,0)),"")))</f>
        <v/>
      </c>
      <c r="G674" s="85" t="str">
        <f>IF($B674="","",IF(IFERROR(INDEX('RAID Log'!$1:$1048576,$B674,MATCH("Impact Rating",'RAID Log'!$1:$1,0)),"")="","",IFERROR(INDEX('RAID Log'!$1:$1048576,$B674,MATCH("Impact Rating",'RAID Log'!$1:$1,0)),"")))</f>
        <v/>
      </c>
      <c r="H674" s="85" t="str">
        <f>IF($B674="","",IF(IFERROR(INDEX('RAID Log'!$1:$1048576,$B674,MATCH("Initial Probability",'RAID Log'!$1:$1,0)),"")="","",IFERROR(INDEX('RAID Log'!$1:$1048576,$B674,MATCH("Initial Probability",'RAID Log'!$1:$1,0)),"")))</f>
        <v/>
      </c>
      <c r="I674" s="86" t="str">
        <f t="shared" si="30"/>
        <v/>
      </c>
      <c r="J674" s="85" t="str">
        <f t="shared" si="31"/>
        <v/>
      </c>
      <c r="K674" s="86" t="str">
        <f t="shared" si="32"/>
        <v/>
      </c>
      <c r="L674" s="85" t="str">
        <f>IF($B674="","",IF(IFERROR(INDEX('RAID Log'!$1:$1048576,$B674,MATCH("Status",'RAID Log'!$1:$1,0)),"")="","",IFERROR(INDEX('RAID Log'!$1:$1048576,$B674,MATCH("Status",'RAID Log'!$1:$1,0)),"")))</f>
        <v/>
      </c>
      <c r="M674" s="85" t="str">
        <f>IF($B674="","",IF(IFERROR(INDEX('RAID Log'!$1:$1048576,$B674,MATCH("RAID Owner",'RAID Log'!$1:$1,0)),"")="","",IFERROR(INDEX('RAID Log'!$1:$1048576,$B674,MATCH("RAID Owner",'RAID Log'!$1:$1,0)),"")))</f>
        <v/>
      </c>
      <c r="N674" s="87" t="str">
        <f>IF($B674="","",IF(IFERROR(INDEX('RAID Log'!$1:$1048576,$B674,MATCH("Date Raised",'RAID Log'!$1:$1,0)),"")="","",IFERROR(INDEX('RAID Log'!$1:$1048576,$B674,MATCH("Date Raised",'RAID Log'!$1:$1,0)),"")))</f>
        <v/>
      </c>
      <c r="O674" s="87" t="str">
        <f>IF($B674="","",IF(IFERROR(INDEX('RAID Log'!$1:$1048576,$B674,MATCH("Closed Date",'RAID Log'!$1:$1,0)),"")="","",IFERROR(INDEX('RAID Log'!$1:$1048576,$B674,MATCH("Closed Date",'RAID Log'!$1:$1,0)),"")))</f>
        <v/>
      </c>
      <c r="P674" s="85" t="str">
        <f>IF($B674="","",IF(IFERROR(INDEX('RAID Log'!$1:$1048576,$B674,MATCH("Mitigation Strategy",'RAID Log'!$1:$1,0)),"")="","",IFERROR(INDEX('RAID Log'!$1:$1048576,$B674,MATCH("Mitigation Strategy",'RAID Log'!$1:$1,0)),"")))</f>
        <v/>
      </c>
      <c r="Q674" s="88" t="str">
        <f>IF($B674="","",IF(IFERROR(INDEX('RAID Log'!$1:$1048576,$B674,MATCH("RAID Response/Plan",'RAID Log'!$1:$1,0)),"")="","",IFERROR(INDEX('RAID Log'!$1:$1048576,$B674,MATCH("RAID Response/Plan",'RAID Log'!$1:$1,0)),"")))</f>
        <v/>
      </c>
    </row>
    <row r="675" spans="1:17" ht="14.25" customHeight="1">
      <c r="A675" s="82" t="str">
        <f>IF($B675="","",IF(IFERROR(INDEX('RAID Log'!$1:$1048576,$B675,MATCH("RAID ID",'RAID Log'!$1:$1,0)),"")="","",IFERROR(INDEX('RAID Log'!$1:$1048576,$B675,MATCH("RAID ID",'RAID Log'!$1:$1,0)),"")))</f>
        <v/>
      </c>
      <c r="B675" s="83" t="str">
        <f>IFERROR(MATCH(ROW()-1,'RAID Log'!$S:$S,0),"")</f>
        <v/>
      </c>
      <c r="C675" s="84" t="str">
        <f>IF($B675="","",IF(IFERROR(INDEX('RAID Log'!$1:$1048576,$B675,MATCH("Description",'RAID Log'!$1:$1,0)),"")="","",IFERROR(INDEX('RAID Log'!$1:$1048576,$B675,MATCH("Description",'RAID Log'!$1:$1,0)),"")))</f>
        <v/>
      </c>
      <c r="D675" s="84" t="str">
        <f>IF($B675="","",IF(IFERROR(INDEX('RAID Log'!$1:$1048576,$B675,MATCH("Impact/Effect of the RAID",'RAID Log'!$1:$1,0)),"")="","",IFERROR(INDEX('RAID Log'!$1:$1048576,$B675,MATCH("Impact/Effect of the RAID",'RAID Log'!$1:$1,0)),"")))</f>
        <v/>
      </c>
      <c r="E675" s="85" t="str">
        <f>IF($B675="","",IF(IFERROR(INDEX('RAID Log'!$1:$1048576,$B675,MATCH("Impact Area",'RAID Log'!$1:$1,0)),"")="","",IFERROR(INDEX('RAID Log'!$1:$1048576,$B675,MATCH("Impact Area",'RAID Log'!$1:$1,0)),"")))</f>
        <v/>
      </c>
      <c r="F675" s="85" t="str">
        <f>IF($B675="","",IF(IFERROR(INDEX('RAID Log'!$1:$1048576,$B675,MATCH("Impact Area",'RAID Log'!$1:$1,0)),"")="","",IFERROR(INDEX('RAID Log'!$1:$1048576,$B675,MATCH("Impact Area",'RAID Log'!$1:$1,0)),"")))</f>
        <v/>
      </c>
      <c r="G675" s="85" t="str">
        <f>IF($B675="","",IF(IFERROR(INDEX('RAID Log'!$1:$1048576,$B675,MATCH("Impact Rating",'RAID Log'!$1:$1,0)),"")="","",IFERROR(INDEX('RAID Log'!$1:$1048576,$B675,MATCH("Impact Rating",'RAID Log'!$1:$1,0)),"")))</f>
        <v/>
      </c>
      <c r="H675" s="85" t="str">
        <f>IF($B675="","",IF(IFERROR(INDEX('RAID Log'!$1:$1048576,$B675,MATCH("Initial Probability",'RAID Log'!$1:$1,0)),"")="","",IFERROR(INDEX('RAID Log'!$1:$1048576,$B675,MATCH("Initial Probability",'RAID Log'!$1:$1,0)),"")))</f>
        <v/>
      </c>
      <c r="I675" s="86" t="str">
        <f t="shared" si="30"/>
        <v/>
      </c>
      <c r="J675" s="85" t="str">
        <f t="shared" si="31"/>
        <v/>
      </c>
      <c r="K675" s="86" t="str">
        <f t="shared" si="32"/>
        <v/>
      </c>
      <c r="L675" s="85" t="str">
        <f>IF($B675="","",IF(IFERROR(INDEX('RAID Log'!$1:$1048576,$B675,MATCH("Status",'RAID Log'!$1:$1,0)),"")="","",IFERROR(INDEX('RAID Log'!$1:$1048576,$B675,MATCH("Status",'RAID Log'!$1:$1,0)),"")))</f>
        <v/>
      </c>
      <c r="M675" s="85" t="str">
        <f>IF($B675="","",IF(IFERROR(INDEX('RAID Log'!$1:$1048576,$B675,MATCH("RAID Owner",'RAID Log'!$1:$1,0)),"")="","",IFERROR(INDEX('RAID Log'!$1:$1048576,$B675,MATCH("RAID Owner",'RAID Log'!$1:$1,0)),"")))</f>
        <v/>
      </c>
      <c r="N675" s="87" t="str">
        <f>IF($B675="","",IF(IFERROR(INDEX('RAID Log'!$1:$1048576,$B675,MATCH("Date Raised",'RAID Log'!$1:$1,0)),"")="","",IFERROR(INDEX('RAID Log'!$1:$1048576,$B675,MATCH("Date Raised",'RAID Log'!$1:$1,0)),"")))</f>
        <v/>
      </c>
      <c r="O675" s="87" t="str">
        <f>IF($B675="","",IF(IFERROR(INDEX('RAID Log'!$1:$1048576,$B675,MATCH("Closed Date",'RAID Log'!$1:$1,0)),"")="","",IFERROR(INDEX('RAID Log'!$1:$1048576,$B675,MATCH("Closed Date",'RAID Log'!$1:$1,0)),"")))</f>
        <v/>
      </c>
      <c r="P675" s="85" t="str">
        <f>IF($B675="","",IF(IFERROR(INDEX('RAID Log'!$1:$1048576,$B675,MATCH("Mitigation Strategy",'RAID Log'!$1:$1,0)),"")="","",IFERROR(INDEX('RAID Log'!$1:$1048576,$B675,MATCH("Mitigation Strategy",'RAID Log'!$1:$1,0)),"")))</f>
        <v/>
      </c>
      <c r="Q675" s="88" t="str">
        <f>IF($B675="","",IF(IFERROR(INDEX('RAID Log'!$1:$1048576,$B675,MATCH("RAID Response/Plan",'RAID Log'!$1:$1,0)),"")="","",IFERROR(INDEX('RAID Log'!$1:$1048576,$B675,MATCH("RAID Response/Plan",'RAID Log'!$1:$1,0)),"")))</f>
        <v/>
      </c>
    </row>
    <row r="676" spans="1:17" ht="14.25" customHeight="1">
      <c r="A676" s="82" t="str">
        <f>IF($B676="","",IF(IFERROR(INDEX('RAID Log'!$1:$1048576,$B676,MATCH("RAID ID",'RAID Log'!$1:$1,0)),"")="","",IFERROR(INDEX('RAID Log'!$1:$1048576,$B676,MATCH("RAID ID",'RAID Log'!$1:$1,0)),"")))</f>
        <v/>
      </c>
      <c r="B676" s="83" t="str">
        <f>IFERROR(MATCH(ROW()-1,'RAID Log'!$S:$S,0),"")</f>
        <v/>
      </c>
      <c r="C676" s="84" t="str">
        <f>IF($B676="","",IF(IFERROR(INDEX('RAID Log'!$1:$1048576,$B676,MATCH("Description",'RAID Log'!$1:$1,0)),"")="","",IFERROR(INDEX('RAID Log'!$1:$1048576,$B676,MATCH("Description",'RAID Log'!$1:$1,0)),"")))</f>
        <v/>
      </c>
      <c r="D676" s="84" t="str">
        <f>IF($B676="","",IF(IFERROR(INDEX('RAID Log'!$1:$1048576,$B676,MATCH("Impact/Effect of the RAID",'RAID Log'!$1:$1,0)),"")="","",IFERROR(INDEX('RAID Log'!$1:$1048576,$B676,MATCH("Impact/Effect of the RAID",'RAID Log'!$1:$1,0)),"")))</f>
        <v/>
      </c>
      <c r="E676" s="85" t="str">
        <f>IF($B676="","",IF(IFERROR(INDEX('RAID Log'!$1:$1048576,$B676,MATCH("Impact Area",'RAID Log'!$1:$1,0)),"")="","",IFERROR(INDEX('RAID Log'!$1:$1048576,$B676,MATCH("Impact Area",'RAID Log'!$1:$1,0)),"")))</f>
        <v/>
      </c>
      <c r="F676" s="85" t="str">
        <f>IF($B676="","",IF(IFERROR(INDEX('RAID Log'!$1:$1048576,$B676,MATCH("Impact Area",'RAID Log'!$1:$1,0)),"")="","",IFERROR(INDEX('RAID Log'!$1:$1048576,$B676,MATCH("Impact Area",'RAID Log'!$1:$1,0)),"")))</f>
        <v/>
      </c>
      <c r="G676" s="85" t="str">
        <f>IF($B676="","",IF(IFERROR(INDEX('RAID Log'!$1:$1048576,$B676,MATCH("Impact Rating",'RAID Log'!$1:$1,0)),"")="","",IFERROR(INDEX('RAID Log'!$1:$1048576,$B676,MATCH("Impact Rating",'RAID Log'!$1:$1,0)),"")))</f>
        <v/>
      </c>
      <c r="H676" s="85" t="str">
        <f>IF($B676="","",IF(IFERROR(INDEX('RAID Log'!$1:$1048576,$B676,MATCH("Initial Probability",'RAID Log'!$1:$1,0)),"")="","",IFERROR(INDEX('RAID Log'!$1:$1048576,$B676,MATCH("Initial Probability",'RAID Log'!$1:$1,0)),"")))</f>
        <v/>
      </c>
      <c r="I676" s="86" t="str">
        <f t="shared" si="30"/>
        <v/>
      </c>
      <c r="J676" s="85" t="str">
        <f t="shared" si="31"/>
        <v/>
      </c>
      <c r="K676" s="86" t="str">
        <f t="shared" si="32"/>
        <v/>
      </c>
      <c r="L676" s="85" t="str">
        <f>IF($B676="","",IF(IFERROR(INDEX('RAID Log'!$1:$1048576,$B676,MATCH("Status",'RAID Log'!$1:$1,0)),"")="","",IFERROR(INDEX('RAID Log'!$1:$1048576,$B676,MATCH("Status",'RAID Log'!$1:$1,0)),"")))</f>
        <v/>
      </c>
      <c r="M676" s="85" t="str">
        <f>IF($B676="","",IF(IFERROR(INDEX('RAID Log'!$1:$1048576,$B676,MATCH("RAID Owner",'RAID Log'!$1:$1,0)),"")="","",IFERROR(INDEX('RAID Log'!$1:$1048576,$B676,MATCH("RAID Owner",'RAID Log'!$1:$1,0)),"")))</f>
        <v/>
      </c>
      <c r="N676" s="87" t="str">
        <f>IF($B676="","",IF(IFERROR(INDEX('RAID Log'!$1:$1048576,$B676,MATCH("Date Raised",'RAID Log'!$1:$1,0)),"")="","",IFERROR(INDEX('RAID Log'!$1:$1048576,$B676,MATCH("Date Raised",'RAID Log'!$1:$1,0)),"")))</f>
        <v/>
      </c>
      <c r="O676" s="87" t="str">
        <f>IF($B676="","",IF(IFERROR(INDEX('RAID Log'!$1:$1048576,$B676,MATCH("Closed Date",'RAID Log'!$1:$1,0)),"")="","",IFERROR(INDEX('RAID Log'!$1:$1048576,$B676,MATCH("Closed Date",'RAID Log'!$1:$1,0)),"")))</f>
        <v/>
      </c>
      <c r="P676" s="85" t="str">
        <f>IF($B676="","",IF(IFERROR(INDEX('RAID Log'!$1:$1048576,$B676,MATCH("Mitigation Strategy",'RAID Log'!$1:$1,0)),"")="","",IFERROR(INDEX('RAID Log'!$1:$1048576,$B676,MATCH("Mitigation Strategy",'RAID Log'!$1:$1,0)),"")))</f>
        <v/>
      </c>
      <c r="Q676" s="88" t="str">
        <f>IF($B676="","",IF(IFERROR(INDEX('RAID Log'!$1:$1048576,$B676,MATCH("RAID Response/Plan",'RAID Log'!$1:$1,0)),"")="","",IFERROR(INDEX('RAID Log'!$1:$1048576,$B676,MATCH("RAID Response/Plan",'RAID Log'!$1:$1,0)),"")))</f>
        <v/>
      </c>
    </row>
    <row r="677" spans="1:17" ht="14.25" customHeight="1">
      <c r="A677" s="82" t="str">
        <f>IF($B677="","",IF(IFERROR(INDEX('RAID Log'!$1:$1048576,$B677,MATCH("RAID ID",'RAID Log'!$1:$1,0)),"")="","",IFERROR(INDEX('RAID Log'!$1:$1048576,$B677,MATCH("RAID ID",'RAID Log'!$1:$1,0)),"")))</f>
        <v/>
      </c>
      <c r="B677" s="83" t="str">
        <f>IFERROR(MATCH(ROW()-1,'RAID Log'!$S:$S,0),"")</f>
        <v/>
      </c>
      <c r="C677" s="84" t="str">
        <f>IF($B677="","",IF(IFERROR(INDEX('RAID Log'!$1:$1048576,$B677,MATCH("Description",'RAID Log'!$1:$1,0)),"")="","",IFERROR(INDEX('RAID Log'!$1:$1048576,$B677,MATCH("Description",'RAID Log'!$1:$1,0)),"")))</f>
        <v/>
      </c>
      <c r="D677" s="84" t="str">
        <f>IF($B677="","",IF(IFERROR(INDEX('RAID Log'!$1:$1048576,$B677,MATCH("Impact/Effect of the RAID",'RAID Log'!$1:$1,0)),"")="","",IFERROR(INDEX('RAID Log'!$1:$1048576,$B677,MATCH("Impact/Effect of the RAID",'RAID Log'!$1:$1,0)),"")))</f>
        <v/>
      </c>
      <c r="E677" s="85" t="str">
        <f>IF($B677="","",IF(IFERROR(INDEX('RAID Log'!$1:$1048576,$B677,MATCH("Impact Area",'RAID Log'!$1:$1,0)),"")="","",IFERROR(INDEX('RAID Log'!$1:$1048576,$B677,MATCH("Impact Area",'RAID Log'!$1:$1,0)),"")))</f>
        <v/>
      </c>
      <c r="F677" s="85" t="str">
        <f>IF($B677="","",IF(IFERROR(INDEX('RAID Log'!$1:$1048576,$B677,MATCH("Impact Area",'RAID Log'!$1:$1,0)),"")="","",IFERROR(INDEX('RAID Log'!$1:$1048576,$B677,MATCH("Impact Area",'RAID Log'!$1:$1,0)),"")))</f>
        <v/>
      </c>
      <c r="G677" s="85" t="str">
        <f>IF($B677="","",IF(IFERROR(INDEX('RAID Log'!$1:$1048576,$B677,MATCH("Impact Rating",'RAID Log'!$1:$1,0)),"")="","",IFERROR(INDEX('RAID Log'!$1:$1048576,$B677,MATCH("Impact Rating",'RAID Log'!$1:$1,0)),"")))</f>
        <v/>
      </c>
      <c r="H677" s="85" t="str">
        <f>IF($B677="","",IF(IFERROR(INDEX('RAID Log'!$1:$1048576,$B677,MATCH("Initial Probability",'RAID Log'!$1:$1,0)),"")="","",IFERROR(INDEX('RAID Log'!$1:$1048576,$B677,MATCH("Initial Probability",'RAID Log'!$1:$1,0)),"")))</f>
        <v/>
      </c>
      <c r="I677" s="86" t="str">
        <f t="shared" si="30"/>
        <v/>
      </c>
      <c r="J677" s="85" t="str">
        <f t="shared" si="31"/>
        <v/>
      </c>
      <c r="K677" s="86" t="str">
        <f t="shared" si="32"/>
        <v/>
      </c>
      <c r="L677" s="85" t="str">
        <f>IF($B677="","",IF(IFERROR(INDEX('RAID Log'!$1:$1048576,$B677,MATCH("Status",'RAID Log'!$1:$1,0)),"")="","",IFERROR(INDEX('RAID Log'!$1:$1048576,$B677,MATCH("Status",'RAID Log'!$1:$1,0)),"")))</f>
        <v/>
      </c>
      <c r="M677" s="85" t="str">
        <f>IF($B677="","",IF(IFERROR(INDEX('RAID Log'!$1:$1048576,$B677,MATCH("RAID Owner",'RAID Log'!$1:$1,0)),"")="","",IFERROR(INDEX('RAID Log'!$1:$1048576,$B677,MATCH("RAID Owner",'RAID Log'!$1:$1,0)),"")))</f>
        <v/>
      </c>
      <c r="N677" s="87" t="str">
        <f>IF($B677="","",IF(IFERROR(INDEX('RAID Log'!$1:$1048576,$B677,MATCH("Date Raised",'RAID Log'!$1:$1,0)),"")="","",IFERROR(INDEX('RAID Log'!$1:$1048576,$B677,MATCH("Date Raised",'RAID Log'!$1:$1,0)),"")))</f>
        <v/>
      </c>
      <c r="O677" s="87" t="str">
        <f>IF($B677="","",IF(IFERROR(INDEX('RAID Log'!$1:$1048576,$B677,MATCH("Closed Date",'RAID Log'!$1:$1,0)),"")="","",IFERROR(INDEX('RAID Log'!$1:$1048576,$B677,MATCH("Closed Date",'RAID Log'!$1:$1,0)),"")))</f>
        <v/>
      </c>
      <c r="P677" s="85" t="str">
        <f>IF($B677="","",IF(IFERROR(INDEX('RAID Log'!$1:$1048576,$B677,MATCH("Mitigation Strategy",'RAID Log'!$1:$1,0)),"")="","",IFERROR(INDEX('RAID Log'!$1:$1048576,$B677,MATCH("Mitigation Strategy",'RAID Log'!$1:$1,0)),"")))</f>
        <v/>
      </c>
      <c r="Q677" s="88" t="str">
        <f>IF($B677="","",IF(IFERROR(INDEX('RAID Log'!$1:$1048576,$B677,MATCH("RAID Response/Plan",'RAID Log'!$1:$1,0)),"")="","",IFERROR(INDEX('RAID Log'!$1:$1048576,$B677,MATCH("RAID Response/Plan",'RAID Log'!$1:$1,0)),"")))</f>
        <v/>
      </c>
    </row>
    <row r="678" spans="1:17" ht="14.25" customHeight="1">
      <c r="A678" s="82" t="str">
        <f>IF($B678="","",IF(IFERROR(INDEX('RAID Log'!$1:$1048576,$B678,MATCH("RAID ID",'RAID Log'!$1:$1,0)),"")="","",IFERROR(INDEX('RAID Log'!$1:$1048576,$B678,MATCH("RAID ID",'RAID Log'!$1:$1,0)),"")))</f>
        <v/>
      </c>
      <c r="B678" s="83" t="str">
        <f>IFERROR(MATCH(ROW()-1,'RAID Log'!$S:$S,0),"")</f>
        <v/>
      </c>
      <c r="C678" s="84" t="str">
        <f>IF($B678="","",IF(IFERROR(INDEX('RAID Log'!$1:$1048576,$B678,MATCH("Description",'RAID Log'!$1:$1,0)),"")="","",IFERROR(INDEX('RAID Log'!$1:$1048576,$B678,MATCH("Description",'RAID Log'!$1:$1,0)),"")))</f>
        <v/>
      </c>
      <c r="D678" s="84" t="str">
        <f>IF($B678="","",IF(IFERROR(INDEX('RAID Log'!$1:$1048576,$B678,MATCH("Impact/Effect of the RAID",'RAID Log'!$1:$1,0)),"")="","",IFERROR(INDEX('RAID Log'!$1:$1048576,$B678,MATCH("Impact/Effect of the RAID",'RAID Log'!$1:$1,0)),"")))</f>
        <v/>
      </c>
      <c r="E678" s="85" t="str">
        <f>IF($B678="","",IF(IFERROR(INDEX('RAID Log'!$1:$1048576,$B678,MATCH("Impact Area",'RAID Log'!$1:$1,0)),"")="","",IFERROR(INDEX('RAID Log'!$1:$1048576,$B678,MATCH("Impact Area",'RAID Log'!$1:$1,0)),"")))</f>
        <v/>
      </c>
      <c r="F678" s="85" t="str">
        <f>IF($B678="","",IF(IFERROR(INDEX('RAID Log'!$1:$1048576,$B678,MATCH("Impact Area",'RAID Log'!$1:$1,0)),"")="","",IFERROR(INDEX('RAID Log'!$1:$1048576,$B678,MATCH("Impact Area",'RAID Log'!$1:$1,0)),"")))</f>
        <v/>
      </c>
      <c r="G678" s="85" t="str">
        <f>IF($B678="","",IF(IFERROR(INDEX('RAID Log'!$1:$1048576,$B678,MATCH("Impact Rating",'RAID Log'!$1:$1,0)),"")="","",IFERROR(INDEX('RAID Log'!$1:$1048576,$B678,MATCH("Impact Rating",'RAID Log'!$1:$1,0)),"")))</f>
        <v/>
      </c>
      <c r="H678" s="85" t="str">
        <f>IF($B678="","",IF(IFERROR(INDEX('RAID Log'!$1:$1048576,$B678,MATCH("Initial Probability",'RAID Log'!$1:$1,0)),"")="","",IFERROR(INDEX('RAID Log'!$1:$1048576,$B678,MATCH("Initial Probability",'RAID Log'!$1:$1,0)),"")))</f>
        <v/>
      </c>
      <c r="I678" s="86" t="str">
        <f t="shared" si="30"/>
        <v/>
      </c>
      <c r="J678" s="85" t="str">
        <f t="shared" si="31"/>
        <v/>
      </c>
      <c r="K678" s="86" t="str">
        <f t="shared" si="32"/>
        <v/>
      </c>
      <c r="L678" s="85" t="str">
        <f>IF($B678="","",IF(IFERROR(INDEX('RAID Log'!$1:$1048576,$B678,MATCH("Status",'RAID Log'!$1:$1,0)),"")="","",IFERROR(INDEX('RAID Log'!$1:$1048576,$B678,MATCH("Status",'RAID Log'!$1:$1,0)),"")))</f>
        <v/>
      </c>
      <c r="M678" s="85" t="str">
        <f>IF($B678="","",IF(IFERROR(INDEX('RAID Log'!$1:$1048576,$B678,MATCH("RAID Owner",'RAID Log'!$1:$1,0)),"")="","",IFERROR(INDEX('RAID Log'!$1:$1048576,$B678,MATCH("RAID Owner",'RAID Log'!$1:$1,0)),"")))</f>
        <v/>
      </c>
      <c r="N678" s="87" t="str">
        <f>IF($B678="","",IF(IFERROR(INDEX('RAID Log'!$1:$1048576,$B678,MATCH("Date Raised",'RAID Log'!$1:$1,0)),"")="","",IFERROR(INDEX('RAID Log'!$1:$1048576,$B678,MATCH("Date Raised",'RAID Log'!$1:$1,0)),"")))</f>
        <v/>
      </c>
      <c r="O678" s="87" t="str">
        <f>IF($B678="","",IF(IFERROR(INDEX('RAID Log'!$1:$1048576,$B678,MATCH("Closed Date",'RAID Log'!$1:$1,0)),"")="","",IFERROR(INDEX('RAID Log'!$1:$1048576,$B678,MATCH("Closed Date",'RAID Log'!$1:$1,0)),"")))</f>
        <v/>
      </c>
      <c r="P678" s="85" t="str">
        <f>IF($B678="","",IF(IFERROR(INDEX('RAID Log'!$1:$1048576,$B678,MATCH("Mitigation Strategy",'RAID Log'!$1:$1,0)),"")="","",IFERROR(INDEX('RAID Log'!$1:$1048576,$B678,MATCH("Mitigation Strategy",'RAID Log'!$1:$1,0)),"")))</f>
        <v/>
      </c>
      <c r="Q678" s="88" t="str">
        <f>IF($B678="","",IF(IFERROR(INDEX('RAID Log'!$1:$1048576,$B678,MATCH("RAID Response/Plan",'RAID Log'!$1:$1,0)),"")="","",IFERROR(INDEX('RAID Log'!$1:$1048576,$B678,MATCH("RAID Response/Plan",'RAID Log'!$1:$1,0)),"")))</f>
        <v/>
      </c>
    </row>
    <row r="679" spans="1:17" ht="14.25" customHeight="1">
      <c r="A679" s="82" t="str">
        <f>IF($B679="","",IF(IFERROR(INDEX('RAID Log'!$1:$1048576,$B679,MATCH("RAID ID",'RAID Log'!$1:$1,0)),"")="","",IFERROR(INDEX('RAID Log'!$1:$1048576,$B679,MATCH("RAID ID",'RAID Log'!$1:$1,0)),"")))</f>
        <v/>
      </c>
      <c r="B679" s="83" t="str">
        <f>IFERROR(MATCH(ROW()-1,'RAID Log'!$S:$S,0),"")</f>
        <v/>
      </c>
      <c r="C679" s="84" t="str">
        <f>IF($B679="","",IF(IFERROR(INDEX('RAID Log'!$1:$1048576,$B679,MATCH("Description",'RAID Log'!$1:$1,0)),"")="","",IFERROR(INDEX('RAID Log'!$1:$1048576,$B679,MATCH("Description",'RAID Log'!$1:$1,0)),"")))</f>
        <v/>
      </c>
      <c r="D679" s="84" t="str">
        <f>IF($B679="","",IF(IFERROR(INDEX('RAID Log'!$1:$1048576,$B679,MATCH("Impact/Effect of the RAID",'RAID Log'!$1:$1,0)),"")="","",IFERROR(INDEX('RAID Log'!$1:$1048576,$B679,MATCH("Impact/Effect of the RAID",'RAID Log'!$1:$1,0)),"")))</f>
        <v/>
      </c>
      <c r="E679" s="85" t="str">
        <f>IF($B679="","",IF(IFERROR(INDEX('RAID Log'!$1:$1048576,$B679,MATCH("Impact Area",'RAID Log'!$1:$1,0)),"")="","",IFERROR(INDEX('RAID Log'!$1:$1048576,$B679,MATCH("Impact Area",'RAID Log'!$1:$1,0)),"")))</f>
        <v/>
      </c>
      <c r="F679" s="85" t="str">
        <f>IF($B679="","",IF(IFERROR(INDEX('RAID Log'!$1:$1048576,$B679,MATCH("Impact Area",'RAID Log'!$1:$1,0)),"")="","",IFERROR(INDEX('RAID Log'!$1:$1048576,$B679,MATCH("Impact Area",'RAID Log'!$1:$1,0)),"")))</f>
        <v/>
      </c>
      <c r="G679" s="85" t="str">
        <f>IF($B679="","",IF(IFERROR(INDEX('RAID Log'!$1:$1048576,$B679,MATCH("Impact Rating",'RAID Log'!$1:$1,0)),"")="","",IFERROR(INDEX('RAID Log'!$1:$1048576,$B679,MATCH("Impact Rating",'RAID Log'!$1:$1,0)),"")))</f>
        <v/>
      </c>
      <c r="H679" s="85" t="str">
        <f>IF($B679="","",IF(IFERROR(INDEX('RAID Log'!$1:$1048576,$B679,MATCH("Initial Probability",'RAID Log'!$1:$1,0)),"")="","",IFERROR(INDEX('RAID Log'!$1:$1048576,$B679,MATCH("Initial Probability",'RAID Log'!$1:$1,0)),"")))</f>
        <v/>
      </c>
      <c r="I679" s="86" t="str">
        <f t="shared" si="30"/>
        <v/>
      </c>
      <c r="J679" s="85" t="str">
        <f t="shared" si="31"/>
        <v/>
      </c>
      <c r="K679" s="86" t="str">
        <f t="shared" si="32"/>
        <v/>
      </c>
      <c r="L679" s="85" t="str">
        <f>IF($B679="","",IF(IFERROR(INDEX('RAID Log'!$1:$1048576,$B679,MATCH("Status",'RAID Log'!$1:$1,0)),"")="","",IFERROR(INDEX('RAID Log'!$1:$1048576,$B679,MATCH("Status",'RAID Log'!$1:$1,0)),"")))</f>
        <v/>
      </c>
      <c r="M679" s="85" t="str">
        <f>IF($B679="","",IF(IFERROR(INDEX('RAID Log'!$1:$1048576,$B679,MATCH("RAID Owner",'RAID Log'!$1:$1,0)),"")="","",IFERROR(INDEX('RAID Log'!$1:$1048576,$B679,MATCH("RAID Owner",'RAID Log'!$1:$1,0)),"")))</f>
        <v/>
      </c>
      <c r="N679" s="87" t="str">
        <f>IF($B679="","",IF(IFERROR(INDEX('RAID Log'!$1:$1048576,$B679,MATCH("Date Raised",'RAID Log'!$1:$1,0)),"")="","",IFERROR(INDEX('RAID Log'!$1:$1048576,$B679,MATCH("Date Raised",'RAID Log'!$1:$1,0)),"")))</f>
        <v/>
      </c>
      <c r="O679" s="87" t="str">
        <f>IF($B679="","",IF(IFERROR(INDEX('RAID Log'!$1:$1048576,$B679,MATCH("Closed Date",'RAID Log'!$1:$1,0)),"")="","",IFERROR(INDEX('RAID Log'!$1:$1048576,$B679,MATCH("Closed Date",'RAID Log'!$1:$1,0)),"")))</f>
        <v/>
      </c>
      <c r="P679" s="85" t="str">
        <f>IF($B679="","",IF(IFERROR(INDEX('RAID Log'!$1:$1048576,$B679,MATCH("Mitigation Strategy",'RAID Log'!$1:$1,0)),"")="","",IFERROR(INDEX('RAID Log'!$1:$1048576,$B679,MATCH("Mitigation Strategy",'RAID Log'!$1:$1,0)),"")))</f>
        <v/>
      </c>
      <c r="Q679" s="88" t="str">
        <f>IF($B679="","",IF(IFERROR(INDEX('RAID Log'!$1:$1048576,$B679,MATCH("RAID Response/Plan",'RAID Log'!$1:$1,0)),"")="","",IFERROR(INDEX('RAID Log'!$1:$1048576,$B679,MATCH("RAID Response/Plan",'RAID Log'!$1:$1,0)),"")))</f>
        <v/>
      </c>
    </row>
    <row r="680" spans="1:17" ht="14.25" customHeight="1">
      <c r="A680" s="82" t="str">
        <f>IF($B680="","",IF(IFERROR(INDEX('RAID Log'!$1:$1048576,$B680,MATCH("RAID ID",'RAID Log'!$1:$1,0)),"")="","",IFERROR(INDEX('RAID Log'!$1:$1048576,$B680,MATCH("RAID ID",'RAID Log'!$1:$1,0)),"")))</f>
        <v/>
      </c>
      <c r="B680" s="83" t="str">
        <f>IFERROR(MATCH(ROW()-1,'RAID Log'!$S:$S,0),"")</f>
        <v/>
      </c>
      <c r="C680" s="84" t="str">
        <f>IF($B680="","",IF(IFERROR(INDEX('RAID Log'!$1:$1048576,$B680,MATCH("Description",'RAID Log'!$1:$1,0)),"")="","",IFERROR(INDEX('RAID Log'!$1:$1048576,$B680,MATCH("Description",'RAID Log'!$1:$1,0)),"")))</f>
        <v/>
      </c>
      <c r="D680" s="84" t="str">
        <f>IF($B680="","",IF(IFERROR(INDEX('RAID Log'!$1:$1048576,$B680,MATCH("Impact/Effect of the RAID",'RAID Log'!$1:$1,0)),"")="","",IFERROR(INDEX('RAID Log'!$1:$1048576,$B680,MATCH("Impact/Effect of the RAID",'RAID Log'!$1:$1,0)),"")))</f>
        <v/>
      </c>
      <c r="E680" s="85" t="str">
        <f>IF($B680="","",IF(IFERROR(INDEX('RAID Log'!$1:$1048576,$B680,MATCH("Impact Area",'RAID Log'!$1:$1,0)),"")="","",IFERROR(INDEX('RAID Log'!$1:$1048576,$B680,MATCH("Impact Area",'RAID Log'!$1:$1,0)),"")))</f>
        <v/>
      </c>
      <c r="F680" s="85" t="str">
        <f>IF($B680="","",IF(IFERROR(INDEX('RAID Log'!$1:$1048576,$B680,MATCH("Impact Area",'RAID Log'!$1:$1,0)),"")="","",IFERROR(INDEX('RAID Log'!$1:$1048576,$B680,MATCH("Impact Area",'RAID Log'!$1:$1,0)),"")))</f>
        <v/>
      </c>
      <c r="G680" s="85" t="str">
        <f>IF($B680="","",IF(IFERROR(INDEX('RAID Log'!$1:$1048576,$B680,MATCH("Impact Rating",'RAID Log'!$1:$1,0)),"")="","",IFERROR(INDEX('RAID Log'!$1:$1048576,$B680,MATCH("Impact Rating",'RAID Log'!$1:$1,0)),"")))</f>
        <v/>
      </c>
      <c r="H680" s="85" t="str">
        <f>IF($B680="","",IF(IFERROR(INDEX('RAID Log'!$1:$1048576,$B680,MATCH("Initial Probability",'RAID Log'!$1:$1,0)),"")="","",IFERROR(INDEX('RAID Log'!$1:$1048576,$B680,MATCH("Initial Probability",'RAID Log'!$1:$1,0)),"")))</f>
        <v/>
      </c>
      <c r="I680" s="86" t="str">
        <f t="shared" si="30"/>
        <v/>
      </c>
      <c r="J680" s="85" t="str">
        <f t="shared" si="31"/>
        <v/>
      </c>
      <c r="K680" s="86" t="str">
        <f t="shared" si="32"/>
        <v/>
      </c>
      <c r="L680" s="85" t="str">
        <f>IF($B680="","",IF(IFERROR(INDEX('RAID Log'!$1:$1048576,$B680,MATCH("Status",'RAID Log'!$1:$1,0)),"")="","",IFERROR(INDEX('RAID Log'!$1:$1048576,$B680,MATCH("Status",'RAID Log'!$1:$1,0)),"")))</f>
        <v/>
      </c>
      <c r="M680" s="85" t="str">
        <f>IF($B680="","",IF(IFERROR(INDEX('RAID Log'!$1:$1048576,$B680,MATCH("RAID Owner",'RAID Log'!$1:$1,0)),"")="","",IFERROR(INDEX('RAID Log'!$1:$1048576,$B680,MATCH("RAID Owner",'RAID Log'!$1:$1,0)),"")))</f>
        <v/>
      </c>
      <c r="N680" s="87" t="str">
        <f>IF($B680="","",IF(IFERROR(INDEX('RAID Log'!$1:$1048576,$B680,MATCH("Date Raised",'RAID Log'!$1:$1,0)),"")="","",IFERROR(INDEX('RAID Log'!$1:$1048576,$B680,MATCH("Date Raised",'RAID Log'!$1:$1,0)),"")))</f>
        <v/>
      </c>
      <c r="O680" s="87" t="str">
        <f>IF($B680="","",IF(IFERROR(INDEX('RAID Log'!$1:$1048576,$B680,MATCH("Closed Date",'RAID Log'!$1:$1,0)),"")="","",IFERROR(INDEX('RAID Log'!$1:$1048576,$B680,MATCH("Closed Date",'RAID Log'!$1:$1,0)),"")))</f>
        <v/>
      </c>
      <c r="P680" s="85" t="str">
        <f>IF($B680="","",IF(IFERROR(INDEX('RAID Log'!$1:$1048576,$B680,MATCH("Mitigation Strategy",'RAID Log'!$1:$1,0)),"")="","",IFERROR(INDEX('RAID Log'!$1:$1048576,$B680,MATCH("Mitigation Strategy",'RAID Log'!$1:$1,0)),"")))</f>
        <v/>
      </c>
      <c r="Q680" s="88" t="str">
        <f>IF($B680="","",IF(IFERROR(INDEX('RAID Log'!$1:$1048576,$B680,MATCH("RAID Response/Plan",'RAID Log'!$1:$1,0)),"")="","",IFERROR(INDEX('RAID Log'!$1:$1048576,$B680,MATCH("RAID Response/Plan",'RAID Log'!$1:$1,0)),"")))</f>
        <v/>
      </c>
    </row>
    <row r="681" spans="1:17" ht="14.25" customHeight="1">
      <c r="A681" s="82" t="str">
        <f>IF($B681="","",IF(IFERROR(INDEX('RAID Log'!$1:$1048576,$B681,MATCH("RAID ID",'RAID Log'!$1:$1,0)),"")="","",IFERROR(INDEX('RAID Log'!$1:$1048576,$B681,MATCH("RAID ID",'RAID Log'!$1:$1,0)),"")))</f>
        <v/>
      </c>
      <c r="B681" s="83" t="str">
        <f>IFERROR(MATCH(ROW()-1,'RAID Log'!$S:$S,0),"")</f>
        <v/>
      </c>
      <c r="C681" s="84" t="str">
        <f>IF($B681="","",IF(IFERROR(INDEX('RAID Log'!$1:$1048576,$B681,MATCH("Description",'RAID Log'!$1:$1,0)),"")="","",IFERROR(INDEX('RAID Log'!$1:$1048576,$B681,MATCH("Description",'RAID Log'!$1:$1,0)),"")))</f>
        <v/>
      </c>
      <c r="D681" s="84" t="str">
        <f>IF($B681="","",IF(IFERROR(INDEX('RAID Log'!$1:$1048576,$B681,MATCH("Impact/Effect of the RAID",'RAID Log'!$1:$1,0)),"")="","",IFERROR(INDEX('RAID Log'!$1:$1048576,$B681,MATCH("Impact/Effect of the RAID",'RAID Log'!$1:$1,0)),"")))</f>
        <v/>
      </c>
      <c r="E681" s="85" t="str">
        <f>IF($B681="","",IF(IFERROR(INDEX('RAID Log'!$1:$1048576,$B681,MATCH("Impact Area",'RAID Log'!$1:$1,0)),"")="","",IFERROR(INDEX('RAID Log'!$1:$1048576,$B681,MATCH("Impact Area",'RAID Log'!$1:$1,0)),"")))</f>
        <v/>
      </c>
      <c r="F681" s="85" t="str">
        <f>IF($B681="","",IF(IFERROR(INDEX('RAID Log'!$1:$1048576,$B681,MATCH("Impact Area",'RAID Log'!$1:$1,0)),"")="","",IFERROR(INDEX('RAID Log'!$1:$1048576,$B681,MATCH("Impact Area",'RAID Log'!$1:$1,0)),"")))</f>
        <v/>
      </c>
      <c r="G681" s="85" t="str">
        <f>IF($B681="","",IF(IFERROR(INDEX('RAID Log'!$1:$1048576,$B681,MATCH("Impact Rating",'RAID Log'!$1:$1,0)),"")="","",IFERROR(INDEX('RAID Log'!$1:$1048576,$B681,MATCH("Impact Rating",'RAID Log'!$1:$1,0)),"")))</f>
        <v/>
      </c>
      <c r="H681" s="85" t="str">
        <f>IF($B681="","",IF(IFERROR(INDEX('RAID Log'!$1:$1048576,$B681,MATCH("Initial Probability",'RAID Log'!$1:$1,0)),"")="","",IFERROR(INDEX('RAID Log'!$1:$1048576,$B681,MATCH("Initial Probability",'RAID Log'!$1:$1,0)),"")))</f>
        <v/>
      </c>
      <c r="I681" s="86" t="str">
        <f t="shared" si="30"/>
        <v/>
      </c>
      <c r="J681" s="85" t="str">
        <f t="shared" si="31"/>
        <v/>
      </c>
      <c r="K681" s="86" t="str">
        <f t="shared" si="32"/>
        <v/>
      </c>
      <c r="L681" s="85" t="str">
        <f>IF($B681="","",IF(IFERROR(INDEX('RAID Log'!$1:$1048576,$B681,MATCH("Status",'RAID Log'!$1:$1,0)),"")="","",IFERROR(INDEX('RAID Log'!$1:$1048576,$B681,MATCH("Status",'RAID Log'!$1:$1,0)),"")))</f>
        <v/>
      </c>
      <c r="M681" s="85" t="str">
        <f>IF($B681="","",IF(IFERROR(INDEX('RAID Log'!$1:$1048576,$B681,MATCH("RAID Owner",'RAID Log'!$1:$1,0)),"")="","",IFERROR(INDEX('RAID Log'!$1:$1048576,$B681,MATCH("RAID Owner",'RAID Log'!$1:$1,0)),"")))</f>
        <v/>
      </c>
      <c r="N681" s="87" t="str">
        <f>IF($B681="","",IF(IFERROR(INDEX('RAID Log'!$1:$1048576,$B681,MATCH("Date Raised",'RAID Log'!$1:$1,0)),"")="","",IFERROR(INDEX('RAID Log'!$1:$1048576,$B681,MATCH("Date Raised",'RAID Log'!$1:$1,0)),"")))</f>
        <v/>
      </c>
      <c r="O681" s="87" t="str">
        <f>IF($B681="","",IF(IFERROR(INDEX('RAID Log'!$1:$1048576,$B681,MATCH("Closed Date",'RAID Log'!$1:$1,0)),"")="","",IFERROR(INDEX('RAID Log'!$1:$1048576,$B681,MATCH("Closed Date",'RAID Log'!$1:$1,0)),"")))</f>
        <v/>
      </c>
      <c r="P681" s="85" t="str">
        <f>IF($B681="","",IF(IFERROR(INDEX('RAID Log'!$1:$1048576,$B681,MATCH("Mitigation Strategy",'RAID Log'!$1:$1,0)),"")="","",IFERROR(INDEX('RAID Log'!$1:$1048576,$B681,MATCH("Mitigation Strategy",'RAID Log'!$1:$1,0)),"")))</f>
        <v/>
      </c>
      <c r="Q681" s="88" t="str">
        <f>IF($B681="","",IF(IFERROR(INDEX('RAID Log'!$1:$1048576,$B681,MATCH("RAID Response/Plan",'RAID Log'!$1:$1,0)),"")="","",IFERROR(INDEX('RAID Log'!$1:$1048576,$B681,MATCH("RAID Response/Plan",'RAID Log'!$1:$1,0)),"")))</f>
        <v/>
      </c>
    </row>
    <row r="682" spans="1:17" ht="14.25" customHeight="1">
      <c r="A682" s="82" t="str">
        <f>IF($B682="","",IF(IFERROR(INDEX('RAID Log'!$1:$1048576,$B682,MATCH("RAID ID",'RAID Log'!$1:$1,0)),"")="","",IFERROR(INDEX('RAID Log'!$1:$1048576,$B682,MATCH("RAID ID",'RAID Log'!$1:$1,0)),"")))</f>
        <v/>
      </c>
      <c r="B682" s="83" t="str">
        <f>IFERROR(MATCH(ROW()-1,'RAID Log'!$S:$S,0),"")</f>
        <v/>
      </c>
      <c r="C682" s="84" t="str">
        <f>IF($B682="","",IF(IFERROR(INDEX('RAID Log'!$1:$1048576,$B682,MATCH("Description",'RAID Log'!$1:$1,0)),"")="","",IFERROR(INDEX('RAID Log'!$1:$1048576,$B682,MATCH("Description",'RAID Log'!$1:$1,0)),"")))</f>
        <v/>
      </c>
      <c r="D682" s="84" t="str">
        <f>IF($B682="","",IF(IFERROR(INDEX('RAID Log'!$1:$1048576,$B682,MATCH("Impact/Effect of the RAID",'RAID Log'!$1:$1,0)),"")="","",IFERROR(INDEX('RAID Log'!$1:$1048576,$B682,MATCH("Impact/Effect of the RAID",'RAID Log'!$1:$1,0)),"")))</f>
        <v/>
      </c>
      <c r="E682" s="85" t="str">
        <f>IF($B682="","",IF(IFERROR(INDEX('RAID Log'!$1:$1048576,$B682,MATCH("Impact Area",'RAID Log'!$1:$1,0)),"")="","",IFERROR(INDEX('RAID Log'!$1:$1048576,$B682,MATCH("Impact Area",'RAID Log'!$1:$1,0)),"")))</f>
        <v/>
      </c>
      <c r="F682" s="85" t="str">
        <f>IF($B682="","",IF(IFERROR(INDEX('RAID Log'!$1:$1048576,$B682,MATCH("Impact Area",'RAID Log'!$1:$1,0)),"")="","",IFERROR(INDEX('RAID Log'!$1:$1048576,$B682,MATCH("Impact Area",'RAID Log'!$1:$1,0)),"")))</f>
        <v/>
      </c>
      <c r="G682" s="85" t="str">
        <f>IF($B682="","",IF(IFERROR(INDEX('RAID Log'!$1:$1048576,$B682,MATCH("Impact Rating",'RAID Log'!$1:$1,0)),"")="","",IFERROR(INDEX('RAID Log'!$1:$1048576,$B682,MATCH("Impact Rating",'RAID Log'!$1:$1,0)),"")))</f>
        <v/>
      </c>
      <c r="H682" s="85" t="str">
        <f>IF($B682="","",IF(IFERROR(INDEX('RAID Log'!$1:$1048576,$B682,MATCH("Initial Probability",'RAID Log'!$1:$1,0)),"")="","",IFERROR(INDEX('RAID Log'!$1:$1048576,$B682,MATCH("Initial Probability",'RAID Log'!$1:$1,0)),"")))</f>
        <v/>
      </c>
      <c r="I682" s="86" t="str">
        <f t="shared" si="30"/>
        <v/>
      </c>
      <c r="J682" s="85" t="str">
        <f t="shared" si="31"/>
        <v/>
      </c>
      <c r="K682" s="86" t="str">
        <f t="shared" si="32"/>
        <v/>
      </c>
      <c r="L682" s="85" t="str">
        <f>IF($B682="","",IF(IFERROR(INDEX('RAID Log'!$1:$1048576,$B682,MATCH("Status",'RAID Log'!$1:$1,0)),"")="","",IFERROR(INDEX('RAID Log'!$1:$1048576,$B682,MATCH("Status",'RAID Log'!$1:$1,0)),"")))</f>
        <v/>
      </c>
      <c r="M682" s="85" t="str">
        <f>IF($B682="","",IF(IFERROR(INDEX('RAID Log'!$1:$1048576,$B682,MATCH("RAID Owner",'RAID Log'!$1:$1,0)),"")="","",IFERROR(INDEX('RAID Log'!$1:$1048576,$B682,MATCH("RAID Owner",'RAID Log'!$1:$1,0)),"")))</f>
        <v/>
      </c>
      <c r="N682" s="87" t="str">
        <f>IF($B682="","",IF(IFERROR(INDEX('RAID Log'!$1:$1048576,$B682,MATCH("Date Raised",'RAID Log'!$1:$1,0)),"")="","",IFERROR(INDEX('RAID Log'!$1:$1048576,$B682,MATCH("Date Raised",'RAID Log'!$1:$1,0)),"")))</f>
        <v/>
      </c>
      <c r="O682" s="87" t="str">
        <f>IF($B682="","",IF(IFERROR(INDEX('RAID Log'!$1:$1048576,$B682,MATCH("Closed Date",'RAID Log'!$1:$1,0)),"")="","",IFERROR(INDEX('RAID Log'!$1:$1048576,$B682,MATCH("Closed Date",'RAID Log'!$1:$1,0)),"")))</f>
        <v/>
      </c>
      <c r="P682" s="85" t="str">
        <f>IF($B682="","",IF(IFERROR(INDEX('RAID Log'!$1:$1048576,$B682,MATCH("Mitigation Strategy",'RAID Log'!$1:$1,0)),"")="","",IFERROR(INDEX('RAID Log'!$1:$1048576,$B682,MATCH("Mitigation Strategy",'RAID Log'!$1:$1,0)),"")))</f>
        <v/>
      </c>
      <c r="Q682" s="88" t="str">
        <f>IF($B682="","",IF(IFERROR(INDEX('RAID Log'!$1:$1048576,$B682,MATCH("RAID Response/Plan",'RAID Log'!$1:$1,0)),"")="","",IFERROR(INDEX('RAID Log'!$1:$1048576,$B682,MATCH("RAID Response/Plan",'RAID Log'!$1:$1,0)),"")))</f>
        <v/>
      </c>
    </row>
    <row r="683" spans="1:17" ht="14.25" customHeight="1">
      <c r="A683" s="82" t="str">
        <f>IF($B683="","",IF(IFERROR(INDEX('RAID Log'!$1:$1048576,$B683,MATCH("RAID ID",'RAID Log'!$1:$1,0)),"")="","",IFERROR(INDEX('RAID Log'!$1:$1048576,$B683,MATCH("RAID ID",'RAID Log'!$1:$1,0)),"")))</f>
        <v/>
      </c>
      <c r="B683" s="83" t="str">
        <f>IFERROR(MATCH(ROW()-1,'RAID Log'!$S:$S,0),"")</f>
        <v/>
      </c>
      <c r="C683" s="84" t="str">
        <f>IF($B683="","",IF(IFERROR(INDEX('RAID Log'!$1:$1048576,$B683,MATCH("Description",'RAID Log'!$1:$1,0)),"")="","",IFERROR(INDEX('RAID Log'!$1:$1048576,$B683,MATCH("Description",'RAID Log'!$1:$1,0)),"")))</f>
        <v/>
      </c>
      <c r="D683" s="84" t="str">
        <f>IF($B683="","",IF(IFERROR(INDEX('RAID Log'!$1:$1048576,$B683,MATCH("Impact/Effect of the RAID",'RAID Log'!$1:$1,0)),"")="","",IFERROR(INDEX('RAID Log'!$1:$1048576,$B683,MATCH("Impact/Effect of the RAID",'RAID Log'!$1:$1,0)),"")))</f>
        <v/>
      </c>
      <c r="E683" s="85" t="str">
        <f>IF($B683="","",IF(IFERROR(INDEX('RAID Log'!$1:$1048576,$B683,MATCH("Impact Area",'RAID Log'!$1:$1,0)),"")="","",IFERROR(INDEX('RAID Log'!$1:$1048576,$B683,MATCH("Impact Area",'RAID Log'!$1:$1,0)),"")))</f>
        <v/>
      </c>
      <c r="F683" s="85" t="str">
        <f>IF($B683="","",IF(IFERROR(INDEX('RAID Log'!$1:$1048576,$B683,MATCH("Impact Area",'RAID Log'!$1:$1,0)),"")="","",IFERROR(INDEX('RAID Log'!$1:$1048576,$B683,MATCH("Impact Area",'RAID Log'!$1:$1,0)),"")))</f>
        <v/>
      </c>
      <c r="G683" s="85" t="str">
        <f>IF($B683="","",IF(IFERROR(INDEX('RAID Log'!$1:$1048576,$B683,MATCH("Impact Rating",'RAID Log'!$1:$1,0)),"")="","",IFERROR(INDEX('RAID Log'!$1:$1048576,$B683,MATCH("Impact Rating",'RAID Log'!$1:$1,0)),"")))</f>
        <v/>
      </c>
      <c r="H683" s="85" t="str">
        <f>IF($B683="","",IF(IFERROR(INDEX('RAID Log'!$1:$1048576,$B683,MATCH("Initial Probability",'RAID Log'!$1:$1,0)),"")="","",IFERROR(INDEX('RAID Log'!$1:$1048576,$B683,MATCH("Initial Probability",'RAID Log'!$1:$1,0)),"")))</f>
        <v/>
      </c>
      <c r="I683" s="86" t="str">
        <f t="shared" si="30"/>
        <v/>
      </c>
      <c r="J683" s="85" t="str">
        <f t="shared" si="31"/>
        <v/>
      </c>
      <c r="K683" s="86" t="str">
        <f t="shared" si="32"/>
        <v/>
      </c>
      <c r="L683" s="85" t="str">
        <f>IF($B683="","",IF(IFERROR(INDEX('RAID Log'!$1:$1048576,$B683,MATCH("Status",'RAID Log'!$1:$1,0)),"")="","",IFERROR(INDEX('RAID Log'!$1:$1048576,$B683,MATCH("Status",'RAID Log'!$1:$1,0)),"")))</f>
        <v/>
      </c>
      <c r="M683" s="85" t="str">
        <f>IF($B683="","",IF(IFERROR(INDEX('RAID Log'!$1:$1048576,$B683,MATCH("RAID Owner",'RAID Log'!$1:$1,0)),"")="","",IFERROR(INDEX('RAID Log'!$1:$1048576,$B683,MATCH("RAID Owner",'RAID Log'!$1:$1,0)),"")))</f>
        <v/>
      </c>
      <c r="N683" s="87" t="str">
        <f>IF($B683="","",IF(IFERROR(INDEX('RAID Log'!$1:$1048576,$B683,MATCH("Date Raised",'RAID Log'!$1:$1,0)),"")="","",IFERROR(INDEX('RAID Log'!$1:$1048576,$B683,MATCH("Date Raised",'RAID Log'!$1:$1,0)),"")))</f>
        <v/>
      </c>
      <c r="O683" s="87" t="str">
        <f>IF($B683="","",IF(IFERROR(INDEX('RAID Log'!$1:$1048576,$B683,MATCH("Closed Date",'RAID Log'!$1:$1,0)),"")="","",IFERROR(INDEX('RAID Log'!$1:$1048576,$B683,MATCH("Closed Date",'RAID Log'!$1:$1,0)),"")))</f>
        <v/>
      </c>
      <c r="P683" s="85" t="str">
        <f>IF($B683="","",IF(IFERROR(INDEX('RAID Log'!$1:$1048576,$B683,MATCH("Mitigation Strategy",'RAID Log'!$1:$1,0)),"")="","",IFERROR(INDEX('RAID Log'!$1:$1048576,$B683,MATCH("Mitigation Strategy",'RAID Log'!$1:$1,0)),"")))</f>
        <v/>
      </c>
      <c r="Q683" s="88" t="str">
        <f>IF($B683="","",IF(IFERROR(INDEX('RAID Log'!$1:$1048576,$B683,MATCH("RAID Response/Plan",'RAID Log'!$1:$1,0)),"")="","",IFERROR(INDEX('RAID Log'!$1:$1048576,$B683,MATCH("RAID Response/Plan",'RAID Log'!$1:$1,0)),"")))</f>
        <v/>
      </c>
    </row>
    <row r="684" spans="1:17" ht="14.25" customHeight="1">
      <c r="A684" s="82" t="str">
        <f>IF($B684="","",IF(IFERROR(INDEX('RAID Log'!$1:$1048576,$B684,MATCH("RAID ID",'RAID Log'!$1:$1,0)),"")="","",IFERROR(INDEX('RAID Log'!$1:$1048576,$B684,MATCH("RAID ID",'RAID Log'!$1:$1,0)),"")))</f>
        <v/>
      </c>
      <c r="B684" s="83" t="str">
        <f>IFERROR(MATCH(ROW()-1,'RAID Log'!$S:$S,0),"")</f>
        <v/>
      </c>
      <c r="C684" s="84" t="str">
        <f>IF($B684="","",IF(IFERROR(INDEX('RAID Log'!$1:$1048576,$B684,MATCH("Description",'RAID Log'!$1:$1,0)),"")="","",IFERROR(INDEX('RAID Log'!$1:$1048576,$B684,MATCH("Description",'RAID Log'!$1:$1,0)),"")))</f>
        <v/>
      </c>
      <c r="D684" s="84" t="str">
        <f>IF($B684="","",IF(IFERROR(INDEX('RAID Log'!$1:$1048576,$B684,MATCH("Impact/Effect of the RAID",'RAID Log'!$1:$1,0)),"")="","",IFERROR(INDEX('RAID Log'!$1:$1048576,$B684,MATCH("Impact/Effect of the RAID",'RAID Log'!$1:$1,0)),"")))</f>
        <v/>
      </c>
      <c r="E684" s="85" t="str">
        <f>IF($B684="","",IF(IFERROR(INDEX('RAID Log'!$1:$1048576,$B684,MATCH("Impact Area",'RAID Log'!$1:$1,0)),"")="","",IFERROR(INDEX('RAID Log'!$1:$1048576,$B684,MATCH("Impact Area",'RAID Log'!$1:$1,0)),"")))</f>
        <v/>
      </c>
      <c r="F684" s="85" t="str">
        <f>IF($B684="","",IF(IFERROR(INDEX('RAID Log'!$1:$1048576,$B684,MATCH("Impact Area",'RAID Log'!$1:$1,0)),"")="","",IFERROR(INDEX('RAID Log'!$1:$1048576,$B684,MATCH("Impact Area",'RAID Log'!$1:$1,0)),"")))</f>
        <v/>
      </c>
      <c r="G684" s="85" t="str">
        <f>IF($B684="","",IF(IFERROR(INDEX('RAID Log'!$1:$1048576,$B684,MATCH("Impact Rating",'RAID Log'!$1:$1,0)),"")="","",IFERROR(INDEX('RAID Log'!$1:$1048576,$B684,MATCH("Impact Rating",'RAID Log'!$1:$1,0)),"")))</f>
        <v/>
      </c>
      <c r="H684" s="85" t="str">
        <f>IF($B684="","",IF(IFERROR(INDEX('RAID Log'!$1:$1048576,$B684,MATCH("Initial Probability",'RAID Log'!$1:$1,0)),"")="","",IFERROR(INDEX('RAID Log'!$1:$1048576,$B684,MATCH("Initial Probability",'RAID Log'!$1:$1,0)),"")))</f>
        <v/>
      </c>
      <c r="I684" s="86" t="str">
        <f t="shared" si="30"/>
        <v/>
      </c>
      <c r="J684" s="85" t="str">
        <f t="shared" si="31"/>
        <v/>
      </c>
      <c r="K684" s="86" t="str">
        <f t="shared" si="32"/>
        <v/>
      </c>
      <c r="L684" s="85" t="str">
        <f>IF($B684="","",IF(IFERROR(INDEX('RAID Log'!$1:$1048576,$B684,MATCH("Status",'RAID Log'!$1:$1,0)),"")="","",IFERROR(INDEX('RAID Log'!$1:$1048576,$B684,MATCH("Status",'RAID Log'!$1:$1,0)),"")))</f>
        <v/>
      </c>
      <c r="M684" s="85" t="str">
        <f>IF($B684="","",IF(IFERROR(INDEX('RAID Log'!$1:$1048576,$B684,MATCH("RAID Owner",'RAID Log'!$1:$1,0)),"")="","",IFERROR(INDEX('RAID Log'!$1:$1048576,$B684,MATCH("RAID Owner",'RAID Log'!$1:$1,0)),"")))</f>
        <v/>
      </c>
      <c r="N684" s="87" t="str">
        <f>IF($B684="","",IF(IFERROR(INDEX('RAID Log'!$1:$1048576,$B684,MATCH("Date Raised",'RAID Log'!$1:$1,0)),"")="","",IFERROR(INDEX('RAID Log'!$1:$1048576,$B684,MATCH("Date Raised",'RAID Log'!$1:$1,0)),"")))</f>
        <v/>
      </c>
      <c r="O684" s="87" t="str">
        <f>IF($B684="","",IF(IFERROR(INDEX('RAID Log'!$1:$1048576,$B684,MATCH("Closed Date",'RAID Log'!$1:$1,0)),"")="","",IFERROR(INDEX('RAID Log'!$1:$1048576,$B684,MATCH("Closed Date",'RAID Log'!$1:$1,0)),"")))</f>
        <v/>
      </c>
      <c r="P684" s="85" t="str">
        <f>IF($B684="","",IF(IFERROR(INDEX('RAID Log'!$1:$1048576,$B684,MATCH("Mitigation Strategy",'RAID Log'!$1:$1,0)),"")="","",IFERROR(INDEX('RAID Log'!$1:$1048576,$B684,MATCH("Mitigation Strategy",'RAID Log'!$1:$1,0)),"")))</f>
        <v/>
      </c>
      <c r="Q684" s="88" t="str">
        <f>IF($B684="","",IF(IFERROR(INDEX('RAID Log'!$1:$1048576,$B684,MATCH("RAID Response/Plan",'RAID Log'!$1:$1,0)),"")="","",IFERROR(INDEX('RAID Log'!$1:$1048576,$B684,MATCH("RAID Response/Plan",'RAID Log'!$1:$1,0)),"")))</f>
        <v/>
      </c>
    </row>
    <row r="685" spans="1:17" ht="14.25" customHeight="1">
      <c r="A685" s="82" t="str">
        <f>IF($B685="","",IF(IFERROR(INDEX('RAID Log'!$1:$1048576,$B685,MATCH("RAID ID",'RAID Log'!$1:$1,0)),"")="","",IFERROR(INDEX('RAID Log'!$1:$1048576,$B685,MATCH("RAID ID",'RAID Log'!$1:$1,0)),"")))</f>
        <v/>
      </c>
      <c r="B685" s="83" t="str">
        <f>IFERROR(MATCH(ROW()-1,'RAID Log'!$S:$S,0),"")</f>
        <v/>
      </c>
      <c r="C685" s="84" t="str">
        <f>IF($B685="","",IF(IFERROR(INDEX('RAID Log'!$1:$1048576,$B685,MATCH("Description",'RAID Log'!$1:$1,0)),"")="","",IFERROR(INDEX('RAID Log'!$1:$1048576,$B685,MATCH("Description",'RAID Log'!$1:$1,0)),"")))</f>
        <v/>
      </c>
      <c r="D685" s="84" t="str">
        <f>IF($B685="","",IF(IFERROR(INDEX('RAID Log'!$1:$1048576,$B685,MATCH("Impact/Effect of the RAID",'RAID Log'!$1:$1,0)),"")="","",IFERROR(INDEX('RAID Log'!$1:$1048576,$B685,MATCH("Impact/Effect of the RAID",'RAID Log'!$1:$1,0)),"")))</f>
        <v/>
      </c>
      <c r="E685" s="85" t="str">
        <f>IF($B685="","",IF(IFERROR(INDEX('RAID Log'!$1:$1048576,$B685,MATCH("Impact Area",'RAID Log'!$1:$1,0)),"")="","",IFERROR(INDEX('RAID Log'!$1:$1048576,$B685,MATCH("Impact Area",'RAID Log'!$1:$1,0)),"")))</f>
        <v/>
      </c>
      <c r="F685" s="85" t="str">
        <f>IF($B685="","",IF(IFERROR(INDEX('RAID Log'!$1:$1048576,$B685,MATCH("Impact Area",'RAID Log'!$1:$1,0)),"")="","",IFERROR(INDEX('RAID Log'!$1:$1048576,$B685,MATCH("Impact Area",'RAID Log'!$1:$1,0)),"")))</f>
        <v/>
      </c>
      <c r="G685" s="85" t="str">
        <f>IF($B685="","",IF(IFERROR(INDEX('RAID Log'!$1:$1048576,$B685,MATCH("Impact Rating",'RAID Log'!$1:$1,0)),"")="","",IFERROR(INDEX('RAID Log'!$1:$1048576,$B685,MATCH("Impact Rating",'RAID Log'!$1:$1,0)),"")))</f>
        <v/>
      </c>
      <c r="H685" s="85" t="str">
        <f>IF($B685="","",IF(IFERROR(INDEX('RAID Log'!$1:$1048576,$B685,MATCH("Initial Probability",'RAID Log'!$1:$1,0)),"")="","",IFERROR(INDEX('RAID Log'!$1:$1048576,$B685,MATCH("Initial Probability",'RAID Log'!$1:$1,0)),"")))</f>
        <v/>
      </c>
      <c r="I685" s="86" t="str">
        <f t="shared" si="30"/>
        <v/>
      </c>
      <c r="J685" s="85" t="str">
        <f t="shared" si="31"/>
        <v/>
      </c>
      <c r="K685" s="86" t="str">
        <f t="shared" si="32"/>
        <v/>
      </c>
      <c r="L685" s="85" t="str">
        <f>IF($B685="","",IF(IFERROR(INDEX('RAID Log'!$1:$1048576,$B685,MATCH("Status",'RAID Log'!$1:$1,0)),"")="","",IFERROR(INDEX('RAID Log'!$1:$1048576,$B685,MATCH("Status",'RAID Log'!$1:$1,0)),"")))</f>
        <v/>
      </c>
      <c r="M685" s="85" t="str">
        <f>IF($B685="","",IF(IFERROR(INDEX('RAID Log'!$1:$1048576,$B685,MATCH("RAID Owner",'RAID Log'!$1:$1,0)),"")="","",IFERROR(INDEX('RAID Log'!$1:$1048576,$B685,MATCH("RAID Owner",'RAID Log'!$1:$1,0)),"")))</f>
        <v/>
      </c>
      <c r="N685" s="87" t="str">
        <f>IF($B685="","",IF(IFERROR(INDEX('RAID Log'!$1:$1048576,$B685,MATCH("Date Raised",'RAID Log'!$1:$1,0)),"")="","",IFERROR(INDEX('RAID Log'!$1:$1048576,$B685,MATCH("Date Raised",'RAID Log'!$1:$1,0)),"")))</f>
        <v/>
      </c>
      <c r="O685" s="87" t="str">
        <f>IF($B685="","",IF(IFERROR(INDEX('RAID Log'!$1:$1048576,$B685,MATCH("Closed Date",'RAID Log'!$1:$1,0)),"")="","",IFERROR(INDEX('RAID Log'!$1:$1048576,$B685,MATCH("Closed Date",'RAID Log'!$1:$1,0)),"")))</f>
        <v/>
      </c>
      <c r="P685" s="85" t="str">
        <f>IF($B685="","",IF(IFERROR(INDEX('RAID Log'!$1:$1048576,$B685,MATCH("Mitigation Strategy",'RAID Log'!$1:$1,0)),"")="","",IFERROR(INDEX('RAID Log'!$1:$1048576,$B685,MATCH("Mitigation Strategy",'RAID Log'!$1:$1,0)),"")))</f>
        <v/>
      </c>
      <c r="Q685" s="88" t="str">
        <f>IF($B685="","",IF(IFERROR(INDEX('RAID Log'!$1:$1048576,$B685,MATCH("RAID Response/Plan",'RAID Log'!$1:$1,0)),"")="","",IFERROR(INDEX('RAID Log'!$1:$1048576,$B685,MATCH("RAID Response/Plan",'RAID Log'!$1:$1,0)),"")))</f>
        <v/>
      </c>
    </row>
    <row r="686" spans="1:17" ht="14.25" customHeight="1">
      <c r="A686" s="82" t="str">
        <f>IF($B686="","",IF(IFERROR(INDEX('RAID Log'!$1:$1048576,$B686,MATCH("RAID ID",'RAID Log'!$1:$1,0)),"")="","",IFERROR(INDEX('RAID Log'!$1:$1048576,$B686,MATCH("RAID ID",'RAID Log'!$1:$1,0)),"")))</f>
        <v/>
      </c>
      <c r="B686" s="83" t="str">
        <f>IFERROR(MATCH(ROW()-1,'RAID Log'!$S:$S,0),"")</f>
        <v/>
      </c>
      <c r="C686" s="84" t="str">
        <f>IF($B686="","",IF(IFERROR(INDEX('RAID Log'!$1:$1048576,$B686,MATCH("Description",'RAID Log'!$1:$1,0)),"")="","",IFERROR(INDEX('RAID Log'!$1:$1048576,$B686,MATCH("Description",'RAID Log'!$1:$1,0)),"")))</f>
        <v/>
      </c>
      <c r="D686" s="84" t="str">
        <f>IF($B686="","",IF(IFERROR(INDEX('RAID Log'!$1:$1048576,$B686,MATCH("Impact/Effect of the RAID",'RAID Log'!$1:$1,0)),"")="","",IFERROR(INDEX('RAID Log'!$1:$1048576,$B686,MATCH("Impact/Effect of the RAID",'RAID Log'!$1:$1,0)),"")))</f>
        <v/>
      </c>
      <c r="E686" s="85" t="str">
        <f>IF($B686="","",IF(IFERROR(INDEX('RAID Log'!$1:$1048576,$B686,MATCH("Impact Area",'RAID Log'!$1:$1,0)),"")="","",IFERROR(INDEX('RAID Log'!$1:$1048576,$B686,MATCH("Impact Area",'RAID Log'!$1:$1,0)),"")))</f>
        <v/>
      </c>
      <c r="F686" s="85" t="str">
        <f>IF($B686="","",IF(IFERROR(INDEX('RAID Log'!$1:$1048576,$B686,MATCH("Impact Area",'RAID Log'!$1:$1,0)),"")="","",IFERROR(INDEX('RAID Log'!$1:$1048576,$B686,MATCH("Impact Area",'RAID Log'!$1:$1,0)),"")))</f>
        <v/>
      </c>
      <c r="G686" s="85" t="str">
        <f>IF($B686="","",IF(IFERROR(INDEX('RAID Log'!$1:$1048576,$B686,MATCH("Impact Rating",'RAID Log'!$1:$1,0)),"")="","",IFERROR(INDEX('RAID Log'!$1:$1048576,$B686,MATCH("Impact Rating",'RAID Log'!$1:$1,0)),"")))</f>
        <v/>
      </c>
      <c r="H686" s="85" t="str">
        <f>IF($B686="","",IF(IFERROR(INDEX('RAID Log'!$1:$1048576,$B686,MATCH("Initial Probability",'RAID Log'!$1:$1,0)),"")="","",IFERROR(INDEX('RAID Log'!$1:$1048576,$B686,MATCH("Initial Probability",'RAID Log'!$1:$1,0)),"")))</f>
        <v/>
      </c>
      <c r="I686" s="86" t="str">
        <f t="shared" si="30"/>
        <v/>
      </c>
      <c r="J686" s="85" t="str">
        <f t="shared" si="31"/>
        <v/>
      </c>
      <c r="K686" s="86" t="str">
        <f t="shared" si="32"/>
        <v/>
      </c>
      <c r="L686" s="85" t="str">
        <f>IF($B686="","",IF(IFERROR(INDEX('RAID Log'!$1:$1048576,$B686,MATCH("Status",'RAID Log'!$1:$1,0)),"")="","",IFERROR(INDEX('RAID Log'!$1:$1048576,$B686,MATCH("Status",'RAID Log'!$1:$1,0)),"")))</f>
        <v/>
      </c>
      <c r="M686" s="85" t="str">
        <f>IF($B686="","",IF(IFERROR(INDEX('RAID Log'!$1:$1048576,$B686,MATCH("RAID Owner",'RAID Log'!$1:$1,0)),"")="","",IFERROR(INDEX('RAID Log'!$1:$1048576,$B686,MATCH("RAID Owner",'RAID Log'!$1:$1,0)),"")))</f>
        <v/>
      </c>
      <c r="N686" s="87" t="str">
        <f>IF($B686="","",IF(IFERROR(INDEX('RAID Log'!$1:$1048576,$B686,MATCH("Date Raised",'RAID Log'!$1:$1,0)),"")="","",IFERROR(INDEX('RAID Log'!$1:$1048576,$B686,MATCH("Date Raised",'RAID Log'!$1:$1,0)),"")))</f>
        <v/>
      </c>
      <c r="O686" s="87" t="str">
        <f>IF($B686="","",IF(IFERROR(INDEX('RAID Log'!$1:$1048576,$B686,MATCH("Closed Date",'RAID Log'!$1:$1,0)),"")="","",IFERROR(INDEX('RAID Log'!$1:$1048576,$B686,MATCH("Closed Date",'RAID Log'!$1:$1,0)),"")))</f>
        <v/>
      </c>
      <c r="P686" s="85" t="str">
        <f>IF($B686="","",IF(IFERROR(INDEX('RAID Log'!$1:$1048576,$B686,MATCH("Mitigation Strategy",'RAID Log'!$1:$1,0)),"")="","",IFERROR(INDEX('RAID Log'!$1:$1048576,$B686,MATCH("Mitigation Strategy",'RAID Log'!$1:$1,0)),"")))</f>
        <v/>
      </c>
      <c r="Q686" s="88" t="str">
        <f>IF($B686="","",IF(IFERROR(INDEX('RAID Log'!$1:$1048576,$B686,MATCH("RAID Response/Plan",'RAID Log'!$1:$1,0)),"")="","",IFERROR(INDEX('RAID Log'!$1:$1048576,$B686,MATCH("RAID Response/Plan",'RAID Log'!$1:$1,0)),"")))</f>
        <v/>
      </c>
    </row>
    <row r="687" spans="1:17" ht="14.25" customHeight="1">
      <c r="A687" s="82" t="str">
        <f>IF($B687="","",IF(IFERROR(INDEX('RAID Log'!$1:$1048576,$B687,MATCH("RAID ID",'RAID Log'!$1:$1,0)),"")="","",IFERROR(INDEX('RAID Log'!$1:$1048576,$B687,MATCH("RAID ID",'RAID Log'!$1:$1,0)),"")))</f>
        <v/>
      </c>
      <c r="B687" s="83" t="str">
        <f>IFERROR(MATCH(ROW()-1,'RAID Log'!$S:$S,0),"")</f>
        <v/>
      </c>
      <c r="C687" s="84" t="str">
        <f>IF($B687="","",IF(IFERROR(INDEX('RAID Log'!$1:$1048576,$B687,MATCH("Description",'RAID Log'!$1:$1,0)),"")="","",IFERROR(INDEX('RAID Log'!$1:$1048576,$B687,MATCH("Description",'RAID Log'!$1:$1,0)),"")))</f>
        <v/>
      </c>
      <c r="D687" s="84" t="str">
        <f>IF($B687="","",IF(IFERROR(INDEX('RAID Log'!$1:$1048576,$B687,MATCH("Impact/Effect of the RAID",'RAID Log'!$1:$1,0)),"")="","",IFERROR(INDEX('RAID Log'!$1:$1048576,$B687,MATCH("Impact/Effect of the RAID",'RAID Log'!$1:$1,0)),"")))</f>
        <v/>
      </c>
      <c r="E687" s="85" t="str">
        <f>IF($B687="","",IF(IFERROR(INDEX('RAID Log'!$1:$1048576,$B687,MATCH("Impact Area",'RAID Log'!$1:$1,0)),"")="","",IFERROR(INDEX('RAID Log'!$1:$1048576,$B687,MATCH("Impact Area",'RAID Log'!$1:$1,0)),"")))</f>
        <v/>
      </c>
      <c r="F687" s="85" t="str">
        <f>IF($B687="","",IF(IFERROR(INDEX('RAID Log'!$1:$1048576,$B687,MATCH("Impact Area",'RAID Log'!$1:$1,0)),"")="","",IFERROR(INDEX('RAID Log'!$1:$1048576,$B687,MATCH("Impact Area",'RAID Log'!$1:$1,0)),"")))</f>
        <v/>
      </c>
      <c r="G687" s="85" t="str">
        <f>IF($B687="","",IF(IFERROR(INDEX('RAID Log'!$1:$1048576,$B687,MATCH("Impact Rating",'RAID Log'!$1:$1,0)),"")="","",IFERROR(INDEX('RAID Log'!$1:$1048576,$B687,MATCH("Impact Rating",'RAID Log'!$1:$1,0)),"")))</f>
        <v/>
      </c>
      <c r="H687" s="85" t="str">
        <f>IF($B687="","",IF(IFERROR(INDEX('RAID Log'!$1:$1048576,$B687,MATCH("Initial Probability",'RAID Log'!$1:$1,0)),"")="","",IFERROR(INDEX('RAID Log'!$1:$1048576,$B687,MATCH("Initial Probability",'RAID Log'!$1:$1,0)),"")))</f>
        <v/>
      </c>
      <c r="I687" s="86" t="str">
        <f t="shared" si="30"/>
        <v/>
      </c>
      <c r="J687" s="85" t="str">
        <f t="shared" si="31"/>
        <v/>
      </c>
      <c r="K687" s="86" t="str">
        <f t="shared" si="32"/>
        <v/>
      </c>
      <c r="L687" s="85" t="str">
        <f>IF($B687="","",IF(IFERROR(INDEX('RAID Log'!$1:$1048576,$B687,MATCH("Status",'RAID Log'!$1:$1,0)),"")="","",IFERROR(INDEX('RAID Log'!$1:$1048576,$B687,MATCH("Status",'RAID Log'!$1:$1,0)),"")))</f>
        <v/>
      </c>
      <c r="M687" s="85" t="str">
        <f>IF($B687="","",IF(IFERROR(INDEX('RAID Log'!$1:$1048576,$B687,MATCH("RAID Owner",'RAID Log'!$1:$1,0)),"")="","",IFERROR(INDEX('RAID Log'!$1:$1048576,$B687,MATCH("RAID Owner",'RAID Log'!$1:$1,0)),"")))</f>
        <v/>
      </c>
      <c r="N687" s="87" t="str">
        <f>IF($B687="","",IF(IFERROR(INDEX('RAID Log'!$1:$1048576,$B687,MATCH("Date Raised",'RAID Log'!$1:$1,0)),"")="","",IFERROR(INDEX('RAID Log'!$1:$1048576,$B687,MATCH("Date Raised",'RAID Log'!$1:$1,0)),"")))</f>
        <v/>
      </c>
      <c r="O687" s="87" t="str">
        <f>IF($B687="","",IF(IFERROR(INDEX('RAID Log'!$1:$1048576,$B687,MATCH("Closed Date",'RAID Log'!$1:$1,0)),"")="","",IFERROR(INDEX('RAID Log'!$1:$1048576,$B687,MATCH("Closed Date",'RAID Log'!$1:$1,0)),"")))</f>
        <v/>
      </c>
      <c r="P687" s="85" t="str">
        <f>IF($B687="","",IF(IFERROR(INDEX('RAID Log'!$1:$1048576,$B687,MATCH("Mitigation Strategy",'RAID Log'!$1:$1,0)),"")="","",IFERROR(INDEX('RAID Log'!$1:$1048576,$B687,MATCH("Mitigation Strategy",'RAID Log'!$1:$1,0)),"")))</f>
        <v/>
      </c>
      <c r="Q687" s="88" t="str">
        <f>IF($B687="","",IF(IFERROR(INDEX('RAID Log'!$1:$1048576,$B687,MATCH("RAID Response/Plan",'RAID Log'!$1:$1,0)),"")="","",IFERROR(INDEX('RAID Log'!$1:$1048576,$B687,MATCH("RAID Response/Plan",'RAID Log'!$1:$1,0)),"")))</f>
        <v/>
      </c>
    </row>
    <row r="688" spans="1:17" ht="14.25" customHeight="1">
      <c r="A688" s="82" t="str">
        <f>IF($B688="","",IF(IFERROR(INDEX('RAID Log'!$1:$1048576,$B688,MATCH("RAID ID",'RAID Log'!$1:$1,0)),"")="","",IFERROR(INDEX('RAID Log'!$1:$1048576,$B688,MATCH("RAID ID",'RAID Log'!$1:$1,0)),"")))</f>
        <v/>
      </c>
      <c r="B688" s="83" t="str">
        <f>IFERROR(MATCH(ROW()-1,'RAID Log'!$S:$S,0),"")</f>
        <v/>
      </c>
      <c r="C688" s="84" t="str">
        <f>IF($B688="","",IF(IFERROR(INDEX('RAID Log'!$1:$1048576,$B688,MATCH("Description",'RAID Log'!$1:$1,0)),"")="","",IFERROR(INDEX('RAID Log'!$1:$1048576,$B688,MATCH("Description",'RAID Log'!$1:$1,0)),"")))</f>
        <v/>
      </c>
      <c r="D688" s="84" t="str">
        <f>IF($B688="","",IF(IFERROR(INDEX('RAID Log'!$1:$1048576,$B688,MATCH("Impact/Effect of the RAID",'RAID Log'!$1:$1,0)),"")="","",IFERROR(INDEX('RAID Log'!$1:$1048576,$B688,MATCH("Impact/Effect of the RAID",'RAID Log'!$1:$1,0)),"")))</f>
        <v/>
      </c>
      <c r="E688" s="85" t="str">
        <f>IF($B688="","",IF(IFERROR(INDEX('RAID Log'!$1:$1048576,$B688,MATCH("Impact Area",'RAID Log'!$1:$1,0)),"")="","",IFERROR(INDEX('RAID Log'!$1:$1048576,$B688,MATCH("Impact Area",'RAID Log'!$1:$1,0)),"")))</f>
        <v/>
      </c>
      <c r="F688" s="85" t="str">
        <f>IF($B688="","",IF(IFERROR(INDEX('RAID Log'!$1:$1048576,$B688,MATCH("Impact Area",'RAID Log'!$1:$1,0)),"")="","",IFERROR(INDEX('RAID Log'!$1:$1048576,$B688,MATCH("Impact Area",'RAID Log'!$1:$1,0)),"")))</f>
        <v/>
      </c>
      <c r="G688" s="85" t="str">
        <f>IF($B688="","",IF(IFERROR(INDEX('RAID Log'!$1:$1048576,$B688,MATCH("Impact Rating",'RAID Log'!$1:$1,0)),"")="","",IFERROR(INDEX('RAID Log'!$1:$1048576,$B688,MATCH("Impact Rating",'RAID Log'!$1:$1,0)),"")))</f>
        <v/>
      </c>
      <c r="H688" s="85" t="str">
        <f>IF($B688="","",IF(IFERROR(INDEX('RAID Log'!$1:$1048576,$B688,MATCH("Initial Probability",'RAID Log'!$1:$1,0)),"")="","",IFERROR(INDEX('RAID Log'!$1:$1048576,$B688,MATCH("Initial Probability",'RAID Log'!$1:$1,0)),"")))</f>
        <v/>
      </c>
      <c r="I688" s="86" t="str">
        <f t="shared" si="30"/>
        <v/>
      </c>
      <c r="J688" s="85" t="str">
        <f t="shared" si="31"/>
        <v/>
      </c>
      <c r="K688" s="86" t="str">
        <f t="shared" si="32"/>
        <v/>
      </c>
      <c r="L688" s="85" t="str">
        <f>IF($B688="","",IF(IFERROR(INDEX('RAID Log'!$1:$1048576,$B688,MATCH("Status",'RAID Log'!$1:$1,0)),"")="","",IFERROR(INDEX('RAID Log'!$1:$1048576,$B688,MATCH("Status",'RAID Log'!$1:$1,0)),"")))</f>
        <v/>
      </c>
      <c r="M688" s="85" t="str">
        <f>IF($B688="","",IF(IFERROR(INDEX('RAID Log'!$1:$1048576,$B688,MATCH("RAID Owner",'RAID Log'!$1:$1,0)),"")="","",IFERROR(INDEX('RAID Log'!$1:$1048576,$B688,MATCH("RAID Owner",'RAID Log'!$1:$1,0)),"")))</f>
        <v/>
      </c>
      <c r="N688" s="87" t="str">
        <f>IF($B688="","",IF(IFERROR(INDEX('RAID Log'!$1:$1048576,$B688,MATCH("Date Raised",'RAID Log'!$1:$1,0)),"")="","",IFERROR(INDEX('RAID Log'!$1:$1048576,$B688,MATCH("Date Raised",'RAID Log'!$1:$1,0)),"")))</f>
        <v/>
      </c>
      <c r="O688" s="87" t="str">
        <f>IF($B688="","",IF(IFERROR(INDEX('RAID Log'!$1:$1048576,$B688,MATCH("Closed Date",'RAID Log'!$1:$1,0)),"")="","",IFERROR(INDEX('RAID Log'!$1:$1048576,$B688,MATCH("Closed Date",'RAID Log'!$1:$1,0)),"")))</f>
        <v/>
      </c>
      <c r="P688" s="85" t="str">
        <f>IF($B688="","",IF(IFERROR(INDEX('RAID Log'!$1:$1048576,$B688,MATCH("Mitigation Strategy",'RAID Log'!$1:$1,0)),"")="","",IFERROR(INDEX('RAID Log'!$1:$1048576,$B688,MATCH("Mitigation Strategy",'RAID Log'!$1:$1,0)),"")))</f>
        <v/>
      </c>
      <c r="Q688" s="88" t="str">
        <f>IF($B688="","",IF(IFERROR(INDEX('RAID Log'!$1:$1048576,$B688,MATCH("RAID Response/Plan",'RAID Log'!$1:$1,0)),"")="","",IFERROR(INDEX('RAID Log'!$1:$1048576,$B688,MATCH("RAID Response/Plan",'RAID Log'!$1:$1,0)),"")))</f>
        <v/>
      </c>
    </row>
    <row r="689" spans="1:17" ht="14.25" customHeight="1">
      <c r="A689" s="82" t="str">
        <f>IF($B689="","",IF(IFERROR(INDEX('RAID Log'!$1:$1048576,$B689,MATCH("RAID ID",'RAID Log'!$1:$1,0)),"")="","",IFERROR(INDEX('RAID Log'!$1:$1048576,$B689,MATCH("RAID ID",'RAID Log'!$1:$1,0)),"")))</f>
        <v/>
      </c>
      <c r="B689" s="83" t="str">
        <f>IFERROR(MATCH(ROW()-1,'RAID Log'!$S:$S,0),"")</f>
        <v/>
      </c>
      <c r="C689" s="84" t="str">
        <f>IF($B689="","",IF(IFERROR(INDEX('RAID Log'!$1:$1048576,$B689,MATCH("Description",'RAID Log'!$1:$1,0)),"")="","",IFERROR(INDEX('RAID Log'!$1:$1048576,$B689,MATCH("Description",'RAID Log'!$1:$1,0)),"")))</f>
        <v/>
      </c>
      <c r="D689" s="84" t="str">
        <f>IF($B689="","",IF(IFERROR(INDEX('RAID Log'!$1:$1048576,$B689,MATCH("Impact/Effect of the RAID",'RAID Log'!$1:$1,0)),"")="","",IFERROR(INDEX('RAID Log'!$1:$1048576,$B689,MATCH("Impact/Effect of the RAID",'RAID Log'!$1:$1,0)),"")))</f>
        <v/>
      </c>
      <c r="E689" s="85" t="str">
        <f>IF($B689="","",IF(IFERROR(INDEX('RAID Log'!$1:$1048576,$B689,MATCH("Impact Area",'RAID Log'!$1:$1,0)),"")="","",IFERROR(INDEX('RAID Log'!$1:$1048576,$B689,MATCH("Impact Area",'RAID Log'!$1:$1,0)),"")))</f>
        <v/>
      </c>
      <c r="F689" s="85" t="str">
        <f>IF($B689="","",IF(IFERROR(INDEX('RAID Log'!$1:$1048576,$B689,MATCH("Impact Area",'RAID Log'!$1:$1,0)),"")="","",IFERROR(INDEX('RAID Log'!$1:$1048576,$B689,MATCH("Impact Area",'RAID Log'!$1:$1,0)),"")))</f>
        <v/>
      </c>
      <c r="G689" s="85" t="str">
        <f>IF($B689="","",IF(IFERROR(INDEX('RAID Log'!$1:$1048576,$B689,MATCH("Impact Rating",'RAID Log'!$1:$1,0)),"")="","",IFERROR(INDEX('RAID Log'!$1:$1048576,$B689,MATCH("Impact Rating",'RAID Log'!$1:$1,0)),"")))</f>
        <v/>
      </c>
      <c r="H689" s="85" t="str">
        <f>IF($B689="","",IF(IFERROR(INDEX('RAID Log'!$1:$1048576,$B689,MATCH("Initial Probability",'RAID Log'!$1:$1,0)),"")="","",IFERROR(INDEX('RAID Log'!$1:$1048576,$B689,MATCH("Initial Probability",'RAID Log'!$1:$1,0)),"")))</f>
        <v/>
      </c>
      <c r="I689" s="86" t="str">
        <f t="shared" si="30"/>
        <v/>
      </c>
      <c r="J689" s="85" t="str">
        <f t="shared" si="31"/>
        <v/>
      </c>
      <c r="K689" s="86" t="str">
        <f t="shared" si="32"/>
        <v/>
      </c>
      <c r="L689" s="85" t="str">
        <f>IF($B689="","",IF(IFERROR(INDEX('RAID Log'!$1:$1048576,$B689,MATCH("Status",'RAID Log'!$1:$1,0)),"")="","",IFERROR(INDEX('RAID Log'!$1:$1048576,$B689,MATCH("Status",'RAID Log'!$1:$1,0)),"")))</f>
        <v/>
      </c>
      <c r="M689" s="85" t="str">
        <f>IF($B689="","",IF(IFERROR(INDEX('RAID Log'!$1:$1048576,$B689,MATCH("RAID Owner",'RAID Log'!$1:$1,0)),"")="","",IFERROR(INDEX('RAID Log'!$1:$1048576,$B689,MATCH("RAID Owner",'RAID Log'!$1:$1,0)),"")))</f>
        <v/>
      </c>
      <c r="N689" s="87" t="str">
        <f>IF($B689="","",IF(IFERROR(INDEX('RAID Log'!$1:$1048576,$B689,MATCH("Date Raised",'RAID Log'!$1:$1,0)),"")="","",IFERROR(INDEX('RAID Log'!$1:$1048576,$B689,MATCH("Date Raised",'RAID Log'!$1:$1,0)),"")))</f>
        <v/>
      </c>
      <c r="O689" s="87" t="str">
        <f>IF($B689="","",IF(IFERROR(INDEX('RAID Log'!$1:$1048576,$B689,MATCH("Closed Date",'RAID Log'!$1:$1,0)),"")="","",IFERROR(INDEX('RAID Log'!$1:$1048576,$B689,MATCH("Closed Date",'RAID Log'!$1:$1,0)),"")))</f>
        <v/>
      </c>
      <c r="P689" s="85" t="str">
        <f>IF($B689="","",IF(IFERROR(INDEX('RAID Log'!$1:$1048576,$B689,MATCH("Mitigation Strategy",'RAID Log'!$1:$1,0)),"")="","",IFERROR(INDEX('RAID Log'!$1:$1048576,$B689,MATCH("Mitigation Strategy",'RAID Log'!$1:$1,0)),"")))</f>
        <v/>
      </c>
      <c r="Q689" s="88" t="str">
        <f>IF($B689="","",IF(IFERROR(INDEX('RAID Log'!$1:$1048576,$B689,MATCH("RAID Response/Plan",'RAID Log'!$1:$1,0)),"")="","",IFERROR(INDEX('RAID Log'!$1:$1048576,$B689,MATCH("RAID Response/Plan",'RAID Log'!$1:$1,0)),"")))</f>
        <v/>
      </c>
    </row>
    <row r="690" spans="1:17" ht="14.25" customHeight="1">
      <c r="A690" s="82" t="str">
        <f>IF($B690="","",IF(IFERROR(INDEX('RAID Log'!$1:$1048576,$B690,MATCH("RAID ID",'RAID Log'!$1:$1,0)),"")="","",IFERROR(INDEX('RAID Log'!$1:$1048576,$B690,MATCH("RAID ID",'RAID Log'!$1:$1,0)),"")))</f>
        <v/>
      </c>
      <c r="B690" s="83" t="str">
        <f>IFERROR(MATCH(ROW()-1,'RAID Log'!$S:$S,0),"")</f>
        <v/>
      </c>
      <c r="C690" s="84" t="str">
        <f>IF($B690="","",IF(IFERROR(INDEX('RAID Log'!$1:$1048576,$B690,MATCH("Description",'RAID Log'!$1:$1,0)),"")="","",IFERROR(INDEX('RAID Log'!$1:$1048576,$B690,MATCH("Description",'RAID Log'!$1:$1,0)),"")))</f>
        <v/>
      </c>
      <c r="D690" s="84" t="str">
        <f>IF($B690="","",IF(IFERROR(INDEX('RAID Log'!$1:$1048576,$B690,MATCH("Impact/Effect of the RAID",'RAID Log'!$1:$1,0)),"")="","",IFERROR(INDEX('RAID Log'!$1:$1048576,$B690,MATCH("Impact/Effect of the RAID",'RAID Log'!$1:$1,0)),"")))</f>
        <v/>
      </c>
      <c r="E690" s="85" t="str">
        <f>IF($B690="","",IF(IFERROR(INDEX('RAID Log'!$1:$1048576,$B690,MATCH("Impact Area",'RAID Log'!$1:$1,0)),"")="","",IFERROR(INDEX('RAID Log'!$1:$1048576,$B690,MATCH("Impact Area",'RAID Log'!$1:$1,0)),"")))</f>
        <v/>
      </c>
      <c r="F690" s="85" t="str">
        <f>IF($B690="","",IF(IFERROR(INDEX('RAID Log'!$1:$1048576,$B690,MATCH("Impact Area",'RAID Log'!$1:$1,0)),"")="","",IFERROR(INDEX('RAID Log'!$1:$1048576,$B690,MATCH("Impact Area",'RAID Log'!$1:$1,0)),"")))</f>
        <v/>
      </c>
      <c r="G690" s="85" t="str">
        <f>IF($B690="","",IF(IFERROR(INDEX('RAID Log'!$1:$1048576,$B690,MATCH("Impact Rating",'RAID Log'!$1:$1,0)),"")="","",IFERROR(INDEX('RAID Log'!$1:$1048576,$B690,MATCH("Impact Rating",'RAID Log'!$1:$1,0)),"")))</f>
        <v/>
      </c>
      <c r="H690" s="85" t="str">
        <f>IF($B690="","",IF(IFERROR(INDEX('RAID Log'!$1:$1048576,$B690,MATCH("Initial Probability",'RAID Log'!$1:$1,0)),"")="","",IFERROR(INDEX('RAID Log'!$1:$1048576,$B690,MATCH("Initial Probability",'RAID Log'!$1:$1,0)),"")))</f>
        <v/>
      </c>
      <c r="I690" s="86" t="str">
        <f t="shared" si="30"/>
        <v/>
      </c>
      <c r="J690" s="85" t="str">
        <f t="shared" si="31"/>
        <v/>
      </c>
      <c r="K690" s="86" t="str">
        <f t="shared" si="32"/>
        <v/>
      </c>
      <c r="L690" s="85" t="str">
        <f>IF($B690="","",IF(IFERROR(INDEX('RAID Log'!$1:$1048576,$B690,MATCH("Status",'RAID Log'!$1:$1,0)),"")="","",IFERROR(INDEX('RAID Log'!$1:$1048576,$B690,MATCH("Status",'RAID Log'!$1:$1,0)),"")))</f>
        <v/>
      </c>
      <c r="M690" s="85" t="str">
        <f>IF($B690="","",IF(IFERROR(INDEX('RAID Log'!$1:$1048576,$B690,MATCH("RAID Owner",'RAID Log'!$1:$1,0)),"")="","",IFERROR(INDEX('RAID Log'!$1:$1048576,$B690,MATCH("RAID Owner",'RAID Log'!$1:$1,0)),"")))</f>
        <v/>
      </c>
      <c r="N690" s="87" t="str">
        <f>IF($B690="","",IF(IFERROR(INDEX('RAID Log'!$1:$1048576,$B690,MATCH("Date Raised",'RAID Log'!$1:$1,0)),"")="","",IFERROR(INDEX('RAID Log'!$1:$1048576,$B690,MATCH("Date Raised",'RAID Log'!$1:$1,0)),"")))</f>
        <v/>
      </c>
      <c r="O690" s="87" t="str">
        <f>IF($B690="","",IF(IFERROR(INDEX('RAID Log'!$1:$1048576,$B690,MATCH("Closed Date",'RAID Log'!$1:$1,0)),"")="","",IFERROR(INDEX('RAID Log'!$1:$1048576,$B690,MATCH("Closed Date",'RAID Log'!$1:$1,0)),"")))</f>
        <v/>
      </c>
      <c r="P690" s="85" t="str">
        <f>IF($B690="","",IF(IFERROR(INDEX('RAID Log'!$1:$1048576,$B690,MATCH("Mitigation Strategy",'RAID Log'!$1:$1,0)),"")="","",IFERROR(INDEX('RAID Log'!$1:$1048576,$B690,MATCH("Mitigation Strategy",'RAID Log'!$1:$1,0)),"")))</f>
        <v/>
      </c>
      <c r="Q690" s="88" t="str">
        <f>IF($B690="","",IF(IFERROR(INDEX('RAID Log'!$1:$1048576,$B690,MATCH("RAID Response/Plan",'RAID Log'!$1:$1,0)),"")="","",IFERROR(INDEX('RAID Log'!$1:$1048576,$B690,MATCH("RAID Response/Plan",'RAID Log'!$1:$1,0)),"")))</f>
        <v/>
      </c>
    </row>
    <row r="691" spans="1:17" ht="14.25" customHeight="1">
      <c r="A691" s="82" t="str">
        <f>IF($B691="","",IF(IFERROR(INDEX('RAID Log'!$1:$1048576,$B691,MATCH("RAID ID",'RAID Log'!$1:$1,0)),"")="","",IFERROR(INDEX('RAID Log'!$1:$1048576,$B691,MATCH("RAID ID",'RAID Log'!$1:$1,0)),"")))</f>
        <v/>
      </c>
      <c r="B691" s="83" t="str">
        <f>IFERROR(MATCH(ROW()-1,'RAID Log'!$S:$S,0),"")</f>
        <v/>
      </c>
      <c r="C691" s="84" t="str">
        <f>IF($B691="","",IF(IFERROR(INDEX('RAID Log'!$1:$1048576,$B691,MATCH("Description",'RAID Log'!$1:$1,0)),"")="","",IFERROR(INDEX('RAID Log'!$1:$1048576,$B691,MATCH("Description",'RAID Log'!$1:$1,0)),"")))</f>
        <v/>
      </c>
      <c r="D691" s="84" t="str">
        <f>IF($B691="","",IF(IFERROR(INDEX('RAID Log'!$1:$1048576,$B691,MATCH("Impact/Effect of the RAID",'RAID Log'!$1:$1,0)),"")="","",IFERROR(INDEX('RAID Log'!$1:$1048576,$B691,MATCH("Impact/Effect of the RAID",'RAID Log'!$1:$1,0)),"")))</f>
        <v/>
      </c>
      <c r="E691" s="85" t="str">
        <f>IF($B691="","",IF(IFERROR(INDEX('RAID Log'!$1:$1048576,$B691,MATCH("Impact Area",'RAID Log'!$1:$1,0)),"")="","",IFERROR(INDEX('RAID Log'!$1:$1048576,$B691,MATCH("Impact Area",'RAID Log'!$1:$1,0)),"")))</f>
        <v/>
      </c>
      <c r="F691" s="85" t="str">
        <f>IF($B691="","",IF(IFERROR(INDEX('RAID Log'!$1:$1048576,$B691,MATCH("Impact Area",'RAID Log'!$1:$1,0)),"")="","",IFERROR(INDEX('RAID Log'!$1:$1048576,$B691,MATCH("Impact Area",'RAID Log'!$1:$1,0)),"")))</f>
        <v/>
      </c>
      <c r="G691" s="85" t="str">
        <f>IF($B691="","",IF(IFERROR(INDEX('RAID Log'!$1:$1048576,$B691,MATCH("Impact Rating",'RAID Log'!$1:$1,0)),"")="","",IFERROR(INDEX('RAID Log'!$1:$1048576,$B691,MATCH("Impact Rating",'RAID Log'!$1:$1,0)),"")))</f>
        <v/>
      </c>
      <c r="H691" s="85" t="str">
        <f>IF($B691="","",IF(IFERROR(INDEX('RAID Log'!$1:$1048576,$B691,MATCH("Initial Probability",'RAID Log'!$1:$1,0)),"")="","",IFERROR(INDEX('RAID Log'!$1:$1048576,$B691,MATCH("Initial Probability",'RAID Log'!$1:$1,0)),"")))</f>
        <v/>
      </c>
      <c r="I691" s="86" t="str">
        <f t="shared" si="30"/>
        <v/>
      </c>
      <c r="J691" s="85" t="str">
        <f t="shared" si="31"/>
        <v/>
      </c>
      <c r="K691" s="86" t="str">
        <f t="shared" si="32"/>
        <v/>
      </c>
      <c r="L691" s="85" t="str">
        <f>IF($B691="","",IF(IFERROR(INDEX('RAID Log'!$1:$1048576,$B691,MATCH("Status",'RAID Log'!$1:$1,0)),"")="","",IFERROR(INDEX('RAID Log'!$1:$1048576,$B691,MATCH("Status",'RAID Log'!$1:$1,0)),"")))</f>
        <v/>
      </c>
      <c r="M691" s="85" t="str">
        <f>IF($B691="","",IF(IFERROR(INDEX('RAID Log'!$1:$1048576,$B691,MATCH("RAID Owner",'RAID Log'!$1:$1,0)),"")="","",IFERROR(INDEX('RAID Log'!$1:$1048576,$B691,MATCH("RAID Owner",'RAID Log'!$1:$1,0)),"")))</f>
        <v/>
      </c>
      <c r="N691" s="87" t="str">
        <f>IF($B691="","",IF(IFERROR(INDEX('RAID Log'!$1:$1048576,$B691,MATCH("Date Raised",'RAID Log'!$1:$1,0)),"")="","",IFERROR(INDEX('RAID Log'!$1:$1048576,$B691,MATCH("Date Raised",'RAID Log'!$1:$1,0)),"")))</f>
        <v/>
      </c>
      <c r="O691" s="87" t="str">
        <f>IF($B691="","",IF(IFERROR(INDEX('RAID Log'!$1:$1048576,$B691,MATCH("Closed Date",'RAID Log'!$1:$1,0)),"")="","",IFERROR(INDEX('RAID Log'!$1:$1048576,$B691,MATCH("Closed Date",'RAID Log'!$1:$1,0)),"")))</f>
        <v/>
      </c>
      <c r="P691" s="85" t="str">
        <f>IF($B691="","",IF(IFERROR(INDEX('RAID Log'!$1:$1048576,$B691,MATCH("Mitigation Strategy",'RAID Log'!$1:$1,0)),"")="","",IFERROR(INDEX('RAID Log'!$1:$1048576,$B691,MATCH("Mitigation Strategy",'RAID Log'!$1:$1,0)),"")))</f>
        <v/>
      </c>
      <c r="Q691" s="88" t="str">
        <f>IF($B691="","",IF(IFERROR(INDEX('RAID Log'!$1:$1048576,$B691,MATCH("RAID Response/Plan",'RAID Log'!$1:$1,0)),"")="","",IFERROR(INDEX('RAID Log'!$1:$1048576,$B691,MATCH("RAID Response/Plan",'RAID Log'!$1:$1,0)),"")))</f>
        <v/>
      </c>
    </row>
    <row r="692" spans="1:17" ht="14.25" customHeight="1">
      <c r="A692" s="82" t="str">
        <f>IF($B692="","",IF(IFERROR(INDEX('RAID Log'!$1:$1048576,$B692,MATCH("RAID ID",'RAID Log'!$1:$1,0)),"")="","",IFERROR(INDEX('RAID Log'!$1:$1048576,$B692,MATCH("RAID ID",'RAID Log'!$1:$1,0)),"")))</f>
        <v/>
      </c>
      <c r="B692" s="83" t="str">
        <f>IFERROR(MATCH(ROW()-1,'RAID Log'!$S:$S,0),"")</f>
        <v/>
      </c>
      <c r="C692" s="84" t="str">
        <f>IF($B692="","",IF(IFERROR(INDEX('RAID Log'!$1:$1048576,$B692,MATCH("Description",'RAID Log'!$1:$1,0)),"")="","",IFERROR(INDEX('RAID Log'!$1:$1048576,$B692,MATCH("Description",'RAID Log'!$1:$1,0)),"")))</f>
        <v/>
      </c>
      <c r="D692" s="84" t="str">
        <f>IF($B692="","",IF(IFERROR(INDEX('RAID Log'!$1:$1048576,$B692,MATCH("Impact/Effect of the RAID",'RAID Log'!$1:$1,0)),"")="","",IFERROR(INDEX('RAID Log'!$1:$1048576,$B692,MATCH("Impact/Effect of the RAID",'RAID Log'!$1:$1,0)),"")))</f>
        <v/>
      </c>
      <c r="E692" s="85" t="str">
        <f>IF($B692="","",IF(IFERROR(INDEX('RAID Log'!$1:$1048576,$B692,MATCH("Impact Area",'RAID Log'!$1:$1,0)),"")="","",IFERROR(INDEX('RAID Log'!$1:$1048576,$B692,MATCH("Impact Area",'RAID Log'!$1:$1,0)),"")))</f>
        <v/>
      </c>
      <c r="F692" s="85" t="str">
        <f>IF($B692="","",IF(IFERROR(INDEX('RAID Log'!$1:$1048576,$B692,MATCH("Impact Area",'RAID Log'!$1:$1,0)),"")="","",IFERROR(INDEX('RAID Log'!$1:$1048576,$B692,MATCH("Impact Area",'RAID Log'!$1:$1,0)),"")))</f>
        <v/>
      </c>
      <c r="G692" s="85" t="str">
        <f>IF($B692="","",IF(IFERROR(INDEX('RAID Log'!$1:$1048576,$B692,MATCH("Impact Rating",'RAID Log'!$1:$1,0)),"")="","",IFERROR(INDEX('RAID Log'!$1:$1048576,$B692,MATCH("Impact Rating",'RAID Log'!$1:$1,0)),"")))</f>
        <v/>
      </c>
      <c r="H692" s="85" t="str">
        <f>IF($B692="","",IF(IFERROR(INDEX('RAID Log'!$1:$1048576,$B692,MATCH("Initial Probability",'RAID Log'!$1:$1,0)),"")="","",IFERROR(INDEX('RAID Log'!$1:$1048576,$B692,MATCH("Initial Probability",'RAID Log'!$1:$1,0)),"")))</f>
        <v/>
      </c>
      <c r="I692" s="86" t="str">
        <f t="shared" si="30"/>
        <v/>
      </c>
      <c r="J692" s="85" t="str">
        <f t="shared" si="31"/>
        <v/>
      </c>
      <c r="K692" s="86" t="str">
        <f t="shared" si="32"/>
        <v/>
      </c>
      <c r="L692" s="85" t="str">
        <f>IF($B692="","",IF(IFERROR(INDEX('RAID Log'!$1:$1048576,$B692,MATCH("Status",'RAID Log'!$1:$1,0)),"")="","",IFERROR(INDEX('RAID Log'!$1:$1048576,$B692,MATCH("Status",'RAID Log'!$1:$1,0)),"")))</f>
        <v/>
      </c>
      <c r="M692" s="85" t="str">
        <f>IF($B692="","",IF(IFERROR(INDEX('RAID Log'!$1:$1048576,$B692,MATCH("RAID Owner",'RAID Log'!$1:$1,0)),"")="","",IFERROR(INDEX('RAID Log'!$1:$1048576,$B692,MATCH("RAID Owner",'RAID Log'!$1:$1,0)),"")))</f>
        <v/>
      </c>
      <c r="N692" s="87" t="str">
        <f>IF($B692="","",IF(IFERROR(INDEX('RAID Log'!$1:$1048576,$B692,MATCH("Date Raised",'RAID Log'!$1:$1,0)),"")="","",IFERROR(INDEX('RAID Log'!$1:$1048576,$B692,MATCH("Date Raised",'RAID Log'!$1:$1,0)),"")))</f>
        <v/>
      </c>
      <c r="O692" s="87" t="str">
        <f>IF($B692="","",IF(IFERROR(INDEX('RAID Log'!$1:$1048576,$B692,MATCH("Closed Date",'RAID Log'!$1:$1,0)),"")="","",IFERROR(INDEX('RAID Log'!$1:$1048576,$B692,MATCH("Closed Date",'RAID Log'!$1:$1,0)),"")))</f>
        <v/>
      </c>
      <c r="P692" s="85" t="str">
        <f>IF($B692="","",IF(IFERROR(INDEX('RAID Log'!$1:$1048576,$B692,MATCH("Mitigation Strategy",'RAID Log'!$1:$1,0)),"")="","",IFERROR(INDEX('RAID Log'!$1:$1048576,$B692,MATCH("Mitigation Strategy",'RAID Log'!$1:$1,0)),"")))</f>
        <v/>
      </c>
      <c r="Q692" s="88" t="str">
        <f>IF($B692="","",IF(IFERROR(INDEX('RAID Log'!$1:$1048576,$B692,MATCH("RAID Response/Plan",'RAID Log'!$1:$1,0)),"")="","",IFERROR(INDEX('RAID Log'!$1:$1048576,$B692,MATCH("RAID Response/Plan",'RAID Log'!$1:$1,0)),"")))</f>
        <v/>
      </c>
    </row>
    <row r="693" spans="1:17" ht="14.25" customHeight="1">
      <c r="A693" s="82" t="str">
        <f>IF($B693="","",IF(IFERROR(INDEX('RAID Log'!$1:$1048576,$B693,MATCH("RAID ID",'RAID Log'!$1:$1,0)),"")="","",IFERROR(INDEX('RAID Log'!$1:$1048576,$B693,MATCH("RAID ID",'RAID Log'!$1:$1,0)),"")))</f>
        <v/>
      </c>
      <c r="B693" s="83" t="str">
        <f>IFERROR(MATCH(ROW()-1,'RAID Log'!$S:$S,0),"")</f>
        <v/>
      </c>
      <c r="C693" s="84" t="str">
        <f>IF($B693="","",IF(IFERROR(INDEX('RAID Log'!$1:$1048576,$B693,MATCH("Description",'RAID Log'!$1:$1,0)),"")="","",IFERROR(INDEX('RAID Log'!$1:$1048576,$B693,MATCH("Description",'RAID Log'!$1:$1,0)),"")))</f>
        <v/>
      </c>
      <c r="D693" s="84" t="str">
        <f>IF($B693="","",IF(IFERROR(INDEX('RAID Log'!$1:$1048576,$B693,MATCH("Impact/Effect of the RAID",'RAID Log'!$1:$1,0)),"")="","",IFERROR(INDEX('RAID Log'!$1:$1048576,$B693,MATCH("Impact/Effect of the RAID",'RAID Log'!$1:$1,0)),"")))</f>
        <v/>
      </c>
      <c r="E693" s="85" t="str">
        <f>IF($B693="","",IF(IFERROR(INDEX('RAID Log'!$1:$1048576,$B693,MATCH("Impact Area",'RAID Log'!$1:$1,0)),"")="","",IFERROR(INDEX('RAID Log'!$1:$1048576,$B693,MATCH("Impact Area",'RAID Log'!$1:$1,0)),"")))</f>
        <v/>
      </c>
      <c r="F693" s="85" t="str">
        <f>IF($B693="","",IF(IFERROR(INDEX('RAID Log'!$1:$1048576,$B693,MATCH("Impact Area",'RAID Log'!$1:$1,0)),"")="","",IFERROR(INDEX('RAID Log'!$1:$1048576,$B693,MATCH("Impact Area",'RAID Log'!$1:$1,0)),"")))</f>
        <v/>
      </c>
      <c r="G693" s="85" t="str">
        <f>IF($B693="","",IF(IFERROR(INDEX('RAID Log'!$1:$1048576,$B693,MATCH("Impact Rating",'RAID Log'!$1:$1,0)),"")="","",IFERROR(INDEX('RAID Log'!$1:$1048576,$B693,MATCH("Impact Rating",'RAID Log'!$1:$1,0)),"")))</f>
        <v/>
      </c>
      <c r="H693" s="85" t="str">
        <f>IF($B693="","",IF(IFERROR(INDEX('RAID Log'!$1:$1048576,$B693,MATCH("Initial Probability",'RAID Log'!$1:$1,0)),"")="","",IFERROR(INDEX('RAID Log'!$1:$1048576,$B693,MATCH("Initial Probability",'RAID Log'!$1:$1,0)),"")))</f>
        <v/>
      </c>
      <c r="I693" s="86" t="str">
        <f t="shared" si="30"/>
        <v/>
      </c>
      <c r="J693" s="85" t="str">
        <f t="shared" si="31"/>
        <v/>
      </c>
      <c r="K693" s="86" t="str">
        <f t="shared" si="32"/>
        <v/>
      </c>
      <c r="L693" s="85" t="str">
        <f>IF($B693="","",IF(IFERROR(INDEX('RAID Log'!$1:$1048576,$B693,MATCH("Status",'RAID Log'!$1:$1,0)),"")="","",IFERROR(INDEX('RAID Log'!$1:$1048576,$B693,MATCH("Status",'RAID Log'!$1:$1,0)),"")))</f>
        <v/>
      </c>
      <c r="M693" s="85" t="str">
        <f>IF($B693="","",IF(IFERROR(INDEX('RAID Log'!$1:$1048576,$B693,MATCH("RAID Owner",'RAID Log'!$1:$1,0)),"")="","",IFERROR(INDEX('RAID Log'!$1:$1048576,$B693,MATCH("RAID Owner",'RAID Log'!$1:$1,0)),"")))</f>
        <v/>
      </c>
      <c r="N693" s="87" t="str">
        <f>IF($B693="","",IF(IFERROR(INDEX('RAID Log'!$1:$1048576,$B693,MATCH("Date Raised",'RAID Log'!$1:$1,0)),"")="","",IFERROR(INDEX('RAID Log'!$1:$1048576,$B693,MATCH("Date Raised",'RAID Log'!$1:$1,0)),"")))</f>
        <v/>
      </c>
      <c r="O693" s="87" t="str">
        <f>IF($B693="","",IF(IFERROR(INDEX('RAID Log'!$1:$1048576,$B693,MATCH("Closed Date",'RAID Log'!$1:$1,0)),"")="","",IFERROR(INDEX('RAID Log'!$1:$1048576,$B693,MATCH("Closed Date",'RAID Log'!$1:$1,0)),"")))</f>
        <v/>
      </c>
      <c r="P693" s="85" t="str">
        <f>IF($B693="","",IF(IFERROR(INDEX('RAID Log'!$1:$1048576,$B693,MATCH("Mitigation Strategy",'RAID Log'!$1:$1,0)),"")="","",IFERROR(INDEX('RAID Log'!$1:$1048576,$B693,MATCH("Mitigation Strategy",'RAID Log'!$1:$1,0)),"")))</f>
        <v/>
      </c>
      <c r="Q693" s="88" t="str">
        <f>IF($B693="","",IF(IFERROR(INDEX('RAID Log'!$1:$1048576,$B693,MATCH("RAID Response/Plan",'RAID Log'!$1:$1,0)),"")="","",IFERROR(INDEX('RAID Log'!$1:$1048576,$B693,MATCH("RAID Response/Plan",'RAID Log'!$1:$1,0)),"")))</f>
        <v/>
      </c>
    </row>
    <row r="694" spans="1:17" ht="14.25" customHeight="1">
      <c r="A694" s="82" t="str">
        <f>IF($B694="","",IF(IFERROR(INDEX('RAID Log'!$1:$1048576,$B694,MATCH("RAID ID",'RAID Log'!$1:$1,0)),"")="","",IFERROR(INDEX('RAID Log'!$1:$1048576,$B694,MATCH("RAID ID",'RAID Log'!$1:$1,0)),"")))</f>
        <v/>
      </c>
      <c r="B694" s="83" t="str">
        <f>IFERROR(MATCH(ROW()-1,'RAID Log'!$S:$S,0),"")</f>
        <v/>
      </c>
      <c r="C694" s="84" t="str">
        <f>IF($B694="","",IF(IFERROR(INDEX('RAID Log'!$1:$1048576,$B694,MATCH("Description",'RAID Log'!$1:$1,0)),"")="","",IFERROR(INDEX('RAID Log'!$1:$1048576,$B694,MATCH("Description",'RAID Log'!$1:$1,0)),"")))</f>
        <v/>
      </c>
      <c r="D694" s="84" t="str">
        <f>IF($B694="","",IF(IFERROR(INDEX('RAID Log'!$1:$1048576,$B694,MATCH("Impact/Effect of the RAID",'RAID Log'!$1:$1,0)),"")="","",IFERROR(INDEX('RAID Log'!$1:$1048576,$B694,MATCH("Impact/Effect of the RAID",'RAID Log'!$1:$1,0)),"")))</f>
        <v/>
      </c>
      <c r="E694" s="85" t="str">
        <f>IF($B694="","",IF(IFERROR(INDEX('RAID Log'!$1:$1048576,$B694,MATCH("Impact Area",'RAID Log'!$1:$1,0)),"")="","",IFERROR(INDEX('RAID Log'!$1:$1048576,$B694,MATCH("Impact Area",'RAID Log'!$1:$1,0)),"")))</f>
        <v/>
      </c>
      <c r="F694" s="85" t="str">
        <f>IF($B694="","",IF(IFERROR(INDEX('RAID Log'!$1:$1048576,$B694,MATCH("Impact Area",'RAID Log'!$1:$1,0)),"")="","",IFERROR(INDEX('RAID Log'!$1:$1048576,$B694,MATCH("Impact Area",'RAID Log'!$1:$1,0)),"")))</f>
        <v/>
      </c>
      <c r="G694" s="85" t="str">
        <f>IF($B694="","",IF(IFERROR(INDEX('RAID Log'!$1:$1048576,$B694,MATCH("Impact Rating",'RAID Log'!$1:$1,0)),"")="","",IFERROR(INDEX('RAID Log'!$1:$1048576,$B694,MATCH("Impact Rating",'RAID Log'!$1:$1,0)),"")))</f>
        <v/>
      </c>
      <c r="H694" s="85" t="str">
        <f>IF($B694="","",IF(IFERROR(INDEX('RAID Log'!$1:$1048576,$B694,MATCH("Initial Probability",'RAID Log'!$1:$1,0)),"")="","",IFERROR(INDEX('RAID Log'!$1:$1048576,$B694,MATCH("Initial Probability",'RAID Log'!$1:$1,0)),"")))</f>
        <v/>
      </c>
      <c r="I694" s="86" t="str">
        <f t="shared" si="30"/>
        <v/>
      </c>
      <c r="J694" s="85" t="str">
        <f t="shared" si="31"/>
        <v/>
      </c>
      <c r="K694" s="86" t="str">
        <f t="shared" si="32"/>
        <v/>
      </c>
      <c r="L694" s="85" t="str">
        <f>IF($B694="","",IF(IFERROR(INDEX('RAID Log'!$1:$1048576,$B694,MATCH("Status",'RAID Log'!$1:$1,0)),"")="","",IFERROR(INDEX('RAID Log'!$1:$1048576,$B694,MATCH("Status",'RAID Log'!$1:$1,0)),"")))</f>
        <v/>
      </c>
      <c r="M694" s="85" t="str">
        <f>IF($B694="","",IF(IFERROR(INDEX('RAID Log'!$1:$1048576,$B694,MATCH("RAID Owner",'RAID Log'!$1:$1,0)),"")="","",IFERROR(INDEX('RAID Log'!$1:$1048576,$B694,MATCH("RAID Owner",'RAID Log'!$1:$1,0)),"")))</f>
        <v/>
      </c>
      <c r="N694" s="87" t="str">
        <f>IF($B694="","",IF(IFERROR(INDEX('RAID Log'!$1:$1048576,$B694,MATCH("Date Raised",'RAID Log'!$1:$1,0)),"")="","",IFERROR(INDEX('RAID Log'!$1:$1048576,$B694,MATCH("Date Raised",'RAID Log'!$1:$1,0)),"")))</f>
        <v/>
      </c>
      <c r="O694" s="87" t="str">
        <f>IF($B694="","",IF(IFERROR(INDEX('RAID Log'!$1:$1048576,$B694,MATCH("Closed Date",'RAID Log'!$1:$1,0)),"")="","",IFERROR(INDEX('RAID Log'!$1:$1048576,$B694,MATCH("Closed Date",'RAID Log'!$1:$1,0)),"")))</f>
        <v/>
      </c>
      <c r="P694" s="85" t="str">
        <f>IF($B694="","",IF(IFERROR(INDEX('RAID Log'!$1:$1048576,$B694,MATCH("Mitigation Strategy",'RAID Log'!$1:$1,0)),"")="","",IFERROR(INDEX('RAID Log'!$1:$1048576,$B694,MATCH("Mitigation Strategy",'RAID Log'!$1:$1,0)),"")))</f>
        <v/>
      </c>
      <c r="Q694" s="88" t="str">
        <f>IF($B694="","",IF(IFERROR(INDEX('RAID Log'!$1:$1048576,$B694,MATCH("RAID Response/Plan",'RAID Log'!$1:$1,0)),"")="","",IFERROR(INDEX('RAID Log'!$1:$1048576,$B694,MATCH("RAID Response/Plan",'RAID Log'!$1:$1,0)),"")))</f>
        <v/>
      </c>
    </row>
    <row r="695" spans="1:17" ht="14.25" customHeight="1">
      <c r="A695" s="82" t="str">
        <f>IF($B695="","",IF(IFERROR(INDEX('RAID Log'!$1:$1048576,$B695,MATCH("RAID ID",'RAID Log'!$1:$1,0)),"")="","",IFERROR(INDEX('RAID Log'!$1:$1048576,$B695,MATCH("RAID ID",'RAID Log'!$1:$1,0)),"")))</f>
        <v/>
      </c>
      <c r="B695" s="83" t="str">
        <f>IFERROR(MATCH(ROW()-1,'RAID Log'!$S:$S,0),"")</f>
        <v/>
      </c>
      <c r="C695" s="84" t="str">
        <f>IF($B695="","",IF(IFERROR(INDEX('RAID Log'!$1:$1048576,$B695,MATCH("Description",'RAID Log'!$1:$1,0)),"")="","",IFERROR(INDEX('RAID Log'!$1:$1048576,$B695,MATCH("Description",'RAID Log'!$1:$1,0)),"")))</f>
        <v/>
      </c>
      <c r="D695" s="84" t="str">
        <f>IF($B695="","",IF(IFERROR(INDEX('RAID Log'!$1:$1048576,$B695,MATCH("Impact/Effect of the RAID",'RAID Log'!$1:$1,0)),"")="","",IFERROR(INDEX('RAID Log'!$1:$1048576,$B695,MATCH("Impact/Effect of the RAID",'RAID Log'!$1:$1,0)),"")))</f>
        <v/>
      </c>
      <c r="E695" s="85" t="str">
        <f>IF($B695="","",IF(IFERROR(INDEX('RAID Log'!$1:$1048576,$B695,MATCH("Impact Area",'RAID Log'!$1:$1,0)),"")="","",IFERROR(INDEX('RAID Log'!$1:$1048576,$B695,MATCH("Impact Area",'RAID Log'!$1:$1,0)),"")))</f>
        <v/>
      </c>
      <c r="F695" s="85" t="str">
        <f>IF($B695="","",IF(IFERROR(INDEX('RAID Log'!$1:$1048576,$B695,MATCH("Impact Area",'RAID Log'!$1:$1,0)),"")="","",IFERROR(INDEX('RAID Log'!$1:$1048576,$B695,MATCH("Impact Area",'RAID Log'!$1:$1,0)),"")))</f>
        <v/>
      </c>
      <c r="G695" s="85" t="str">
        <f>IF($B695="","",IF(IFERROR(INDEX('RAID Log'!$1:$1048576,$B695,MATCH("Impact Rating",'RAID Log'!$1:$1,0)),"")="","",IFERROR(INDEX('RAID Log'!$1:$1048576,$B695,MATCH("Impact Rating",'RAID Log'!$1:$1,0)),"")))</f>
        <v/>
      </c>
      <c r="H695" s="85" t="str">
        <f>IF($B695="","",IF(IFERROR(INDEX('RAID Log'!$1:$1048576,$B695,MATCH("Initial Probability",'RAID Log'!$1:$1,0)),"")="","",IFERROR(INDEX('RAID Log'!$1:$1048576,$B695,MATCH("Initial Probability",'RAID Log'!$1:$1,0)),"")))</f>
        <v/>
      </c>
      <c r="I695" s="86" t="str">
        <f t="shared" si="30"/>
        <v/>
      </c>
      <c r="J695" s="85" t="str">
        <f t="shared" si="31"/>
        <v/>
      </c>
      <c r="K695" s="86" t="str">
        <f t="shared" si="32"/>
        <v/>
      </c>
      <c r="L695" s="85" t="str">
        <f>IF($B695="","",IF(IFERROR(INDEX('RAID Log'!$1:$1048576,$B695,MATCH("Status",'RAID Log'!$1:$1,0)),"")="","",IFERROR(INDEX('RAID Log'!$1:$1048576,$B695,MATCH("Status",'RAID Log'!$1:$1,0)),"")))</f>
        <v/>
      </c>
      <c r="M695" s="85" t="str">
        <f>IF($B695="","",IF(IFERROR(INDEX('RAID Log'!$1:$1048576,$B695,MATCH("RAID Owner",'RAID Log'!$1:$1,0)),"")="","",IFERROR(INDEX('RAID Log'!$1:$1048576,$B695,MATCH("RAID Owner",'RAID Log'!$1:$1,0)),"")))</f>
        <v/>
      </c>
      <c r="N695" s="87" t="str">
        <f>IF($B695="","",IF(IFERROR(INDEX('RAID Log'!$1:$1048576,$B695,MATCH("Date Raised",'RAID Log'!$1:$1,0)),"")="","",IFERROR(INDEX('RAID Log'!$1:$1048576,$B695,MATCH("Date Raised",'RAID Log'!$1:$1,0)),"")))</f>
        <v/>
      </c>
      <c r="O695" s="87" t="str">
        <f>IF($B695="","",IF(IFERROR(INDEX('RAID Log'!$1:$1048576,$B695,MATCH("Closed Date",'RAID Log'!$1:$1,0)),"")="","",IFERROR(INDEX('RAID Log'!$1:$1048576,$B695,MATCH("Closed Date",'RAID Log'!$1:$1,0)),"")))</f>
        <v/>
      </c>
      <c r="P695" s="85" t="str">
        <f>IF($B695="","",IF(IFERROR(INDEX('RAID Log'!$1:$1048576,$B695,MATCH("Mitigation Strategy",'RAID Log'!$1:$1,0)),"")="","",IFERROR(INDEX('RAID Log'!$1:$1048576,$B695,MATCH("Mitigation Strategy",'RAID Log'!$1:$1,0)),"")))</f>
        <v/>
      </c>
      <c r="Q695" s="88" t="str">
        <f>IF($B695="","",IF(IFERROR(INDEX('RAID Log'!$1:$1048576,$B695,MATCH("RAID Response/Plan",'RAID Log'!$1:$1,0)),"")="","",IFERROR(INDEX('RAID Log'!$1:$1048576,$B695,MATCH("RAID Response/Plan",'RAID Log'!$1:$1,0)),"")))</f>
        <v/>
      </c>
    </row>
    <row r="696" spans="1:17" ht="14.25" customHeight="1">
      <c r="A696" s="82" t="str">
        <f>IF($B696="","",IF(IFERROR(INDEX('RAID Log'!$1:$1048576,$B696,MATCH("RAID ID",'RAID Log'!$1:$1,0)),"")="","",IFERROR(INDEX('RAID Log'!$1:$1048576,$B696,MATCH("RAID ID",'RAID Log'!$1:$1,0)),"")))</f>
        <v/>
      </c>
      <c r="B696" s="83" t="str">
        <f>IFERROR(MATCH(ROW()-1,'RAID Log'!$S:$S,0),"")</f>
        <v/>
      </c>
      <c r="C696" s="84" t="str">
        <f>IF($B696="","",IF(IFERROR(INDEX('RAID Log'!$1:$1048576,$B696,MATCH("Description",'RAID Log'!$1:$1,0)),"")="","",IFERROR(INDEX('RAID Log'!$1:$1048576,$B696,MATCH("Description",'RAID Log'!$1:$1,0)),"")))</f>
        <v/>
      </c>
      <c r="D696" s="84" t="str">
        <f>IF($B696="","",IF(IFERROR(INDEX('RAID Log'!$1:$1048576,$B696,MATCH("Impact/Effect of the RAID",'RAID Log'!$1:$1,0)),"")="","",IFERROR(INDEX('RAID Log'!$1:$1048576,$B696,MATCH("Impact/Effect of the RAID",'RAID Log'!$1:$1,0)),"")))</f>
        <v/>
      </c>
      <c r="E696" s="85" t="str">
        <f>IF($B696="","",IF(IFERROR(INDEX('RAID Log'!$1:$1048576,$B696,MATCH("Impact Area",'RAID Log'!$1:$1,0)),"")="","",IFERROR(INDEX('RAID Log'!$1:$1048576,$B696,MATCH("Impact Area",'RAID Log'!$1:$1,0)),"")))</f>
        <v/>
      </c>
      <c r="F696" s="85" t="str">
        <f>IF($B696="","",IF(IFERROR(INDEX('RAID Log'!$1:$1048576,$B696,MATCH("Impact Area",'RAID Log'!$1:$1,0)),"")="","",IFERROR(INDEX('RAID Log'!$1:$1048576,$B696,MATCH("Impact Area",'RAID Log'!$1:$1,0)),"")))</f>
        <v/>
      </c>
      <c r="G696" s="85" t="str">
        <f>IF($B696="","",IF(IFERROR(INDEX('RAID Log'!$1:$1048576,$B696,MATCH("Impact Rating",'RAID Log'!$1:$1,0)),"")="","",IFERROR(INDEX('RAID Log'!$1:$1048576,$B696,MATCH("Impact Rating",'RAID Log'!$1:$1,0)),"")))</f>
        <v/>
      </c>
      <c r="H696" s="85" t="str">
        <f>IF($B696="","",IF(IFERROR(INDEX('RAID Log'!$1:$1048576,$B696,MATCH("Initial Probability",'RAID Log'!$1:$1,0)),"")="","",IFERROR(INDEX('RAID Log'!$1:$1048576,$B696,MATCH("Initial Probability",'RAID Log'!$1:$1,0)),"")))</f>
        <v/>
      </c>
      <c r="I696" s="86" t="str">
        <f t="shared" si="30"/>
        <v/>
      </c>
      <c r="J696" s="85" t="str">
        <f t="shared" si="31"/>
        <v/>
      </c>
      <c r="K696" s="86" t="str">
        <f t="shared" si="32"/>
        <v/>
      </c>
      <c r="L696" s="85" t="str">
        <f>IF($B696="","",IF(IFERROR(INDEX('RAID Log'!$1:$1048576,$B696,MATCH("Status",'RAID Log'!$1:$1,0)),"")="","",IFERROR(INDEX('RAID Log'!$1:$1048576,$B696,MATCH("Status",'RAID Log'!$1:$1,0)),"")))</f>
        <v/>
      </c>
      <c r="M696" s="85" t="str">
        <f>IF($B696="","",IF(IFERROR(INDEX('RAID Log'!$1:$1048576,$B696,MATCH("RAID Owner",'RAID Log'!$1:$1,0)),"")="","",IFERROR(INDEX('RAID Log'!$1:$1048576,$B696,MATCH("RAID Owner",'RAID Log'!$1:$1,0)),"")))</f>
        <v/>
      </c>
      <c r="N696" s="87" t="str">
        <f>IF($B696="","",IF(IFERROR(INDEX('RAID Log'!$1:$1048576,$B696,MATCH("Date Raised",'RAID Log'!$1:$1,0)),"")="","",IFERROR(INDEX('RAID Log'!$1:$1048576,$B696,MATCH("Date Raised",'RAID Log'!$1:$1,0)),"")))</f>
        <v/>
      </c>
      <c r="O696" s="87" t="str">
        <f>IF($B696="","",IF(IFERROR(INDEX('RAID Log'!$1:$1048576,$B696,MATCH("Closed Date",'RAID Log'!$1:$1,0)),"")="","",IFERROR(INDEX('RAID Log'!$1:$1048576,$B696,MATCH("Closed Date",'RAID Log'!$1:$1,0)),"")))</f>
        <v/>
      </c>
      <c r="P696" s="85" t="str">
        <f>IF($B696="","",IF(IFERROR(INDEX('RAID Log'!$1:$1048576,$B696,MATCH("Mitigation Strategy",'RAID Log'!$1:$1,0)),"")="","",IFERROR(INDEX('RAID Log'!$1:$1048576,$B696,MATCH("Mitigation Strategy",'RAID Log'!$1:$1,0)),"")))</f>
        <v/>
      </c>
      <c r="Q696" s="88" t="str">
        <f>IF($B696="","",IF(IFERROR(INDEX('RAID Log'!$1:$1048576,$B696,MATCH("RAID Response/Plan",'RAID Log'!$1:$1,0)),"")="","",IFERROR(INDEX('RAID Log'!$1:$1048576,$B696,MATCH("RAID Response/Plan",'RAID Log'!$1:$1,0)),"")))</f>
        <v/>
      </c>
    </row>
    <row r="697" spans="1:17" ht="14.25" customHeight="1">
      <c r="A697" s="82" t="str">
        <f>IF($B697="","",IF(IFERROR(INDEX('RAID Log'!$1:$1048576,$B697,MATCH("RAID ID",'RAID Log'!$1:$1,0)),"")="","",IFERROR(INDEX('RAID Log'!$1:$1048576,$B697,MATCH("RAID ID",'RAID Log'!$1:$1,0)),"")))</f>
        <v/>
      </c>
      <c r="B697" s="83" t="str">
        <f>IFERROR(MATCH(ROW()-1,'RAID Log'!$S:$S,0),"")</f>
        <v/>
      </c>
      <c r="C697" s="84" t="str">
        <f>IF($B697="","",IF(IFERROR(INDEX('RAID Log'!$1:$1048576,$B697,MATCH("Description",'RAID Log'!$1:$1,0)),"")="","",IFERROR(INDEX('RAID Log'!$1:$1048576,$B697,MATCH("Description",'RAID Log'!$1:$1,0)),"")))</f>
        <v/>
      </c>
      <c r="D697" s="84" t="str">
        <f>IF($B697="","",IF(IFERROR(INDEX('RAID Log'!$1:$1048576,$B697,MATCH("Impact/Effect of the RAID",'RAID Log'!$1:$1,0)),"")="","",IFERROR(INDEX('RAID Log'!$1:$1048576,$B697,MATCH("Impact/Effect of the RAID",'RAID Log'!$1:$1,0)),"")))</f>
        <v/>
      </c>
      <c r="E697" s="85" t="str">
        <f>IF($B697="","",IF(IFERROR(INDEX('RAID Log'!$1:$1048576,$B697,MATCH("Impact Area",'RAID Log'!$1:$1,0)),"")="","",IFERROR(INDEX('RAID Log'!$1:$1048576,$B697,MATCH("Impact Area",'RAID Log'!$1:$1,0)),"")))</f>
        <v/>
      </c>
      <c r="F697" s="85" t="str">
        <f>IF($B697="","",IF(IFERROR(INDEX('RAID Log'!$1:$1048576,$B697,MATCH("Impact Area",'RAID Log'!$1:$1,0)),"")="","",IFERROR(INDEX('RAID Log'!$1:$1048576,$B697,MATCH("Impact Area",'RAID Log'!$1:$1,0)),"")))</f>
        <v/>
      </c>
      <c r="G697" s="85" t="str">
        <f>IF($B697="","",IF(IFERROR(INDEX('RAID Log'!$1:$1048576,$B697,MATCH("Impact Rating",'RAID Log'!$1:$1,0)),"")="","",IFERROR(INDEX('RAID Log'!$1:$1048576,$B697,MATCH("Impact Rating",'RAID Log'!$1:$1,0)),"")))</f>
        <v/>
      </c>
      <c r="H697" s="85" t="str">
        <f>IF($B697="","",IF(IFERROR(INDEX('RAID Log'!$1:$1048576,$B697,MATCH("Initial Probability",'RAID Log'!$1:$1,0)),"")="","",IFERROR(INDEX('RAID Log'!$1:$1048576,$B697,MATCH("Initial Probability",'RAID Log'!$1:$1,0)),"")))</f>
        <v/>
      </c>
      <c r="I697" s="86" t="str">
        <f t="shared" si="30"/>
        <v/>
      </c>
      <c r="J697" s="85" t="str">
        <f t="shared" si="31"/>
        <v/>
      </c>
      <c r="K697" s="86" t="str">
        <f t="shared" si="32"/>
        <v/>
      </c>
      <c r="L697" s="85" t="str">
        <f>IF($B697="","",IF(IFERROR(INDEX('RAID Log'!$1:$1048576,$B697,MATCH("Status",'RAID Log'!$1:$1,0)),"")="","",IFERROR(INDEX('RAID Log'!$1:$1048576,$B697,MATCH("Status",'RAID Log'!$1:$1,0)),"")))</f>
        <v/>
      </c>
      <c r="M697" s="85" t="str">
        <f>IF($B697="","",IF(IFERROR(INDEX('RAID Log'!$1:$1048576,$B697,MATCH("RAID Owner",'RAID Log'!$1:$1,0)),"")="","",IFERROR(INDEX('RAID Log'!$1:$1048576,$B697,MATCH("RAID Owner",'RAID Log'!$1:$1,0)),"")))</f>
        <v/>
      </c>
      <c r="N697" s="87" t="str">
        <f>IF($B697="","",IF(IFERROR(INDEX('RAID Log'!$1:$1048576,$B697,MATCH("Date Raised",'RAID Log'!$1:$1,0)),"")="","",IFERROR(INDEX('RAID Log'!$1:$1048576,$B697,MATCH("Date Raised",'RAID Log'!$1:$1,0)),"")))</f>
        <v/>
      </c>
      <c r="O697" s="87" t="str">
        <f>IF($B697="","",IF(IFERROR(INDEX('RAID Log'!$1:$1048576,$B697,MATCH("Closed Date",'RAID Log'!$1:$1,0)),"")="","",IFERROR(INDEX('RAID Log'!$1:$1048576,$B697,MATCH("Closed Date",'RAID Log'!$1:$1,0)),"")))</f>
        <v/>
      </c>
      <c r="P697" s="85" t="str">
        <f>IF($B697="","",IF(IFERROR(INDEX('RAID Log'!$1:$1048576,$B697,MATCH("Mitigation Strategy",'RAID Log'!$1:$1,0)),"")="","",IFERROR(INDEX('RAID Log'!$1:$1048576,$B697,MATCH("Mitigation Strategy",'RAID Log'!$1:$1,0)),"")))</f>
        <v/>
      </c>
      <c r="Q697" s="88" t="str">
        <f>IF($B697="","",IF(IFERROR(INDEX('RAID Log'!$1:$1048576,$B697,MATCH("RAID Response/Plan",'RAID Log'!$1:$1,0)),"")="","",IFERROR(INDEX('RAID Log'!$1:$1048576,$B697,MATCH("RAID Response/Plan",'RAID Log'!$1:$1,0)),"")))</f>
        <v/>
      </c>
    </row>
    <row r="698" spans="1:17" ht="14.25" customHeight="1">
      <c r="A698" s="82" t="str">
        <f>IF($B698="","",IF(IFERROR(INDEX('RAID Log'!$1:$1048576,$B698,MATCH("RAID ID",'RAID Log'!$1:$1,0)),"")="","",IFERROR(INDEX('RAID Log'!$1:$1048576,$B698,MATCH("RAID ID",'RAID Log'!$1:$1,0)),"")))</f>
        <v/>
      </c>
      <c r="B698" s="83" t="str">
        <f>IFERROR(MATCH(ROW()-1,'RAID Log'!$S:$S,0),"")</f>
        <v/>
      </c>
      <c r="C698" s="84" t="str">
        <f>IF($B698="","",IF(IFERROR(INDEX('RAID Log'!$1:$1048576,$B698,MATCH("Description",'RAID Log'!$1:$1,0)),"")="","",IFERROR(INDEX('RAID Log'!$1:$1048576,$B698,MATCH("Description",'RAID Log'!$1:$1,0)),"")))</f>
        <v/>
      </c>
      <c r="D698" s="84" t="str">
        <f>IF($B698="","",IF(IFERROR(INDEX('RAID Log'!$1:$1048576,$B698,MATCH("Impact/Effect of the RAID",'RAID Log'!$1:$1,0)),"")="","",IFERROR(INDEX('RAID Log'!$1:$1048576,$B698,MATCH("Impact/Effect of the RAID",'RAID Log'!$1:$1,0)),"")))</f>
        <v/>
      </c>
      <c r="E698" s="85" t="str">
        <f>IF($B698="","",IF(IFERROR(INDEX('RAID Log'!$1:$1048576,$B698,MATCH("Impact Area",'RAID Log'!$1:$1,0)),"")="","",IFERROR(INDEX('RAID Log'!$1:$1048576,$B698,MATCH("Impact Area",'RAID Log'!$1:$1,0)),"")))</f>
        <v/>
      </c>
      <c r="F698" s="85" t="str">
        <f>IF($B698="","",IF(IFERROR(INDEX('RAID Log'!$1:$1048576,$B698,MATCH("Impact Area",'RAID Log'!$1:$1,0)),"")="","",IFERROR(INDEX('RAID Log'!$1:$1048576,$B698,MATCH("Impact Area",'RAID Log'!$1:$1,0)),"")))</f>
        <v/>
      </c>
      <c r="G698" s="85" t="str">
        <f>IF($B698="","",IF(IFERROR(INDEX('RAID Log'!$1:$1048576,$B698,MATCH("Impact Rating",'RAID Log'!$1:$1,0)),"")="","",IFERROR(INDEX('RAID Log'!$1:$1048576,$B698,MATCH("Impact Rating",'RAID Log'!$1:$1,0)),"")))</f>
        <v/>
      </c>
      <c r="H698" s="85" t="str">
        <f>IF($B698="","",IF(IFERROR(INDEX('RAID Log'!$1:$1048576,$B698,MATCH("Initial Probability",'RAID Log'!$1:$1,0)),"")="","",IFERROR(INDEX('RAID Log'!$1:$1048576,$B698,MATCH("Initial Probability",'RAID Log'!$1:$1,0)),"")))</f>
        <v/>
      </c>
      <c r="I698" s="86" t="str">
        <f t="shared" si="30"/>
        <v/>
      </c>
      <c r="J698" s="85" t="str">
        <f t="shared" si="31"/>
        <v/>
      </c>
      <c r="K698" s="86" t="str">
        <f t="shared" si="32"/>
        <v/>
      </c>
      <c r="L698" s="85" t="str">
        <f>IF($B698="","",IF(IFERROR(INDEX('RAID Log'!$1:$1048576,$B698,MATCH("Status",'RAID Log'!$1:$1,0)),"")="","",IFERROR(INDEX('RAID Log'!$1:$1048576,$B698,MATCH("Status",'RAID Log'!$1:$1,0)),"")))</f>
        <v/>
      </c>
      <c r="M698" s="85" t="str">
        <f>IF($B698="","",IF(IFERROR(INDEX('RAID Log'!$1:$1048576,$B698,MATCH("RAID Owner",'RAID Log'!$1:$1,0)),"")="","",IFERROR(INDEX('RAID Log'!$1:$1048576,$B698,MATCH("RAID Owner",'RAID Log'!$1:$1,0)),"")))</f>
        <v/>
      </c>
      <c r="N698" s="87" t="str">
        <f>IF($B698="","",IF(IFERROR(INDEX('RAID Log'!$1:$1048576,$B698,MATCH("Date Raised",'RAID Log'!$1:$1,0)),"")="","",IFERROR(INDEX('RAID Log'!$1:$1048576,$B698,MATCH("Date Raised",'RAID Log'!$1:$1,0)),"")))</f>
        <v/>
      </c>
      <c r="O698" s="87" t="str">
        <f>IF($B698="","",IF(IFERROR(INDEX('RAID Log'!$1:$1048576,$B698,MATCH("Closed Date",'RAID Log'!$1:$1,0)),"")="","",IFERROR(INDEX('RAID Log'!$1:$1048576,$B698,MATCH("Closed Date",'RAID Log'!$1:$1,0)),"")))</f>
        <v/>
      </c>
      <c r="P698" s="85" t="str">
        <f>IF($B698="","",IF(IFERROR(INDEX('RAID Log'!$1:$1048576,$B698,MATCH("Mitigation Strategy",'RAID Log'!$1:$1,0)),"")="","",IFERROR(INDEX('RAID Log'!$1:$1048576,$B698,MATCH("Mitigation Strategy",'RAID Log'!$1:$1,0)),"")))</f>
        <v/>
      </c>
      <c r="Q698" s="88" t="str">
        <f>IF($B698="","",IF(IFERROR(INDEX('RAID Log'!$1:$1048576,$B698,MATCH("RAID Response/Plan",'RAID Log'!$1:$1,0)),"")="","",IFERROR(INDEX('RAID Log'!$1:$1048576,$B698,MATCH("RAID Response/Plan",'RAID Log'!$1:$1,0)),"")))</f>
        <v/>
      </c>
    </row>
    <row r="699" spans="1:17" ht="14.25" customHeight="1">
      <c r="A699" s="82" t="str">
        <f>IF($B699="","",IF(IFERROR(INDEX('RAID Log'!$1:$1048576,$B699,MATCH("RAID ID",'RAID Log'!$1:$1,0)),"")="","",IFERROR(INDEX('RAID Log'!$1:$1048576,$B699,MATCH("RAID ID",'RAID Log'!$1:$1,0)),"")))</f>
        <v/>
      </c>
      <c r="B699" s="83" t="str">
        <f>IFERROR(MATCH(ROW()-1,'RAID Log'!$S:$S,0),"")</f>
        <v/>
      </c>
      <c r="C699" s="84" t="str">
        <f>IF($B699="","",IF(IFERROR(INDEX('RAID Log'!$1:$1048576,$B699,MATCH("Description",'RAID Log'!$1:$1,0)),"")="","",IFERROR(INDEX('RAID Log'!$1:$1048576,$B699,MATCH("Description",'RAID Log'!$1:$1,0)),"")))</f>
        <v/>
      </c>
      <c r="D699" s="84" t="str">
        <f>IF($B699="","",IF(IFERROR(INDEX('RAID Log'!$1:$1048576,$B699,MATCH("Impact/Effect of the RAID",'RAID Log'!$1:$1,0)),"")="","",IFERROR(INDEX('RAID Log'!$1:$1048576,$B699,MATCH("Impact/Effect of the RAID",'RAID Log'!$1:$1,0)),"")))</f>
        <v/>
      </c>
      <c r="E699" s="85" t="str">
        <f>IF($B699="","",IF(IFERROR(INDEX('RAID Log'!$1:$1048576,$B699,MATCH("Impact Area",'RAID Log'!$1:$1,0)),"")="","",IFERROR(INDEX('RAID Log'!$1:$1048576,$B699,MATCH("Impact Area",'RAID Log'!$1:$1,0)),"")))</f>
        <v/>
      </c>
      <c r="F699" s="85" t="str">
        <f>IF($B699="","",IF(IFERROR(INDEX('RAID Log'!$1:$1048576,$B699,MATCH("Impact Area",'RAID Log'!$1:$1,0)),"")="","",IFERROR(INDEX('RAID Log'!$1:$1048576,$B699,MATCH("Impact Area",'RAID Log'!$1:$1,0)),"")))</f>
        <v/>
      </c>
      <c r="G699" s="85" t="str">
        <f>IF($B699="","",IF(IFERROR(INDEX('RAID Log'!$1:$1048576,$B699,MATCH("Impact Rating",'RAID Log'!$1:$1,0)),"")="","",IFERROR(INDEX('RAID Log'!$1:$1048576,$B699,MATCH("Impact Rating",'RAID Log'!$1:$1,0)),"")))</f>
        <v/>
      </c>
      <c r="H699" s="85" t="str">
        <f>IF($B699="","",IF(IFERROR(INDEX('RAID Log'!$1:$1048576,$B699,MATCH("Initial Probability",'RAID Log'!$1:$1,0)),"")="","",IFERROR(INDEX('RAID Log'!$1:$1048576,$B699,MATCH("Initial Probability",'RAID Log'!$1:$1,0)),"")))</f>
        <v/>
      </c>
      <c r="I699" s="86" t="str">
        <f t="shared" si="30"/>
        <v/>
      </c>
      <c r="J699" s="85" t="str">
        <f t="shared" si="31"/>
        <v/>
      </c>
      <c r="K699" s="86" t="str">
        <f t="shared" si="32"/>
        <v/>
      </c>
      <c r="L699" s="85" t="str">
        <f>IF($B699="","",IF(IFERROR(INDEX('RAID Log'!$1:$1048576,$B699,MATCH("Status",'RAID Log'!$1:$1,0)),"")="","",IFERROR(INDEX('RAID Log'!$1:$1048576,$B699,MATCH("Status",'RAID Log'!$1:$1,0)),"")))</f>
        <v/>
      </c>
      <c r="M699" s="85" t="str">
        <f>IF($B699="","",IF(IFERROR(INDEX('RAID Log'!$1:$1048576,$B699,MATCH("RAID Owner",'RAID Log'!$1:$1,0)),"")="","",IFERROR(INDEX('RAID Log'!$1:$1048576,$B699,MATCH("RAID Owner",'RAID Log'!$1:$1,0)),"")))</f>
        <v/>
      </c>
      <c r="N699" s="87" t="str">
        <f>IF($B699="","",IF(IFERROR(INDEX('RAID Log'!$1:$1048576,$B699,MATCH("Date Raised",'RAID Log'!$1:$1,0)),"")="","",IFERROR(INDEX('RAID Log'!$1:$1048576,$B699,MATCH("Date Raised",'RAID Log'!$1:$1,0)),"")))</f>
        <v/>
      </c>
      <c r="O699" s="87" t="str">
        <f>IF($B699="","",IF(IFERROR(INDEX('RAID Log'!$1:$1048576,$B699,MATCH("Closed Date",'RAID Log'!$1:$1,0)),"")="","",IFERROR(INDEX('RAID Log'!$1:$1048576,$B699,MATCH("Closed Date",'RAID Log'!$1:$1,0)),"")))</f>
        <v/>
      </c>
      <c r="P699" s="85" t="str">
        <f>IF($B699="","",IF(IFERROR(INDEX('RAID Log'!$1:$1048576,$B699,MATCH("Mitigation Strategy",'RAID Log'!$1:$1,0)),"")="","",IFERROR(INDEX('RAID Log'!$1:$1048576,$B699,MATCH("Mitigation Strategy",'RAID Log'!$1:$1,0)),"")))</f>
        <v/>
      </c>
      <c r="Q699" s="88" t="str">
        <f>IF($B699="","",IF(IFERROR(INDEX('RAID Log'!$1:$1048576,$B699,MATCH("RAID Response/Plan",'RAID Log'!$1:$1,0)),"")="","",IFERROR(INDEX('RAID Log'!$1:$1048576,$B699,MATCH("RAID Response/Plan",'RAID Log'!$1:$1,0)),"")))</f>
        <v/>
      </c>
    </row>
    <row r="700" spans="1:17" ht="14.25" customHeight="1">
      <c r="A700" s="82" t="str">
        <f>IF($B700="","",IF(IFERROR(INDEX('RAID Log'!$1:$1048576,$B700,MATCH("RAID ID",'RAID Log'!$1:$1,0)),"")="","",IFERROR(INDEX('RAID Log'!$1:$1048576,$B700,MATCH("RAID ID",'RAID Log'!$1:$1,0)),"")))</f>
        <v/>
      </c>
      <c r="B700" s="83" t="str">
        <f>IFERROR(MATCH(ROW()-1,'RAID Log'!$S:$S,0),"")</f>
        <v/>
      </c>
      <c r="C700" s="84" t="str">
        <f>IF($B700="","",IF(IFERROR(INDEX('RAID Log'!$1:$1048576,$B700,MATCH("Description",'RAID Log'!$1:$1,0)),"")="","",IFERROR(INDEX('RAID Log'!$1:$1048576,$B700,MATCH("Description",'RAID Log'!$1:$1,0)),"")))</f>
        <v/>
      </c>
      <c r="D700" s="84" t="str">
        <f>IF($B700="","",IF(IFERROR(INDEX('RAID Log'!$1:$1048576,$B700,MATCH("Impact/Effect of the RAID",'RAID Log'!$1:$1,0)),"")="","",IFERROR(INDEX('RAID Log'!$1:$1048576,$B700,MATCH("Impact/Effect of the RAID",'RAID Log'!$1:$1,0)),"")))</f>
        <v/>
      </c>
      <c r="E700" s="85" t="str">
        <f>IF($B700="","",IF(IFERROR(INDEX('RAID Log'!$1:$1048576,$B700,MATCH("Impact Area",'RAID Log'!$1:$1,0)),"")="","",IFERROR(INDEX('RAID Log'!$1:$1048576,$B700,MATCH("Impact Area",'RAID Log'!$1:$1,0)),"")))</f>
        <v/>
      </c>
      <c r="F700" s="85" t="str">
        <f>IF($B700="","",IF(IFERROR(INDEX('RAID Log'!$1:$1048576,$B700,MATCH("Impact Area",'RAID Log'!$1:$1,0)),"")="","",IFERROR(INDEX('RAID Log'!$1:$1048576,$B700,MATCH("Impact Area",'RAID Log'!$1:$1,0)),"")))</f>
        <v/>
      </c>
      <c r="G700" s="85" t="str">
        <f>IF($B700="","",IF(IFERROR(INDEX('RAID Log'!$1:$1048576,$B700,MATCH("Impact Rating",'RAID Log'!$1:$1,0)),"")="","",IFERROR(INDEX('RAID Log'!$1:$1048576,$B700,MATCH("Impact Rating",'RAID Log'!$1:$1,0)),"")))</f>
        <v/>
      </c>
      <c r="H700" s="85" t="str">
        <f>IF($B700="","",IF(IFERROR(INDEX('RAID Log'!$1:$1048576,$B700,MATCH("Initial Probability",'RAID Log'!$1:$1,0)),"")="","",IFERROR(INDEX('RAID Log'!$1:$1048576,$B700,MATCH("Initial Probability",'RAID Log'!$1:$1,0)),"")))</f>
        <v/>
      </c>
      <c r="I700" s="86" t="str">
        <f t="shared" si="30"/>
        <v/>
      </c>
      <c r="J700" s="85" t="str">
        <f t="shared" si="31"/>
        <v/>
      </c>
      <c r="K700" s="86" t="str">
        <f t="shared" si="32"/>
        <v/>
      </c>
      <c r="L700" s="85" t="str">
        <f>IF($B700="","",IF(IFERROR(INDEX('RAID Log'!$1:$1048576,$B700,MATCH("Status",'RAID Log'!$1:$1,0)),"")="","",IFERROR(INDEX('RAID Log'!$1:$1048576,$B700,MATCH("Status",'RAID Log'!$1:$1,0)),"")))</f>
        <v/>
      </c>
      <c r="M700" s="85" t="str">
        <f>IF($B700="","",IF(IFERROR(INDEX('RAID Log'!$1:$1048576,$B700,MATCH("RAID Owner",'RAID Log'!$1:$1,0)),"")="","",IFERROR(INDEX('RAID Log'!$1:$1048576,$B700,MATCH("RAID Owner",'RAID Log'!$1:$1,0)),"")))</f>
        <v/>
      </c>
      <c r="N700" s="87" t="str">
        <f>IF($B700="","",IF(IFERROR(INDEX('RAID Log'!$1:$1048576,$B700,MATCH("Date Raised",'RAID Log'!$1:$1,0)),"")="","",IFERROR(INDEX('RAID Log'!$1:$1048576,$B700,MATCH("Date Raised",'RAID Log'!$1:$1,0)),"")))</f>
        <v/>
      </c>
      <c r="O700" s="87" t="str">
        <f>IF($B700="","",IF(IFERROR(INDEX('RAID Log'!$1:$1048576,$B700,MATCH("Closed Date",'RAID Log'!$1:$1,0)),"")="","",IFERROR(INDEX('RAID Log'!$1:$1048576,$B700,MATCH("Closed Date",'RAID Log'!$1:$1,0)),"")))</f>
        <v/>
      </c>
      <c r="P700" s="85" t="str">
        <f>IF($B700="","",IF(IFERROR(INDEX('RAID Log'!$1:$1048576,$B700,MATCH("Mitigation Strategy",'RAID Log'!$1:$1,0)),"")="","",IFERROR(INDEX('RAID Log'!$1:$1048576,$B700,MATCH("Mitigation Strategy",'RAID Log'!$1:$1,0)),"")))</f>
        <v/>
      </c>
      <c r="Q700" s="88" t="str">
        <f>IF($B700="","",IF(IFERROR(INDEX('RAID Log'!$1:$1048576,$B700,MATCH("RAID Response/Plan",'RAID Log'!$1:$1,0)),"")="","",IFERROR(INDEX('RAID Log'!$1:$1048576,$B700,MATCH("RAID Response/Plan",'RAID Log'!$1:$1,0)),"")))</f>
        <v/>
      </c>
    </row>
    <row r="701" spans="1:17" ht="14.25" customHeight="1">
      <c r="A701" s="82" t="str">
        <f>IF($B701="","",IF(IFERROR(INDEX('RAID Log'!$1:$1048576,$B701,MATCH("RAID ID",'RAID Log'!$1:$1,0)),"")="","",IFERROR(INDEX('RAID Log'!$1:$1048576,$B701,MATCH("RAID ID",'RAID Log'!$1:$1,0)),"")))</f>
        <v/>
      </c>
      <c r="B701" s="83" t="str">
        <f>IFERROR(MATCH(ROW()-1,'RAID Log'!$S:$S,0),"")</f>
        <v/>
      </c>
      <c r="C701" s="84" t="str">
        <f>IF($B701="","",IF(IFERROR(INDEX('RAID Log'!$1:$1048576,$B701,MATCH("Description",'RAID Log'!$1:$1,0)),"")="","",IFERROR(INDEX('RAID Log'!$1:$1048576,$B701,MATCH("Description",'RAID Log'!$1:$1,0)),"")))</f>
        <v/>
      </c>
      <c r="D701" s="84" t="str">
        <f>IF($B701="","",IF(IFERROR(INDEX('RAID Log'!$1:$1048576,$B701,MATCH("Impact/Effect of the RAID",'RAID Log'!$1:$1,0)),"")="","",IFERROR(INDEX('RAID Log'!$1:$1048576,$B701,MATCH("Impact/Effect of the RAID",'RAID Log'!$1:$1,0)),"")))</f>
        <v/>
      </c>
      <c r="E701" s="85" t="str">
        <f>IF($B701="","",IF(IFERROR(INDEX('RAID Log'!$1:$1048576,$B701,MATCH("Impact Area",'RAID Log'!$1:$1,0)),"")="","",IFERROR(INDEX('RAID Log'!$1:$1048576,$B701,MATCH("Impact Area",'RAID Log'!$1:$1,0)),"")))</f>
        <v/>
      </c>
      <c r="F701" s="85" t="str">
        <f>IF($B701="","",IF(IFERROR(INDEX('RAID Log'!$1:$1048576,$B701,MATCH("Impact Area",'RAID Log'!$1:$1,0)),"")="","",IFERROR(INDEX('RAID Log'!$1:$1048576,$B701,MATCH("Impact Area",'RAID Log'!$1:$1,0)),"")))</f>
        <v/>
      </c>
      <c r="G701" s="85" t="str">
        <f>IF($B701="","",IF(IFERROR(INDEX('RAID Log'!$1:$1048576,$B701,MATCH("Impact Rating",'RAID Log'!$1:$1,0)),"")="","",IFERROR(INDEX('RAID Log'!$1:$1048576,$B701,MATCH("Impact Rating",'RAID Log'!$1:$1,0)),"")))</f>
        <v/>
      </c>
      <c r="H701" s="85" t="str">
        <f>IF($B701="","",IF(IFERROR(INDEX('RAID Log'!$1:$1048576,$B701,MATCH("Initial Probability",'RAID Log'!$1:$1,0)),"")="","",IFERROR(INDEX('RAID Log'!$1:$1048576,$B701,MATCH("Initial Probability",'RAID Log'!$1:$1,0)),"")))</f>
        <v/>
      </c>
      <c r="I701" s="86" t="str">
        <f t="shared" si="30"/>
        <v/>
      </c>
      <c r="J701" s="85" t="str">
        <f t="shared" si="31"/>
        <v/>
      </c>
      <c r="K701" s="86" t="str">
        <f t="shared" si="32"/>
        <v/>
      </c>
      <c r="L701" s="85" t="str">
        <f>IF($B701="","",IF(IFERROR(INDEX('RAID Log'!$1:$1048576,$B701,MATCH("Status",'RAID Log'!$1:$1,0)),"")="","",IFERROR(INDEX('RAID Log'!$1:$1048576,$B701,MATCH("Status",'RAID Log'!$1:$1,0)),"")))</f>
        <v/>
      </c>
      <c r="M701" s="85" t="str">
        <f>IF($B701="","",IF(IFERROR(INDEX('RAID Log'!$1:$1048576,$B701,MATCH("RAID Owner",'RAID Log'!$1:$1,0)),"")="","",IFERROR(INDEX('RAID Log'!$1:$1048576,$B701,MATCH("RAID Owner",'RAID Log'!$1:$1,0)),"")))</f>
        <v/>
      </c>
      <c r="N701" s="87" t="str">
        <f>IF($B701="","",IF(IFERROR(INDEX('RAID Log'!$1:$1048576,$B701,MATCH("Date Raised",'RAID Log'!$1:$1,0)),"")="","",IFERROR(INDEX('RAID Log'!$1:$1048576,$B701,MATCH("Date Raised",'RAID Log'!$1:$1,0)),"")))</f>
        <v/>
      </c>
      <c r="O701" s="87" t="str">
        <f>IF($B701="","",IF(IFERROR(INDEX('RAID Log'!$1:$1048576,$B701,MATCH("Closed Date",'RAID Log'!$1:$1,0)),"")="","",IFERROR(INDEX('RAID Log'!$1:$1048576,$B701,MATCH("Closed Date",'RAID Log'!$1:$1,0)),"")))</f>
        <v/>
      </c>
      <c r="P701" s="85" t="str">
        <f>IF($B701="","",IF(IFERROR(INDEX('RAID Log'!$1:$1048576,$B701,MATCH("Mitigation Strategy",'RAID Log'!$1:$1,0)),"")="","",IFERROR(INDEX('RAID Log'!$1:$1048576,$B701,MATCH("Mitigation Strategy",'RAID Log'!$1:$1,0)),"")))</f>
        <v/>
      </c>
      <c r="Q701" s="88" t="str">
        <f>IF($B701="","",IF(IFERROR(INDEX('RAID Log'!$1:$1048576,$B701,MATCH("RAID Response/Plan",'RAID Log'!$1:$1,0)),"")="","",IFERROR(INDEX('RAID Log'!$1:$1048576,$B701,MATCH("RAID Response/Plan",'RAID Log'!$1:$1,0)),"")))</f>
        <v/>
      </c>
    </row>
    <row r="702" spans="1:17" ht="14.25" customHeight="1">
      <c r="A702" s="82" t="str">
        <f>IF($B702="","",IF(IFERROR(INDEX('RAID Log'!$1:$1048576,$B702,MATCH("RAID ID",'RAID Log'!$1:$1,0)),"")="","",IFERROR(INDEX('RAID Log'!$1:$1048576,$B702,MATCH("RAID ID",'RAID Log'!$1:$1,0)),"")))</f>
        <v/>
      </c>
      <c r="B702" s="83" t="str">
        <f>IFERROR(MATCH(ROW()-1,'RAID Log'!$S:$S,0),"")</f>
        <v/>
      </c>
      <c r="C702" s="84" t="str">
        <f>IF($B702="","",IF(IFERROR(INDEX('RAID Log'!$1:$1048576,$B702,MATCH("Description",'RAID Log'!$1:$1,0)),"")="","",IFERROR(INDEX('RAID Log'!$1:$1048576,$B702,MATCH("Description",'RAID Log'!$1:$1,0)),"")))</f>
        <v/>
      </c>
      <c r="D702" s="84" t="str">
        <f>IF($B702="","",IF(IFERROR(INDEX('RAID Log'!$1:$1048576,$B702,MATCH("Impact/Effect of the RAID",'RAID Log'!$1:$1,0)),"")="","",IFERROR(INDEX('RAID Log'!$1:$1048576,$B702,MATCH("Impact/Effect of the RAID",'RAID Log'!$1:$1,0)),"")))</f>
        <v/>
      </c>
      <c r="E702" s="85" t="str">
        <f>IF($B702="","",IF(IFERROR(INDEX('RAID Log'!$1:$1048576,$B702,MATCH("Impact Area",'RAID Log'!$1:$1,0)),"")="","",IFERROR(INDEX('RAID Log'!$1:$1048576,$B702,MATCH("Impact Area",'RAID Log'!$1:$1,0)),"")))</f>
        <v/>
      </c>
      <c r="F702" s="85" t="str">
        <f>IF($B702="","",IF(IFERROR(INDEX('RAID Log'!$1:$1048576,$B702,MATCH("Impact Area",'RAID Log'!$1:$1,0)),"")="","",IFERROR(INDEX('RAID Log'!$1:$1048576,$B702,MATCH("Impact Area",'RAID Log'!$1:$1,0)),"")))</f>
        <v/>
      </c>
      <c r="G702" s="85" t="str">
        <f>IF($B702="","",IF(IFERROR(INDEX('RAID Log'!$1:$1048576,$B702,MATCH("Impact Rating",'RAID Log'!$1:$1,0)),"")="","",IFERROR(INDEX('RAID Log'!$1:$1048576,$B702,MATCH("Impact Rating",'RAID Log'!$1:$1,0)),"")))</f>
        <v/>
      </c>
      <c r="H702" s="85" t="str">
        <f>IF($B702="","",IF(IFERROR(INDEX('RAID Log'!$1:$1048576,$B702,MATCH("Initial Probability",'RAID Log'!$1:$1,0)),"")="","",IFERROR(INDEX('RAID Log'!$1:$1048576,$B702,MATCH("Initial Probability",'RAID Log'!$1:$1,0)),"")))</f>
        <v/>
      </c>
      <c r="I702" s="86" t="str">
        <f t="shared" si="30"/>
        <v/>
      </c>
      <c r="J702" s="85" t="str">
        <f t="shared" si="31"/>
        <v/>
      </c>
      <c r="K702" s="86" t="str">
        <f t="shared" si="32"/>
        <v/>
      </c>
      <c r="L702" s="85" t="str">
        <f>IF($B702="","",IF(IFERROR(INDEX('RAID Log'!$1:$1048576,$B702,MATCH("Status",'RAID Log'!$1:$1,0)),"")="","",IFERROR(INDEX('RAID Log'!$1:$1048576,$B702,MATCH("Status",'RAID Log'!$1:$1,0)),"")))</f>
        <v/>
      </c>
      <c r="M702" s="85" t="str">
        <f>IF($B702="","",IF(IFERROR(INDEX('RAID Log'!$1:$1048576,$B702,MATCH("RAID Owner",'RAID Log'!$1:$1,0)),"")="","",IFERROR(INDEX('RAID Log'!$1:$1048576,$B702,MATCH("RAID Owner",'RAID Log'!$1:$1,0)),"")))</f>
        <v/>
      </c>
      <c r="N702" s="87" t="str">
        <f>IF($B702="","",IF(IFERROR(INDEX('RAID Log'!$1:$1048576,$B702,MATCH("Date Raised",'RAID Log'!$1:$1,0)),"")="","",IFERROR(INDEX('RAID Log'!$1:$1048576,$B702,MATCH("Date Raised",'RAID Log'!$1:$1,0)),"")))</f>
        <v/>
      </c>
      <c r="O702" s="87" t="str">
        <f>IF($B702="","",IF(IFERROR(INDEX('RAID Log'!$1:$1048576,$B702,MATCH("Closed Date",'RAID Log'!$1:$1,0)),"")="","",IFERROR(INDEX('RAID Log'!$1:$1048576,$B702,MATCH("Closed Date",'RAID Log'!$1:$1,0)),"")))</f>
        <v/>
      </c>
      <c r="P702" s="85" t="str">
        <f>IF($B702="","",IF(IFERROR(INDEX('RAID Log'!$1:$1048576,$B702,MATCH("Mitigation Strategy",'RAID Log'!$1:$1,0)),"")="","",IFERROR(INDEX('RAID Log'!$1:$1048576,$B702,MATCH("Mitigation Strategy",'RAID Log'!$1:$1,0)),"")))</f>
        <v/>
      </c>
      <c r="Q702" s="88" t="str">
        <f>IF($B702="","",IF(IFERROR(INDEX('RAID Log'!$1:$1048576,$B702,MATCH("RAID Response/Plan",'RAID Log'!$1:$1,0)),"")="","",IFERROR(INDEX('RAID Log'!$1:$1048576,$B702,MATCH("RAID Response/Plan",'RAID Log'!$1:$1,0)),"")))</f>
        <v/>
      </c>
    </row>
    <row r="703" spans="1:17" ht="14.25" customHeight="1">
      <c r="A703" s="82" t="str">
        <f>IF($B703="","",IF(IFERROR(INDEX('RAID Log'!$1:$1048576,$B703,MATCH("RAID ID",'RAID Log'!$1:$1,0)),"")="","",IFERROR(INDEX('RAID Log'!$1:$1048576,$B703,MATCH("RAID ID",'RAID Log'!$1:$1,0)),"")))</f>
        <v/>
      </c>
      <c r="B703" s="83" t="str">
        <f>IFERROR(MATCH(ROW()-1,'RAID Log'!$S:$S,0),"")</f>
        <v/>
      </c>
      <c r="C703" s="84" t="str">
        <f>IF($B703="","",IF(IFERROR(INDEX('RAID Log'!$1:$1048576,$B703,MATCH("Description",'RAID Log'!$1:$1,0)),"")="","",IFERROR(INDEX('RAID Log'!$1:$1048576,$B703,MATCH("Description",'RAID Log'!$1:$1,0)),"")))</f>
        <v/>
      </c>
      <c r="D703" s="84" t="str">
        <f>IF($B703="","",IF(IFERROR(INDEX('RAID Log'!$1:$1048576,$B703,MATCH("Impact/Effect of the RAID",'RAID Log'!$1:$1,0)),"")="","",IFERROR(INDEX('RAID Log'!$1:$1048576,$B703,MATCH("Impact/Effect of the RAID",'RAID Log'!$1:$1,0)),"")))</f>
        <v/>
      </c>
      <c r="E703" s="85" t="str">
        <f>IF($B703="","",IF(IFERROR(INDEX('RAID Log'!$1:$1048576,$B703,MATCH("Impact Area",'RAID Log'!$1:$1,0)),"")="","",IFERROR(INDEX('RAID Log'!$1:$1048576,$B703,MATCH("Impact Area",'RAID Log'!$1:$1,0)),"")))</f>
        <v/>
      </c>
      <c r="F703" s="85" t="str">
        <f>IF($B703="","",IF(IFERROR(INDEX('RAID Log'!$1:$1048576,$B703,MATCH("Impact Area",'RAID Log'!$1:$1,0)),"")="","",IFERROR(INDEX('RAID Log'!$1:$1048576,$B703,MATCH("Impact Area",'RAID Log'!$1:$1,0)),"")))</f>
        <v/>
      </c>
      <c r="G703" s="85" t="str">
        <f>IF($B703="","",IF(IFERROR(INDEX('RAID Log'!$1:$1048576,$B703,MATCH("Impact Rating",'RAID Log'!$1:$1,0)),"")="","",IFERROR(INDEX('RAID Log'!$1:$1048576,$B703,MATCH("Impact Rating",'RAID Log'!$1:$1,0)),"")))</f>
        <v/>
      </c>
      <c r="H703" s="85" t="str">
        <f>IF($B703="","",IF(IFERROR(INDEX('RAID Log'!$1:$1048576,$B703,MATCH("Initial Probability",'RAID Log'!$1:$1,0)),"")="","",IFERROR(INDEX('RAID Log'!$1:$1048576,$B703,MATCH("Initial Probability",'RAID Log'!$1:$1,0)),"")))</f>
        <v/>
      </c>
      <c r="I703" s="86" t="str">
        <f t="shared" si="30"/>
        <v/>
      </c>
      <c r="J703" s="85" t="str">
        <f t="shared" si="31"/>
        <v/>
      </c>
      <c r="K703" s="86" t="str">
        <f t="shared" si="32"/>
        <v/>
      </c>
      <c r="L703" s="85" t="str">
        <f>IF($B703="","",IF(IFERROR(INDEX('RAID Log'!$1:$1048576,$B703,MATCH("Status",'RAID Log'!$1:$1,0)),"")="","",IFERROR(INDEX('RAID Log'!$1:$1048576,$B703,MATCH("Status",'RAID Log'!$1:$1,0)),"")))</f>
        <v/>
      </c>
      <c r="M703" s="85" t="str">
        <f>IF($B703="","",IF(IFERROR(INDEX('RAID Log'!$1:$1048576,$B703,MATCH("RAID Owner",'RAID Log'!$1:$1,0)),"")="","",IFERROR(INDEX('RAID Log'!$1:$1048576,$B703,MATCH("RAID Owner",'RAID Log'!$1:$1,0)),"")))</f>
        <v/>
      </c>
      <c r="N703" s="87" t="str">
        <f>IF($B703="","",IF(IFERROR(INDEX('RAID Log'!$1:$1048576,$B703,MATCH("Date Raised",'RAID Log'!$1:$1,0)),"")="","",IFERROR(INDEX('RAID Log'!$1:$1048576,$B703,MATCH("Date Raised",'RAID Log'!$1:$1,0)),"")))</f>
        <v/>
      </c>
      <c r="O703" s="87" t="str">
        <f>IF($B703="","",IF(IFERROR(INDEX('RAID Log'!$1:$1048576,$B703,MATCH("Closed Date",'RAID Log'!$1:$1,0)),"")="","",IFERROR(INDEX('RAID Log'!$1:$1048576,$B703,MATCH("Closed Date",'RAID Log'!$1:$1,0)),"")))</f>
        <v/>
      </c>
      <c r="P703" s="85" t="str">
        <f>IF($B703="","",IF(IFERROR(INDEX('RAID Log'!$1:$1048576,$B703,MATCH("Mitigation Strategy",'RAID Log'!$1:$1,0)),"")="","",IFERROR(INDEX('RAID Log'!$1:$1048576,$B703,MATCH("Mitigation Strategy",'RAID Log'!$1:$1,0)),"")))</f>
        <v/>
      </c>
      <c r="Q703" s="88" t="str">
        <f>IF($B703="","",IF(IFERROR(INDEX('RAID Log'!$1:$1048576,$B703,MATCH("RAID Response/Plan",'RAID Log'!$1:$1,0)),"")="","",IFERROR(INDEX('RAID Log'!$1:$1048576,$B703,MATCH("RAID Response/Plan",'RAID Log'!$1:$1,0)),"")))</f>
        <v/>
      </c>
    </row>
    <row r="704" spans="1:17" ht="14.25" customHeight="1">
      <c r="A704" s="82" t="str">
        <f>IF($B704="","",IF(IFERROR(INDEX('RAID Log'!$1:$1048576,$B704,MATCH("RAID ID",'RAID Log'!$1:$1,0)),"")="","",IFERROR(INDEX('RAID Log'!$1:$1048576,$B704,MATCH("RAID ID",'RAID Log'!$1:$1,0)),"")))</f>
        <v/>
      </c>
      <c r="B704" s="83" t="str">
        <f>IFERROR(MATCH(ROW()-1,'RAID Log'!$S:$S,0),"")</f>
        <v/>
      </c>
      <c r="C704" s="84" t="str">
        <f>IF($B704="","",IF(IFERROR(INDEX('RAID Log'!$1:$1048576,$B704,MATCH("Description",'RAID Log'!$1:$1,0)),"")="","",IFERROR(INDEX('RAID Log'!$1:$1048576,$B704,MATCH("Description",'RAID Log'!$1:$1,0)),"")))</f>
        <v/>
      </c>
      <c r="D704" s="84" t="str">
        <f>IF($B704="","",IF(IFERROR(INDEX('RAID Log'!$1:$1048576,$B704,MATCH("Impact/Effect of the RAID",'RAID Log'!$1:$1,0)),"")="","",IFERROR(INDEX('RAID Log'!$1:$1048576,$B704,MATCH("Impact/Effect of the RAID",'RAID Log'!$1:$1,0)),"")))</f>
        <v/>
      </c>
      <c r="E704" s="85" t="str">
        <f>IF($B704="","",IF(IFERROR(INDEX('RAID Log'!$1:$1048576,$B704,MATCH("Impact Area",'RAID Log'!$1:$1,0)),"")="","",IFERROR(INDEX('RAID Log'!$1:$1048576,$B704,MATCH("Impact Area",'RAID Log'!$1:$1,0)),"")))</f>
        <v/>
      </c>
      <c r="F704" s="85" t="str">
        <f>IF($B704="","",IF(IFERROR(INDEX('RAID Log'!$1:$1048576,$B704,MATCH("Impact Area",'RAID Log'!$1:$1,0)),"")="","",IFERROR(INDEX('RAID Log'!$1:$1048576,$B704,MATCH("Impact Area",'RAID Log'!$1:$1,0)),"")))</f>
        <v/>
      </c>
      <c r="G704" s="85" t="str">
        <f>IF($B704="","",IF(IFERROR(INDEX('RAID Log'!$1:$1048576,$B704,MATCH("Impact Rating",'RAID Log'!$1:$1,0)),"")="","",IFERROR(INDEX('RAID Log'!$1:$1048576,$B704,MATCH("Impact Rating",'RAID Log'!$1:$1,0)),"")))</f>
        <v/>
      </c>
      <c r="H704" s="85" t="str">
        <f>IF($B704="","",IF(IFERROR(INDEX('RAID Log'!$1:$1048576,$B704,MATCH("Initial Probability",'RAID Log'!$1:$1,0)),"")="","",IFERROR(INDEX('RAID Log'!$1:$1048576,$B704,MATCH("Initial Probability",'RAID Log'!$1:$1,0)),"")))</f>
        <v/>
      </c>
      <c r="I704" s="86" t="str">
        <f t="shared" si="30"/>
        <v/>
      </c>
      <c r="J704" s="85" t="str">
        <f t="shared" si="31"/>
        <v/>
      </c>
      <c r="K704" s="86" t="str">
        <f t="shared" si="32"/>
        <v/>
      </c>
      <c r="L704" s="85" t="str">
        <f>IF($B704="","",IF(IFERROR(INDEX('RAID Log'!$1:$1048576,$B704,MATCH("Status",'RAID Log'!$1:$1,0)),"")="","",IFERROR(INDEX('RAID Log'!$1:$1048576,$B704,MATCH("Status",'RAID Log'!$1:$1,0)),"")))</f>
        <v/>
      </c>
      <c r="M704" s="85" t="str">
        <f>IF($B704="","",IF(IFERROR(INDEX('RAID Log'!$1:$1048576,$B704,MATCH("RAID Owner",'RAID Log'!$1:$1,0)),"")="","",IFERROR(INDEX('RAID Log'!$1:$1048576,$B704,MATCH("RAID Owner",'RAID Log'!$1:$1,0)),"")))</f>
        <v/>
      </c>
      <c r="N704" s="87" t="str">
        <f>IF($B704="","",IF(IFERROR(INDEX('RAID Log'!$1:$1048576,$B704,MATCH("Date Raised",'RAID Log'!$1:$1,0)),"")="","",IFERROR(INDEX('RAID Log'!$1:$1048576,$B704,MATCH("Date Raised",'RAID Log'!$1:$1,0)),"")))</f>
        <v/>
      </c>
      <c r="O704" s="87" t="str">
        <f>IF($B704="","",IF(IFERROR(INDEX('RAID Log'!$1:$1048576,$B704,MATCH("Closed Date",'RAID Log'!$1:$1,0)),"")="","",IFERROR(INDEX('RAID Log'!$1:$1048576,$B704,MATCH("Closed Date",'RAID Log'!$1:$1,0)),"")))</f>
        <v/>
      </c>
      <c r="P704" s="85" t="str">
        <f>IF($B704="","",IF(IFERROR(INDEX('RAID Log'!$1:$1048576,$B704,MATCH("Mitigation Strategy",'RAID Log'!$1:$1,0)),"")="","",IFERROR(INDEX('RAID Log'!$1:$1048576,$B704,MATCH("Mitigation Strategy",'RAID Log'!$1:$1,0)),"")))</f>
        <v/>
      </c>
      <c r="Q704" s="88" t="str">
        <f>IF($B704="","",IF(IFERROR(INDEX('RAID Log'!$1:$1048576,$B704,MATCH("RAID Response/Plan",'RAID Log'!$1:$1,0)),"")="","",IFERROR(INDEX('RAID Log'!$1:$1048576,$B704,MATCH("RAID Response/Plan",'RAID Log'!$1:$1,0)),"")))</f>
        <v/>
      </c>
    </row>
    <row r="705" spans="1:17" ht="14.25" customHeight="1">
      <c r="A705" s="82" t="str">
        <f>IF($B705="","",IF(IFERROR(INDEX('RAID Log'!$1:$1048576,$B705,MATCH("RAID ID",'RAID Log'!$1:$1,0)),"")="","",IFERROR(INDEX('RAID Log'!$1:$1048576,$B705,MATCH("RAID ID",'RAID Log'!$1:$1,0)),"")))</f>
        <v/>
      </c>
      <c r="B705" s="83" t="str">
        <f>IFERROR(MATCH(ROW()-1,'RAID Log'!$S:$S,0),"")</f>
        <v/>
      </c>
      <c r="C705" s="84" t="str">
        <f>IF($B705="","",IF(IFERROR(INDEX('RAID Log'!$1:$1048576,$B705,MATCH("Description",'RAID Log'!$1:$1,0)),"")="","",IFERROR(INDEX('RAID Log'!$1:$1048576,$B705,MATCH("Description",'RAID Log'!$1:$1,0)),"")))</f>
        <v/>
      </c>
      <c r="D705" s="84" t="str">
        <f>IF($B705="","",IF(IFERROR(INDEX('RAID Log'!$1:$1048576,$B705,MATCH("Impact/Effect of the RAID",'RAID Log'!$1:$1,0)),"")="","",IFERROR(INDEX('RAID Log'!$1:$1048576,$B705,MATCH("Impact/Effect of the RAID",'RAID Log'!$1:$1,0)),"")))</f>
        <v/>
      </c>
      <c r="E705" s="85" t="str">
        <f>IF($B705="","",IF(IFERROR(INDEX('RAID Log'!$1:$1048576,$B705,MATCH("Impact Area",'RAID Log'!$1:$1,0)),"")="","",IFERROR(INDEX('RAID Log'!$1:$1048576,$B705,MATCH("Impact Area",'RAID Log'!$1:$1,0)),"")))</f>
        <v/>
      </c>
      <c r="F705" s="85" t="str">
        <f>IF($B705="","",IF(IFERROR(INDEX('RAID Log'!$1:$1048576,$B705,MATCH("Impact Area",'RAID Log'!$1:$1,0)),"")="","",IFERROR(INDEX('RAID Log'!$1:$1048576,$B705,MATCH("Impact Area",'RAID Log'!$1:$1,0)),"")))</f>
        <v/>
      </c>
      <c r="G705" s="85" t="str">
        <f>IF($B705="","",IF(IFERROR(INDEX('RAID Log'!$1:$1048576,$B705,MATCH("Impact Rating",'RAID Log'!$1:$1,0)),"")="","",IFERROR(INDEX('RAID Log'!$1:$1048576,$B705,MATCH("Impact Rating",'RAID Log'!$1:$1,0)),"")))</f>
        <v/>
      </c>
      <c r="H705" s="85" t="str">
        <f>IF($B705="","",IF(IFERROR(INDEX('RAID Log'!$1:$1048576,$B705,MATCH("Initial Probability",'RAID Log'!$1:$1,0)),"")="","",IFERROR(INDEX('RAID Log'!$1:$1048576,$B705,MATCH("Initial Probability",'RAID Log'!$1:$1,0)),"")))</f>
        <v/>
      </c>
      <c r="I705" s="86" t="str">
        <f t="shared" si="30"/>
        <v/>
      </c>
      <c r="J705" s="85" t="str">
        <f t="shared" si="31"/>
        <v/>
      </c>
      <c r="K705" s="86" t="str">
        <f t="shared" si="32"/>
        <v/>
      </c>
      <c r="L705" s="85" t="str">
        <f>IF($B705="","",IF(IFERROR(INDEX('RAID Log'!$1:$1048576,$B705,MATCH("Status",'RAID Log'!$1:$1,0)),"")="","",IFERROR(INDEX('RAID Log'!$1:$1048576,$B705,MATCH("Status",'RAID Log'!$1:$1,0)),"")))</f>
        <v/>
      </c>
      <c r="M705" s="85" t="str">
        <f>IF($B705="","",IF(IFERROR(INDEX('RAID Log'!$1:$1048576,$B705,MATCH("RAID Owner",'RAID Log'!$1:$1,0)),"")="","",IFERROR(INDEX('RAID Log'!$1:$1048576,$B705,MATCH("RAID Owner",'RAID Log'!$1:$1,0)),"")))</f>
        <v/>
      </c>
      <c r="N705" s="87" t="str">
        <f>IF($B705="","",IF(IFERROR(INDEX('RAID Log'!$1:$1048576,$B705,MATCH("Date Raised",'RAID Log'!$1:$1,0)),"")="","",IFERROR(INDEX('RAID Log'!$1:$1048576,$B705,MATCH("Date Raised",'RAID Log'!$1:$1,0)),"")))</f>
        <v/>
      </c>
      <c r="O705" s="87" t="str">
        <f>IF($B705="","",IF(IFERROR(INDEX('RAID Log'!$1:$1048576,$B705,MATCH("Closed Date",'RAID Log'!$1:$1,0)),"")="","",IFERROR(INDEX('RAID Log'!$1:$1048576,$B705,MATCH("Closed Date",'RAID Log'!$1:$1,0)),"")))</f>
        <v/>
      </c>
      <c r="P705" s="85" t="str">
        <f>IF($B705="","",IF(IFERROR(INDEX('RAID Log'!$1:$1048576,$B705,MATCH("Mitigation Strategy",'RAID Log'!$1:$1,0)),"")="","",IFERROR(INDEX('RAID Log'!$1:$1048576,$B705,MATCH("Mitigation Strategy",'RAID Log'!$1:$1,0)),"")))</f>
        <v/>
      </c>
      <c r="Q705" s="88" t="str">
        <f>IF($B705="","",IF(IFERROR(INDEX('RAID Log'!$1:$1048576,$B705,MATCH("RAID Response/Plan",'RAID Log'!$1:$1,0)),"")="","",IFERROR(INDEX('RAID Log'!$1:$1048576,$B705,MATCH("RAID Response/Plan",'RAID Log'!$1:$1,0)),"")))</f>
        <v/>
      </c>
    </row>
    <row r="706" spans="1:17" ht="14.25" customHeight="1">
      <c r="A706" s="82" t="str">
        <f>IF($B706="","",IF(IFERROR(INDEX('RAID Log'!$1:$1048576,$B706,MATCH("RAID ID",'RAID Log'!$1:$1,0)),"")="","",IFERROR(INDEX('RAID Log'!$1:$1048576,$B706,MATCH("RAID ID",'RAID Log'!$1:$1,0)),"")))</f>
        <v/>
      </c>
      <c r="B706" s="83" t="str">
        <f>IFERROR(MATCH(ROW()-1,'RAID Log'!$S:$S,0),"")</f>
        <v/>
      </c>
      <c r="C706" s="84" t="str">
        <f>IF($B706="","",IF(IFERROR(INDEX('RAID Log'!$1:$1048576,$B706,MATCH("Description",'RAID Log'!$1:$1,0)),"")="","",IFERROR(INDEX('RAID Log'!$1:$1048576,$B706,MATCH("Description",'RAID Log'!$1:$1,0)),"")))</f>
        <v/>
      </c>
      <c r="D706" s="84" t="str">
        <f>IF($B706="","",IF(IFERROR(INDEX('RAID Log'!$1:$1048576,$B706,MATCH("Impact/Effect of the RAID",'RAID Log'!$1:$1,0)),"")="","",IFERROR(INDEX('RAID Log'!$1:$1048576,$B706,MATCH("Impact/Effect of the RAID",'RAID Log'!$1:$1,0)),"")))</f>
        <v/>
      </c>
      <c r="E706" s="85" t="str">
        <f>IF($B706="","",IF(IFERROR(INDEX('RAID Log'!$1:$1048576,$B706,MATCH("Impact Area",'RAID Log'!$1:$1,0)),"")="","",IFERROR(INDEX('RAID Log'!$1:$1048576,$B706,MATCH("Impact Area",'RAID Log'!$1:$1,0)),"")))</f>
        <v/>
      </c>
      <c r="F706" s="85" t="str">
        <f>IF($B706="","",IF(IFERROR(INDEX('RAID Log'!$1:$1048576,$B706,MATCH("Impact Area",'RAID Log'!$1:$1,0)),"")="","",IFERROR(INDEX('RAID Log'!$1:$1048576,$B706,MATCH("Impact Area",'RAID Log'!$1:$1,0)),"")))</f>
        <v/>
      </c>
      <c r="G706" s="85" t="str">
        <f>IF($B706="","",IF(IFERROR(INDEX('RAID Log'!$1:$1048576,$B706,MATCH("Impact Rating",'RAID Log'!$1:$1,0)),"")="","",IFERROR(INDEX('RAID Log'!$1:$1048576,$B706,MATCH("Impact Rating",'RAID Log'!$1:$1,0)),"")))</f>
        <v/>
      </c>
      <c r="H706" s="85" t="str">
        <f>IF($B706="","",IF(IFERROR(INDEX('RAID Log'!$1:$1048576,$B706,MATCH("Initial Probability",'RAID Log'!$1:$1,0)),"")="","",IFERROR(INDEX('RAID Log'!$1:$1048576,$B706,MATCH("Initial Probability",'RAID Log'!$1:$1,0)),"")))</f>
        <v/>
      </c>
      <c r="I706" s="86" t="str">
        <f t="shared" ref="I706:I769" si="33">IF($B706="","",(IF($G706="Severe",25,IF($G706="Major",20,IF($G706="Moderate",15,IF($G706="Minor",10,IF($G706="Insignificant",5,0))))))*IF($H706="Very High",1,IF($H706="High",0.8,IF($H706="Average",0.6,IF($H706="Low",0.4,IF($H706="Very Low",0.2,0))))))</f>
        <v/>
      </c>
      <c r="J706" s="85" t="str">
        <f t="shared" ref="J706:J769" si="34">IF($B706="","",IF($I706&gt;20,"Critical",IF($I706&gt;15,"High",IF($I706&gt;8,"Moderate",IF($I706&gt;3,"Tolerable","Negligible")))))</f>
        <v/>
      </c>
      <c r="K706" s="86" t="str">
        <f t="shared" ref="K706:K769" si="35">IF(OR($B706="",UPPER($L706)="CLOSED"),"",COUNTIFS($L$2:$L$880,"&lt;&gt;Closed",$I$2:$I$880,"&gt;"&amp;$I706)+COUNTIFS($L$2:$L$880,"&lt;&gt;Closed",$I$2:$I$880,$I706,$N$2:$N$880,"&lt;"&amp;$N706)+COUNTIFS($L$2:$L$880,"&lt;&gt;Closed",$I$2:$I$880,$I706,$N$2:$N$880,$N706,$B$2:$B$880,"&lt;"&amp;$B706)+1)</f>
        <v/>
      </c>
      <c r="L706" s="85" t="str">
        <f>IF($B706="","",IF(IFERROR(INDEX('RAID Log'!$1:$1048576,$B706,MATCH("Status",'RAID Log'!$1:$1,0)),"")="","",IFERROR(INDEX('RAID Log'!$1:$1048576,$B706,MATCH("Status",'RAID Log'!$1:$1,0)),"")))</f>
        <v/>
      </c>
      <c r="M706" s="85" t="str">
        <f>IF($B706="","",IF(IFERROR(INDEX('RAID Log'!$1:$1048576,$B706,MATCH("RAID Owner",'RAID Log'!$1:$1,0)),"")="","",IFERROR(INDEX('RAID Log'!$1:$1048576,$B706,MATCH("RAID Owner",'RAID Log'!$1:$1,0)),"")))</f>
        <v/>
      </c>
      <c r="N706" s="87" t="str">
        <f>IF($B706="","",IF(IFERROR(INDEX('RAID Log'!$1:$1048576,$B706,MATCH("Date Raised",'RAID Log'!$1:$1,0)),"")="","",IFERROR(INDEX('RAID Log'!$1:$1048576,$B706,MATCH("Date Raised",'RAID Log'!$1:$1,0)),"")))</f>
        <v/>
      </c>
      <c r="O706" s="87" t="str">
        <f>IF($B706="","",IF(IFERROR(INDEX('RAID Log'!$1:$1048576,$B706,MATCH("Closed Date",'RAID Log'!$1:$1,0)),"")="","",IFERROR(INDEX('RAID Log'!$1:$1048576,$B706,MATCH("Closed Date",'RAID Log'!$1:$1,0)),"")))</f>
        <v/>
      </c>
      <c r="P706" s="85" t="str">
        <f>IF($B706="","",IF(IFERROR(INDEX('RAID Log'!$1:$1048576,$B706,MATCH("Mitigation Strategy",'RAID Log'!$1:$1,0)),"")="","",IFERROR(INDEX('RAID Log'!$1:$1048576,$B706,MATCH("Mitigation Strategy",'RAID Log'!$1:$1,0)),"")))</f>
        <v/>
      </c>
      <c r="Q706" s="88" t="str">
        <f>IF($B706="","",IF(IFERROR(INDEX('RAID Log'!$1:$1048576,$B706,MATCH("RAID Response/Plan",'RAID Log'!$1:$1,0)),"")="","",IFERROR(INDEX('RAID Log'!$1:$1048576,$B706,MATCH("RAID Response/Plan",'RAID Log'!$1:$1,0)),"")))</f>
        <v/>
      </c>
    </row>
    <row r="707" spans="1:17" ht="14.25" customHeight="1">
      <c r="A707" s="82" t="str">
        <f>IF($B707="","",IF(IFERROR(INDEX('RAID Log'!$1:$1048576,$B707,MATCH("RAID ID",'RAID Log'!$1:$1,0)),"")="","",IFERROR(INDEX('RAID Log'!$1:$1048576,$B707,MATCH("RAID ID",'RAID Log'!$1:$1,0)),"")))</f>
        <v/>
      </c>
      <c r="B707" s="83" t="str">
        <f>IFERROR(MATCH(ROW()-1,'RAID Log'!$S:$S,0),"")</f>
        <v/>
      </c>
      <c r="C707" s="84" t="str">
        <f>IF($B707="","",IF(IFERROR(INDEX('RAID Log'!$1:$1048576,$B707,MATCH("Description",'RAID Log'!$1:$1,0)),"")="","",IFERROR(INDEX('RAID Log'!$1:$1048576,$B707,MATCH("Description",'RAID Log'!$1:$1,0)),"")))</f>
        <v/>
      </c>
      <c r="D707" s="84" t="str">
        <f>IF($B707="","",IF(IFERROR(INDEX('RAID Log'!$1:$1048576,$B707,MATCH("Impact/Effect of the RAID",'RAID Log'!$1:$1,0)),"")="","",IFERROR(INDEX('RAID Log'!$1:$1048576,$B707,MATCH("Impact/Effect of the RAID",'RAID Log'!$1:$1,0)),"")))</f>
        <v/>
      </c>
      <c r="E707" s="85" t="str">
        <f>IF($B707="","",IF(IFERROR(INDEX('RAID Log'!$1:$1048576,$B707,MATCH("Impact Area",'RAID Log'!$1:$1,0)),"")="","",IFERROR(INDEX('RAID Log'!$1:$1048576,$B707,MATCH("Impact Area",'RAID Log'!$1:$1,0)),"")))</f>
        <v/>
      </c>
      <c r="F707" s="85" t="str">
        <f>IF($B707="","",IF(IFERROR(INDEX('RAID Log'!$1:$1048576,$B707,MATCH("Impact Area",'RAID Log'!$1:$1,0)),"")="","",IFERROR(INDEX('RAID Log'!$1:$1048576,$B707,MATCH("Impact Area",'RAID Log'!$1:$1,0)),"")))</f>
        <v/>
      </c>
      <c r="G707" s="85" t="str">
        <f>IF($B707="","",IF(IFERROR(INDEX('RAID Log'!$1:$1048576,$B707,MATCH("Impact Rating",'RAID Log'!$1:$1,0)),"")="","",IFERROR(INDEX('RAID Log'!$1:$1048576,$B707,MATCH("Impact Rating",'RAID Log'!$1:$1,0)),"")))</f>
        <v/>
      </c>
      <c r="H707" s="85" t="str">
        <f>IF($B707="","",IF(IFERROR(INDEX('RAID Log'!$1:$1048576,$B707,MATCH("Initial Probability",'RAID Log'!$1:$1,0)),"")="","",IFERROR(INDEX('RAID Log'!$1:$1048576,$B707,MATCH("Initial Probability",'RAID Log'!$1:$1,0)),"")))</f>
        <v/>
      </c>
      <c r="I707" s="86" t="str">
        <f t="shared" si="33"/>
        <v/>
      </c>
      <c r="J707" s="85" t="str">
        <f t="shared" si="34"/>
        <v/>
      </c>
      <c r="K707" s="86" t="str">
        <f t="shared" si="35"/>
        <v/>
      </c>
      <c r="L707" s="85" t="str">
        <f>IF($B707="","",IF(IFERROR(INDEX('RAID Log'!$1:$1048576,$B707,MATCH("Status",'RAID Log'!$1:$1,0)),"")="","",IFERROR(INDEX('RAID Log'!$1:$1048576,$B707,MATCH("Status",'RAID Log'!$1:$1,0)),"")))</f>
        <v/>
      </c>
      <c r="M707" s="85" t="str">
        <f>IF($B707="","",IF(IFERROR(INDEX('RAID Log'!$1:$1048576,$B707,MATCH("RAID Owner",'RAID Log'!$1:$1,0)),"")="","",IFERROR(INDEX('RAID Log'!$1:$1048576,$B707,MATCH("RAID Owner",'RAID Log'!$1:$1,0)),"")))</f>
        <v/>
      </c>
      <c r="N707" s="87" t="str">
        <f>IF($B707="","",IF(IFERROR(INDEX('RAID Log'!$1:$1048576,$B707,MATCH("Date Raised",'RAID Log'!$1:$1,0)),"")="","",IFERROR(INDEX('RAID Log'!$1:$1048576,$B707,MATCH("Date Raised",'RAID Log'!$1:$1,0)),"")))</f>
        <v/>
      </c>
      <c r="O707" s="87" t="str">
        <f>IF($B707="","",IF(IFERROR(INDEX('RAID Log'!$1:$1048576,$B707,MATCH("Closed Date",'RAID Log'!$1:$1,0)),"")="","",IFERROR(INDEX('RAID Log'!$1:$1048576,$B707,MATCH("Closed Date",'RAID Log'!$1:$1,0)),"")))</f>
        <v/>
      </c>
      <c r="P707" s="85" t="str">
        <f>IF($B707="","",IF(IFERROR(INDEX('RAID Log'!$1:$1048576,$B707,MATCH("Mitigation Strategy",'RAID Log'!$1:$1,0)),"")="","",IFERROR(INDEX('RAID Log'!$1:$1048576,$B707,MATCH("Mitigation Strategy",'RAID Log'!$1:$1,0)),"")))</f>
        <v/>
      </c>
      <c r="Q707" s="88" t="str">
        <f>IF($B707="","",IF(IFERROR(INDEX('RAID Log'!$1:$1048576,$B707,MATCH("RAID Response/Plan",'RAID Log'!$1:$1,0)),"")="","",IFERROR(INDEX('RAID Log'!$1:$1048576,$B707,MATCH("RAID Response/Plan",'RAID Log'!$1:$1,0)),"")))</f>
        <v/>
      </c>
    </row>
    <row r="708" spans="1:17" ht="14.25" customHeight="1">
      <c r="A708" s="82" t="str">
        <f>IF($B708="","",IF(IFERROR(INDEX('RAID Log'!$1:$1048576,$B708,MATCH("RAID ID",'RAID Log'!$1:$1,0)),"")="","",IFERROR(INDEX('RAID Log'!$1:$1048576,$B708,MATCH("RAID ID",'RAID Log'!$1:$1,0)),"")))</f>
        <v/>
      </c>
      <c r="B708" s="83" t="str">
        <f>IFERROR(MATCH(ROW()-1,'RAID Log'!$S:$S,0),"")</f>
        <v/>
      </c>
      <c r="C708" s="84" t="str">
        <f>IF($B708="","",IF(IFERROR(INDEX('RAID Log'!$1:$1048576,$B708,MATCH("Description",'RAID Log'!$1:$1,0)),"")="","",IFERROR(INDEX('RAID Log'!$1:$1048576,$B708,MATCH("Description",'RAID Log'!$1:$1,0)),"")))</f>
        <v/>
      </c>
      <c r="D708" s="84" t="str">
        <f>IF($B708="","",IF(IFERROR(INDEX('RAID Log'!$1:$1048576,$B708,MATCH("Impact/Effect of the RAID",'RAID Log'!$1:$1,0)),"")="","",IFERROR(INDEX('RAID Log'!$1:$1048576,$B708,MATCH("Impact/Effect of the RAID",'RAID Log'!$1:$1,0)),"")))</f>
        <v/>
      </c>
      <c r="E708" s="85" t="str">
        <f>IF($B708="","",IF(IFERROR(INDEX('RAID Log'!$1:$1048576,$B708,MATCH("Impact Area",'RAID Log'!$1:$1,0)),"")="","",IFERROR(INDEX('RAID Log'!$1:$1048576,$B708,MATCH("Impact Area",'RAID Log'!$1:$1,0)),"")))</f>
        <v/>
      </c>
      <c r="F708" s="85" t="str">
        <f>IF($B708="","",IF(IFERROR(INDEX('RAID Log'!$1:$1048576,$B708,MATCH("Impact Area",'RAID Log'!$1:$1,0)),"")="","",IFERROR(INDEX('RAID Log'!$1:$1048576,$B708,MATCH("Impact Area",'RAID Log'!$1:$1,0)),"")))</f>
        <v/>
      </c>
      <c r="G708" s="85" t="str">
        <f>IF($B708="","",IF(IFERROR(INDEX('RAID Log'!$1:$1048576,$B708,MATCH("Impact Rating",'RAID Log'!$1:$1,0)),"")="","",IFERROR(INDEX('RAID Log'!$1:$1048576,$B708,MATCH("Impact Rating",'RAID Log'!$1:$1,0)),"")))</f>
        <v/>
      </c>
      <c r="H708" s="85" t="str">
        <f>IF($B708="","",IF(IFERROR(INDEX('RAID Log'!$1:$1048576,$B708,MATCH("Initial Probability",'RAID Log'!$1:$1,0)),"")="","",IFERROR(INDEX('RAID Log'!$1:$1048576,$B708,MATCH("Initial Probability",'RAID Log'!$1:$1,0)),"")))</f>
        <v/>
      </c>
      <c r="I708" s="86" t="str">
        <f t="shared" si="33"/>
        <v/>
      </c>
      <c r="J708" s="85" t="str">
        <f t="shared" si="34"/>
        <v/>
      </c>
      <c r="K708" s="86" t="str">
        <f t="shared" si="35"/>
        <v/>
      </c>
      <c r="L708" s="85" t="str">
        <f>IF($B708="","",IF(IFERROR(INDEX('RAID Log'!$1:$1048576,$B708,MATCH("Status",'RAID Log'!$1:$1,0)),"")="","",IFERROR(INDEX('RAID Log'!$1:$1048576,$B708,MATCH("Status",'RAID Log'!$1:$1,0)),"")))</f>
        <v/>
      </c>
      <c r="M708" s="85" t="str">
        <f>IF($B708="","",IF(IFERROR(INDEX('RAID Log'!$1:$1048576,$B708,MATCH("RAID Owner",'RAID Log'!$1:$1,0)),"")="","",IFERROR(INDEX('RAID Log'!$1:$1048576,$B708,MATCH("RAID Owner",'RAID Log'!$1:$1,0)),"")))</f>
        <v/>
      </c>
      <c r="N708" s="87" t="str">
        <f>IF($B708="","",IF(IFERROR(INDEX('RAID Log'!$1:$1048576,$B708,MATCH("Date Raised",'RAID Log'!$1:$1,0)),"")="","",IFERROR(INDEX('RAID Log'!$1:$1048576,$B708,MATCH("Date Raised",'RAID Log'!$1:$1,0)),"")))</f>
        <v/>
      </c>
      <c r="O708" s="87" t="str">
        <f>IF($B708="","",IF(IFERROR(INDEX('RAID Log'!$1:$1048576,$B708,MATCH("Closed Date",'RAID Log'!$1:$1,0)),"")="","",IFERROR(INDEX('RAID Log'!$1:$1048576,$B708,MATCH("Closed Date",'RAID Log'!$1:$1,0)),"")))</f>
        <v/>
      </c>
      <c r="P708" s="85" t="str">
        <f>IF($B708="","",IF(IFERROR(INDEX('RAID Log'!$1:$1048576,$B708,MATCH("Mitigation Strategy",'RAID Log'!$1:$1,0)),"")="","",IFERROR(INDEX('RAID Log'!$1:$1048576,$B708,MATCH("Mitigation Strategy",'RAID Log'!$1:$1,0)),"")))</f>
        <v/>
      </c>
      <c r="Q708" s="88" t="str">
        <f>IF($B708="","",IF(IFERROR(INDEX('RAID Log'!$1:$1048576,$B708,MATCH("RAID Response/Plan",'RAID Log'!$1:$1,0)),"")="","",IFERROR(INDEX('RAID Log'!$1:$1048576,$B708,MATCH("RAID Response/Plan",'RAID Log'!$1:$1,0)),"")))</f>
        <v/>
      </c>
    </row>
    <row r="709" spans="1:17" ht="14.25" customHeight="1">
      <c r="A709" s="82" t="str">
        <f>IF($B709="","",IF(IFERROR(INDEX('RAID Log'!$1:$1048576,$B709,MATCH("RAID ID",'RAID Log'!$1:$1,0)),"")="","",IFERROR(INDEX('RAID Log'!$1:$1048576,$B709,MATCH("RAID ID",'RAID Log'!$1:$1,0)),"")))</f>
        <v/>
      </c>
      <c r="B709" s="83" t="str">
        <f>IFERROR(MATCH(ROW()-1,'RAID Log'!$S:$S,0),"")</f>
        <v/>
      </c>
      <c r="C709" s="84" t="str">
        <f>IF($B709="","",IF(IFERROR(INDEX('RAID Log'!$1:$1048576,$B709,MATCH("Description",'RAID Log'!$1:$1,0)),"")="","",IFERROR(INDEX('RAID Log'!$1:$1048576,$B709,MATCH("Description",'RAID Log'!$1:$1,0)),"")))</f>
        <v/>
      </c>
      <c r="D709" s="84" t="str">
        <f>IF($B709="","",IF(IFERROR(INDEX('RAID Log'!$1:$1048576,$B709,MATCH("Impact/Effect of the RAID",'RAID Log'!$1:$1,0)),"")="","",IFERROR(INDEX('RAID Log'!$1:$1048576,$B709,MATCH("Impact/Effect of the RAID",'RAID Log'!$1:$1,0)),"")))</f>
        <v/>
      </c>
      <c r="E709" s="85" t="str">
        <f>IF($B709="","",IF(IFERROR(INDEX('RAID Log'!$1:$1048576,$B709,MATCH("Impact Area",'RAID Log'!$1:$1,0)),"")="","",IFERROR(INDEX('RAID Log'!$1:$1048576,$B709,MATCH("Impact Area",'RAID Log'!$1:$1,0)),"")))</f>
        <v/>
      </c>
      <c r="F709" s="85" t="str">
        <f>IF($B709="","",IF(IFERROR(INDEX('RAID Log'!$1:$1048576,$B709,MATCH("Impact Area",'RAID Log'!$1:$1,0)),"")="","",IFERROR(INDEX('RAID Log'!$1:$1048576,$B709,MATCH("Impact Area",'RAID Log'!$1:$1,0)),"")))</f>
        <v/>
      </c>
      <c r="G709" s="85" t="str">
        <f>IF($B709="","",IF(IFERROR(INDEX('RAID Log'!$1:$1048576,$B709,MATCH("Impact Rating",'RAID Log'!$1:$1,0)),"")="","",IFERROR(INDEX('RAID Log'!$1:$1048576,$B709,MATCH("Impact Rating",'RAID Log'!$1:$1,0)),"")))</f>
        <v/>
      </c>
      <c r="H709" s="85" t="str">
        <f>IF($B709="","",IF(IFERROR(INDEX('RAID Log'!$1:$1048576,$B709,MATCH("Initial Probability",'RAID Log'!$1:$1,0)),"")="","",IFERROR(INDEX('RAID Log'!$1:$1048576,$B709,MATCH("Initial Probability",'RAID Log'!$1:$1,0)),"")))</f>
        <v/>
      </c>
      <c r="I709" s="86" t="str">
        <f t="shared" si="33"/>
        <v/>
      </c>
      <c r="J709" s="85" t="str">
        <f t="shared" si="34"/>
        <v/>
      </c>
      <c r="K709" s="86" t="str">
        <f t="shared" si="35"/>
        <v/>
      </c>
      <c r="L709" s="85" t="str">
        <f>IF($B709="","",IF(IFERROR(INDEX('RAID Log'!$1:$1048576,$B709,MATCH("Status",'RAID Log'!$1:$1,0)),"")="","",IFERROR(INDEX('RAID Log'!$1:$1048576,$B709,MATCH("Status",'RAID Log'!$1:$1,0)),"")))</f>
        <v/>
      </c>
      <c r="M709" s="85" t="str">
        <f>IF($B709="","",IF(IFERROR(INDEX('RAID Log'!$1:$1048576,$B709,MATCH("RAID Owner",'RAID Log'!$1:$1,0)),"")="","",IFERROR(INDEX('RAID Log'!$1:$1048576,$B709,MATCH("RAID Owner",'RAID Log'!$1:$1,0)),"")))</f>
        <v/>
      </c>
      <c r="N709" s="87" t="str">
        <f>IF($B709="","",IF(IFERROR(INDEX('RAID Log'!$1:$1048576,$B709,MATCH("Date Raised",'RAID Log'!$1:$1,0)),"")="","",IFERROR(INDEX('RAID Log'!$1:$1048576,$B709,MATCH("Date Raised",'RAID Log'!$1:$1,0)),"")))</f>
        <v/>
      </c>
      <c r="O709" s="87" t="str">
        <f>IF($B709="","",IF(IFERROR(INDEX('RAID Log'!$1:$1048576,$B709,MATCH("Closed Date",'RAID Log'!$1:$1,0)),"")="","",IFERROR(INDEX('RAID Log'!$1:$1048576,$B709,MATCH("Closed Date",'RAID Log'!$1:$1,0)),"")))</f>
        <v/>
      </c>
      <c r="P709" s="85" t="str">
        <f>IF($B709="","",IF(IFERROR(INDEX('RAID Log'!$1:$1048576,$B709,MATCH("Mitigation Strategy",'RAID Log'!$1:$1,0)),"")="","",IFERROR(INDEX('RAID Log'!$1:$1048576,$B709,MATCH("Mitigation Strategy",'RAID Log'!$1:$1,0)),"")))</f>
        <v/>
      </c>
      <c r="Q709" s="88" t="str">
        <f>IF($B709="","",IF(IFERROR(INDEX('RAID Log'!$1:$1048576,$B709,MATCH("RAID Response/Plan",'RAID Log'!$1:$1,0)),"")="","",IFERROR(INDEX('RAID Log'!$1:$1048576,$B709,MATCH("RAID Response/Plan",'RAID Log'!$1:$1,0)),"")))</f>
        <v/>
      </c>
    </row>
    <row r="710" spans="1:17" ht="14.25" customHeight="1">
      <c r="A710" s="82" t="str">
        <f>IF($B710="","",IF(IFERROR(INDEX('RAID Log'!$1:$1048576,$B710,MATCH("RAID ID",'RAID Log'!$1:$1,0)),"")="","",IFERROR(INDEX('RAID Log'!$1:$1048576,$B710,MATCH("RAID ID",'RAID Log'!$1:$1,0)),"")))</f>
        <v/>
      </c>
      <c r="B710" s="83" t="str">
        <f>IFERROR(MATCH(ROW()-1,'RAID Log'!$S:$S,0),"")</f>
        <v/>
      </c>
      <c r="C710" s="84" t="str">
        <f>IF($B710="","",IF(IFERROR(INDEX('RAID Log'!$1:$1048576,$B710,MATCH("Description",'RAID Log'!$1:$1,0)),"")="","",IFERROR(INDEX('RAID Log'!$1:$1048576,$B710,MATCH("Description",'RAID Log'!$1:$1,0)),"")))</f>
        <v/>
      </c>
      <c r="D710" s="84" t="str">
        <f>IF($B710="","",IF(IFERROR(INDEX('RAID Log'!$1:$1048576,$B710,MATCH("Impact/Effect of the RAID",'RAID Log'!$1:$1,0)),"")="","",IFERROR(INDEX('RAID Log'!$1:$1048576,$B710,MATCH("Impact/Effect of the RAID",'RAID Log'!$1:$1,0)),"")))</f>
        <v/>
      </c>
      <c r="E710" s="85" t="str">
        <f>IF($B710="","",IF(IFERROR(INDEX('RAID Log'!$1:$1048576,$B710,MATCH("Impact Area",'RAID Log'!$1:$1,0)),"")="","",IFERROR(INDEX('RAID Log'!$1:$1048576,$B710,MATCH("Impact Area",'RAID Log'!$1:$1,0)),"")))</f>
        <v/>
      </c>
      <c r="F710" s="85" t="str">
        <f>IF($B710="","",IF(IFERROR(INDEX('RAID Log'!$1:$1048576,$B710,MATCH("Impact Area",'RAID Log'!$1:$1,0)),"")="","",IFERROR(INDEX('RAID Log'!$1:$1048576,$B710,MATCH("Impact Area",'RAID Log'!$1:$1,0)),"")))</f>
        <v/>
      </c>
      <c r="G710" s="85" t="str">
        <f>IF($B710="","",IF(IFERROR(INDEX('RAID Log'!$1:$1048576,$B710,MATCH("Impact Rating",'RAID Log'!$1:$1,0)),"")="","",IFERROR(INDEX('RAID Log'!$1:$1048576,$B710,MATCH("Impact Rating",'RAID Log'!$1:$1,0)),"")))</f>
        <v/>
      </c>
      <c r="H710" s="85" t="str">
        <f>IF($B710="","",IF(IFERROR(INDEX('RAID Log'!$1:$1048576,$B710,MATCH("Initial Probability",'RAID Log'!$1:$1,0)),"")="","",IFERROR(INDEX('RAID Log'!$1:$1048576,$B710,MATCH("Initial Probability",'RAID Log'!$1:$1,0)),"")))</f>
        <v/>
      </c>
      <c r="I710" s="86" t="str">
        <f t="shared" si="33"/>
        <v/>
      </c>
      <c r="J710" s="85" t="str">
        <f t="shared" si="34"/>
        <v/>
      </c>
      <c r="K710" s="86" t="str">
        <f t="shared" si="35"/>
        <v/>
      </c>
      <c r="L710" s="85" t="str">
        <f>IF($B710="","",IF(IFERROR(INDEX('RAID Log'!$1:$1048576,$B710,MATCH("Status",'RAID Log'!$1:$1,0)),"")="","",IFERROR(INDEX('RAID Log'!$1:$1048576,$B710,MATCH("Status",'RAID Log'!$1:$1,0)),"")))</f>
        <v/>
      </c>
      <c r="M710" s="85" t="str">
        <f>IF($B710="","",IF(IFERROR(INDEX('RAID Log'!$1:$1048576,$B710,MATCH("RAID Owner",'RAID Log'!$1:$1,0)),"")="","",IFERROR(INDEX('RAID Log'!$1:$1048576,$B710,MATCH("RAID Owner",'RAID Log'!$1:$1,0)),"")))</f>
        <v/>
      </c>
      <c r="N710" s="87" t="str">
        <f>IF($B710="","",IF(IFERROR(INDEX('RAID Log'!$1:$1048576,$B710,MATCH("Date Raised",'RAID Log'!$1:$1,0)),"")="","",IFERROR(INDEX('RAID Log'!$1:$1048576,$B710,MATCH("Date Raised",'RAID Log'!$1:$1,0)),"")))</f>
        <v/>
      </c>
      <c r="O710" s="87" t="str">
        <f>IF($B710="","",IF(IFERROR(INDEX('RAID Log'!$1:$1048576,$B710,MATCH("Closed Date",'RAID Log'!$1:$1,0)),"")="","",IFERROR(INDEX('RAID Log'!$1:$1048576,$B710,MATCH("Closed Date",'RAID Log'!$1:$1,0)),"")))</f>
        <v/>
      </c>
      <c r="P710" s="85" t="str">
        <f>IF($B710="","",IF(IFERROR(INDEX('RAID Log'!$1:$1048576,$B710,MATCH("Mitigation Strategy",'RAID Log'!$1:$1,0)),"")="","",IFERROR(INDEX('RAID Log'!$1:$1048576,$B710,MATCH("Mitigation Strategy",'RAID Log'!$1:$1,0)),"")))</f>
        <v/>
      </c>
      <c r="Q710" s="88" t="str">
        <f>IF($B710="","",IF(IFERROR(INDEX('RAID Log'!$1:$1048576,$B710,MATCH("RAID Response/Plan",'RAID Log'!$1:$1,0)),"")="","",IFERROR(INDEX('RAID Log'!$1:$1048576,$B710,MATCH("RAID Response/Plan",'RAID Log'!$1:$1,0)),"")))</f>
        <v/>
      </c>
    </row>
    <row r="711" spans="1:17" ht="14.25" customHeight="1">
      <c r="A711" s="82" t="str">
        <f>IF($B711="","",IF(IFERROR(INDEX('RAID Log'!$1:$1048576,$B711,MATCH("RAID ID",'RAID Log'!$1:$1,0)),"")="","",IFERROR(INDEX('RAID Log'!$1:$1048576,$B711,MATCH("RAID ID",'RAID Log'!$1:$1,0)),"")))</f>
        <v/>
      </c>
      <c r="B711" s="83" t="str">
        <f>IFERROR(MATCH(ROW()-1,'RAID Log'!$S:$S,0),"")</f>
        <v/>
      </c>
      <c r="C711" s="84" t="str">
        <f>IF($B711="","",IF(IFERROR(INDEX('RAID Log'!$1:$1048576,$B711,MATCH("Description",'RAID Log'!$1:$1,0)),"")="","",IFERROR(INDEX('RAID Log'!$1:$1048576,$B711,MATCH("Description",'RAID Log'!$1:$1,0)),"")))</f>
        <v/>
      </c>
      <c r="D711" s="84" t="str">
        <f>IF($B711="","",IF(IFERROR(INDEX('RAID Log'!$1:$1048576,$B711,MATCH("Impact/Effect of the RAID",'RAID Log'!$1:$1,0)),"")="","",IFERROR(INDEX('RAID Log'!$1:$1048576,$B711,MATCH("Impact/Effect of the RAID",'RAID Log'!$1:$1,0)),"")))</f>
        <v/>
      </c>
      <c r="E711" s="85" t="str">
        <f>IF($B711="","",IF(IFERROR(INDEX('RAID Log'!$1:$1048576,$B711,MATCH("Impact Area",'RAID Log'!$1:$1,0)),"")="","",IFERROR(INDEX('RAID Log'!$1:$1048576,$B711,MATCH("Impact Area",'RAID Log'!$1:$1,0)),"")))</f>
        <v/>
      </c>
      <c r="F711" s="85" t="str">
        <f>IF($B711="","",IF(IFERROR(INDEX('RAID Log'!$1:$1048576,$B711,MATCH("Impact Area",'RAID Log'!$1:$1,0)),"")="","",IFERROR(INDEX('RAID Log'!$1:$1048576,$B711,MATCH("Impact Area",'RAID Log'!$1:$1,0)),"")))</f>
        <v/>
      </c>
      <c r="G711" s="85" t="str">
        <f>IF($B711="","",IF(IFERROR(INDEX('RAID Log'!$1:$1048576,$B711,MATCH("Impact Rating",'RAID Log'!$1:$1,0)),"")="","",IFERROR(INDEX('RAID Log'!$1:$1048576,$B711,MATCH("Impact Rating",'RAID Log'!$1:$1,0)),"")))</f>
        <v/>
      </c>
      <c r="H711" s="85" t="str">
        <f>IF($B711="","",IF(IFERROR(INDEX('RAID Log'!$1:$1048576,$B711,MATCH("Initial Probability",'RAID Log'!$1:$1,0)),"")="","",IFERROR(INDEX('RAID Log'!$1:$1048576,$B711,MATCH("Initial Probability",'RAID Log'!$1:$1,0)),"")))</f>
        <v/>
      </c>
      <c r="I711" s="86" t="str">
        <f t="shared" si="33"/>
        <v/>
      </c>
      <c r="J711" s="85" t="str">
        <f t="shared" si="34"/>
        <v/>
      </c>
      <c r="K711" s="86" t="str">
        <f t="shared" si="35"/>
        <v/>
      </c>
      <c r="L711" s="85" t="str">
        <f>IF($B711="","",IF(IFERROR(INDEX('RAID Log'!$1:$1048576,$B711,MATCH("Status",'RAID Log'!$1:$1,0)),"")="","",IFERROR(INDEX('RAID Log'!$1:$1048576,$B711,MATCH("Status",'RAID Log'!$1:$1,0)),"")))</f>
        <v/>
      </c>
      <c r="M711" s="85" t="str">
        <f>IF($B711="","",IF(IFERROR(INDEX('RAID Log'!$1:$1048576,$B711,MATCH("RAID Owner",'RAID Log'!$1:$1,0)),"")="","",IFERROR(INDEX('RAID Log'!$1:$1048576,$B711,MATCH("RAID Owner",'RAID Log'!$1:$1,0)),"")))</f>
        <v/>
      </c>
      <c r="N711" s="87" t="str">
        <f>IF($B711="","",IF(IFERROR(INDEX('RAID Log'!$1:$1048576,$B711,MATCH("Date Raised",'RAID Log'!$1:$1,0)),"")="","",IFERROR(INDEX('RAID Log'!$1:$1048576,$B711,MATCH("Date Raised",'RAID Log'!$1:$1,0)),"")))</f>
        <v/>
      </c>
      <c r="O711" s="87" t="str">
        <f>IF($B711="","",IF(IFERROR(INDEX('RAID Log'!$1:$1048576,$B711,MATCH("Closed Date",'RAID Log'!$1:$1,0)),"")="","",IFERROR(INDEX('RAID Log'!$1:$1048576,$B711,MATCH("Closed Date",'RAID Log'!$1:$1,0)),"")))</f>
        <v/>
      </c>
      <c r="P711" s="85" t="str">
        <f>IF($B711="","",IF(IFERROR(INDEX('RAID Log'!$1:$1048576,$B711,MATCH("Mitigation Strategy",'RAID Log'!$1:$1,0)),"")="","",IFERROR(INDEX('RAID Log'!$1:$1048576,$B711,MATCH("Mitigation Strategy",'RAID Log'!$1:$1,0)),"")))</f>
        <v/>
      </c>
      <c r="Q711" s="88" t="str">
        <f>IF($B711="","",IF(IFERROR(INDEX('RAID Log'!$1:$1048576,$B711,MATCH("RAID Response/Plan",'RAID Log'!$1:$1,0)),"")="","",IFERROR(INDEX('RAID Log'!$1:$1048576,$B711,MATCH("RAID Response/Plan",'RAID Log'!$1:$1,0)),"")))</f>
        <v/>
      </c>
    </row>
    <row r="712" spans="1:17" ht="14.25" customHeight="1">
      <c r="A712" s="82" t="str">
        <f>IF($B712="","",IF(IFERROR(INDEX('RAID Log'!$1:$1048576,$B712,MATCH("RAID ID",'RAID Log'!$1:$1,0)),"")="","",IFERROR(INDEX('RAID Log'!$1:$1048576,$B712,MATCH("RAID ID",'RAID Log'!$1:$1,0)),"")))</f>
        <v/>
      </c>
      <c r="B712" s="83" t="str">
        <f>IFERROR(MATCH(ROW()-1,'RAID Log'!$S:$S,0),"")</f>
        <v/>
      </c>
      <c r="C712" s="84" t="str">
        <f>IF($B712="","",IF(IFERROR(INDEX('RAID Log'!$1:$1048576,$B712,MATCH("Description",'RAID Log'!$1:$1,0)),"")="","",IFERROR(INDEX('RAID Log'!$1:$1048576,$B712,MATCH("Description",'RAID Log'!$1:$1,0)),"")))</f>
        <v/>
      </c>
      <c r="D712" s="84" t="str">
        <f>IF($B712="","",IF(IFERROR(INDEX('RAID Log'!$1:$1048576,$B712,MATCH("Impact/Effect of the RAID",'RAID Log'!$1:$1,0)),"")="","",IFERROR(INDEX('RAID Log'!$1:$1048576,$B712,MATCH("Impact/Effect of the RAID",'RAID Log'!$1:$1,0)),"")))</f>
        <v/>
      </c>
      <c r="E712" s="85" t="str">
        <f>IF($B712="","",IF(IFERROR(INDEX('RAID Log'!$1:$1048576,$B712,MATCH("Impact Area",'RAID Log'!$1:$1,0)),"")="","",IFERROR(INDEX('RAID Log'!$1:$1048576,$B712,MATCH("Impact Area",'RAID Log'!$1:$1,0)),"")))</f>
        <v/>
      </c>
      <c r="F712" s="85" t="str">
        <f>IF($B712="","",IF(IFERROR(INDEX('RAID Log'!$1:$1048576,$B712,MATCH("Impact Area",'RAID Log'!$1:$1,0)),"")="","",IFERROR(INDEX('RAID Log'!$1:$1048576,$B712,MATCH("Impact Area",'RAID Log'!$1:$1,0)),"")))</f>
        <v/>
      </c>
      <c r="G712" s="85" t="str">
        <f>IF($B712="","",IF(IFERROR(INDEX('RAID Log'!$1:$1048576,$B712,MATCH("Impact Rating",'RAID Log'!$1:$1,0)),"")="","",IFERROR(INDEX('RAID Log'!$1:$1048576,$B712,MATCH("Impact Rating",'RAID Log'!$1:$1,0)),"")))</f>
        <v/>
      </c>
      <c r="H712" s="85" t="str">
        <f>IF($B712="","",IF(IFERROR(INDEX('RAID Log'!$1:$1048576,$B712,MATCH("Initial Probability",'RAID Log'!$1:$1,0)),"")="","",IFERROR(INDEX('RAID Log'!$1:$1048576,$B712,MATCH("Initial Probability",'RAID Log'!$1:$1,0)),"")))</f>
        <v/>
      </c>
      <c r="I712" s="86" t="str">
        <f t="shared" si="33"/>
        <v/>
      </c>
      <c r="J712" s="85" t="str">
        <f t="shared" si="34"/>
        <v/>
      </c>
      <c r="K712" s="86" t="str">
        <f t="shared" si="35"/>
        <v/>
      </c>
      <c r="L712" s="85" t="str">
        <f>IF($B712="","",IF(IFERROR(INDEX('RAID Log'!$1:$1048576,$B712,MATCH("Status",'RAID Log'!$1:$1,0)),"")="","",IFERROR(INDEX('RAID Log'!$1:$1048576,$B712,MATCH("Status",'RAID Log'!$1:$1,0)),"")))</f>
        <v/>
      </c>
      <c r="M712" s="85" t="str">
        <f>IF($B712="","",IF(IFERROR(INDEX('RAID Log'!$1:$1048576,$B712,MATCH("RAID Owner",'RAID Log'!$1:$1,0)),"")="","",IFERROR(INDEX('RAID Log'!$1:$1048576,$B712,MATCH("RAID Owner",'RAID Log'!$1:$1,0)),"")))</f>
        <v/>
      </c>
      <c r="N712" s="87" t="str">
        <f>IF($B712="","",IF(IFERROR(INDEX('RAID Log'!$1:$1048576,$B712,MATCH("Date Raised",'RAID Log'!$1:$1,0)),"")="","",IFERROR(INDEX('RAID Log'!$1:$1048576,$B712,MATCH("Date Raised",'RAID Log'!$1:$1,0)),"")))</f>
        <v/>
      </c>
      <c r="O712" s="87" t="str">
        <f>IF($B712="","",IF(IFERROR(INDEX('RAID Log'!$1:$1048576,$B712,MATCH("Closed Date",'RAID Log'!$1:$1,0)),"")="","",IFERROR(INDEX('RAID Log'!$1:$1048576,$B712,MATCH("Closed Date",'RAID Log'!$1:$1,0)),"")))</f>
        <v/>
      </c>
      <c r="P712" s="85" t="str">
        <f>IF($B712="","",IF(IFERROR(INDEX('RAID Log'!$1:$1048576,$B712,MATCH("Mitigation Strategy",'RAID Log'!$1:$1,0)),"")="","",IFERROR(INDEX('RAID Log'!$1:$1048576,$B712,MATCH("Mitigation Strategy",'RAID Log'!$1:$1,0)),"")))</f>
        <v/>
      </c>
      <c r="Q712" s="88" t="str">
        <f>IF($B712="","",IF(IFERROR(INDEX('RAID Log'!$1:$1048576,$B712,MATCH("RAID Response/Plan",'RAID Log'!$1:$1,0)),"")="","",IFERROR(INDEX('RAID Log'!$1:$1048576,$B712,MATCH("RAID Response/Plan",'RAID Log'!$1:$1,0)),"")))</f>
        <v/>
      </c>
    </row>
    <row r="713" spans="1:17" ht="14.25" customHeight="1">
      <c r="A713" s="82" t="str">
        <f>IF($B713="","",IF(IFERROR(INDEX('RAID Log'!$1:$1048576,$B713,MATCH("RAID ID",'RAID Log'!$1:$1,0)),"")="","",IFERROR(INDEX('RAID Log'!$1:$1048576,$B713,MATCH("RAID ID",'RAID Log'!$1:$1,0)),"")))</f>
        <v/>
      </c>
      <c r="B713" s="83" t="str">
        <f>IFERROR(MATCH(ROW()-1,'RAID Log'!$S:$S,0),"")</f>
        <v/>
      </c>
      <c r="C713" s="84" t="str">
        <f>IF($B713="","",IF(IFERROR(INDEX('RAID Log'!$1:$1048576,$B713,MATCH("Description",'RAID Log'!$1:$1,0)),"")="","",IFERROR(INDEX('RAID Log'!$1:$1048576,$B713,MATCH("Description",'RAID Log'!$1:$1,0)),"")))</f>
        <v/>
      </c>
      <c r="D713" s="84" t="str">
        <f>IF($B713="","",IF(IFERROR(INDEX('RAID Log'!$1:$1048576,$B713,MATCH("Impact/Effect of the RAID",'RAID Log'!$1:$1,0)),"")="","",IFERROR(INDEX('RAID Log'!$1:$1048576,$B713,MATCH("Impact/Effect of the RAID",'RAID Log'!$1:$1,0)),"")))</f>
        <v/>
      </c>
      <c r="E713" s="85" t="str">
        <f>IF($B713="","",IF(IFERROR(INDEX('RAID Log'!$1:$1048576,$B713,MATCH("Impact Area",'RAID Log'!$1:$1,0)),"")="","",IFERROR(INDEX('RAID Log'!$1:$1048576,$B713,MATCH("Impact Area",'RAID Log'!$1:$1,0)),"")))</f>
        <v/>
      </c>
      <c r="F713" s="85" t="str">
        <f>IF($B713="","",IF(IFERROR(INDEX('RAID Log'!$1:$1048576,$B713,MATCH("Impact Area",'RAID Log'!$1:$1,0)),"")="","",IFERROR(INDEX('RAID Log'!$1:$1048576,$B713,MATCH("Impact Area",'RAID Log'!$1:$1,0)),"")))</f>
        <v/>
      </c>
      <c r="G713" s="85" t="str">
        <f>IF($B713="","",IF(IFERROR(INDEX('RAID Log'!$1:$1048576,$B713,MATCH("Impact Rating",'RAID Log'!$1:$1,0)),"")="","",IFERROR(INDEX('RAID Log'!$1:$1048576,$B713,MATCH("Impact Rating",'RAID Log'!$1:$1,0)),"")))</f>
        <v/>
      </c>
      <c r="H713" s="85" t="str">
        <f>IF($B713="","",IF(IFERROR(INDEX('RAID Log'!$1:$1048576,$B713,MATCH("Initial Probability",'RAID Log'!$1:$1,0)),"")="","",IFERROR(INDEX('RAID Log'!$1:$1048576,$B713,MATCH("Initial Probability",'RAID Log'!$1:$1,0)),"")))</f>
        <v/>
      </c>
      <c r="I713" s="86" t="str">
        <f t="shared" si="33"/>
        <v/>
      </c>
      <c r="J713" s="85" t="str">
        <f t="shared" si="34"/>
        <v/>
      </c>
      <c r="K713" s="86" t="str">
        <f t="shared" si="35"/>
        <v/>
      </c>
      <c r="L713" s="85" t="str">
        <f>IF($B713="","",IF(IFERROR(INDEX('RAID Log'!$1:$1048576,$B713,MATCH("Status",'RAID Log'!$1:$1,0)),"")="","",IFERROR(INDEX('RAID Log'!$1:$1048576,$B713,MATCH("Status",'RAID Log'!$1:$1,0)),"")))</f>
        <v/>
      </c>
      <c r="M713" s="85" t="str">
        <f>IF($B713="","",IF(IFERROR(INDEX('RAID Log'!$1:$1048576,$B713,MATCH("RAID Owner",'RAID Log'!$1:$1,0)),"")="","",IFERROR(INDEX('RAID Log'!$1:$1048576,$B713,MATCH("RAID Owner",'RAID Log'!$1:$1,0)),"")))</f>
        <v/>
      </c>
      <c r="N713" s="87" t="str">
        <f>IF($B713="","",IF(IFERROR(INDEX('RAID Log'!$1:$1048576,$B713,MATCH("Date Raised",'RAID Log'!$1:$1,0)),"")="","",IFERROR(INDEX('RAID Log'!$1:$1048576,$B713,MATCH("Date Raised",'RAID Log'!$1:$1,0)),"")))</f>
        <v/>
      </c>
      <c r="O713" s="87" t="str">
        <f>IF($B713="","",IF(IFERROR(INDEX('RAID Log'!$1:$1048576,$B713,MATCH("Closed Date",'RAID Log'!$1:$1,0)),"")="","",IFERROR(INDEX('RAID Log'!$1:$1048576,$B713,MATCH("Closed Date",'RAID Log'!$1:$1,0)),"")))</f>
        <v/>
      </c>
      <c r="P713" s="85" t="str">
        <f>IF($B713="","",IF(IFERROR(INDEX('RAID Log'!$1:$1048576,$B713,MATCH("Mitigation Strategy",'RAID Log'!$1:$1,0)),"")="","",IFERROR(INDEX('RAID Log'!$1:$1048576,$B713,MATCH("Mitigation Strategy",'RAID Log'!$1:$1,0)),"")))</f>
        <v/>
      </c>
      <c r="Q713" s="88" t="str">
        <f>IF($B713="","",IF(IFERROR(INDEX('RAID Log'!$1:$1048576,$B713,MATCH("RAID Response/Plan",'RAID Log'!$1:$1,0)),"")="","",IFERROR(INDEX('RAID Log'!$1:$1048576,$B713,MATCH("RAID Response/Plan",'RAID Log'!$1:$1,0)),"")))</f>
        <v/>
      </c>
    </row>
    <row r="714" spans="1:17" ht="14.25" customHeight="1">
      <c r="A714" s="82" t="str">
        <f>IF($B714="","",IF(IFERROR(INDEX('RAID Log'!$1:$1048576,$B714,MATCH("RAID ID",'RAID Log'!$1:$1,0)),"")="","",IFERROR(INDEX('RAID Log'!$1:$1048576,$B714,MATCH("RAID ID",'RAID Log'!$1:$1,0)),"")))</f>
        <v/>
      </c>
      <c r="B714" s="83" t="str">
        <f>IFERROR(MATCH(ROW()-1,'RAID Log'!$S:$S,0),"")</f>
        <v/>
      </c>
      <c r="C714" s="84" t="str">
        <f>IF($B714="","",IF(IFERROR(INDEX('RAID Log'!$1:$1048576,$B714,MATCH("Description",'RAID Log'!$1:$1,0)),"")="","",IFERROR(INDEX('RAID Log'!$1:$1048576,$B714,MATCH("Description",'RAID Log'!$1:$1,0)),"")))</f>
        <v/>
      </c>
      <c r="D714" s="84" t="str">
        <f>IF($B714="","",IF(IFERROR(INDEX('RAID Log'!$1:$1048576,$B714,MATCH("Impact/Effect of the RAID",'RAID Log'!$1:$1,0)),"")="","",IFERROR(INDEX('RAID Log'!$1:$1048576,$B714,MATCH("Impact/Effect of the RAID",'RAID Log'!$1:$1,0)),"")))</f>
        <v/>
      </c>
      <c r="E714" s="85" t="str">
        <f>IF($B714="","",IF(IFERROR(INDEX('RAID Log'!$1:$1048576,$B714,MATCH("Impact Area",'RAID Log'!$1:$1,0)),"")="","",IFERROR(INDEX('RAID Log'!$1:$1048576,$B714,MATCH("Impact Area",'RAID Log'!$1:$1,0)),"")))</f>
        <v/>
      </c>
      <c r="F714" s="85" t="str">
        <f>IF($B714="","",IF(IFERROR(INDEX('RAID Log'!$1:$1048576,$B714,MATCH("Impact Area",'RAID Log'!$1:$1,0)),"")="","",IFERROR(INDEX('RAID Log'!$1:$1048576,$B714,MATCH("Impact Area",'RAID Log'!$1:$1,0)),"")))</f>
        <v/>
      </c>
      <c r="G714" s="85" t="str">
        <f>IF($B714="","",IF(IFERROR(INDEX('RAID Log'!$1:$1048576,$B714,MATCH("Impact Rating",'RAID Log'!$1:$1,0)),"")="","",IFERROR(INDEX('RAID Log'!$1:$1048576,$B714,MATCH("Impact Rating",'RAID Log'!$1:$1,0)),"")))</f>
        <v/>
      </c>
      <c r="H714" s="85" t="str">
        <f>IF($B714="","",IF(IFERROR(INDEX('RAID Log'!$1:$1048576,$B714,MATCH("Initial Probability",'RAID Log'!$1:$1,0)),"")="","",IFERROR(INDEX('RAID Log'!$1:$1048576,$B714,MATCH("Initial Probability",'RAID Log'!$1:$1,0)),"")))</f>
        <v/>
      </c>
      <c r="I714" s="86" t="str">
        <f t="shared" si="33"/>
        <v/>
      </c>
      <c r="J714" s="85" t="str">
        <f t="shared" si="34"/>
        <v/>
      </c>
      <c r="K714" s="86" t="str">
        <f t="shared" si="35"/>
        <v/>
      </c>
      <c r="L714" s="85" t="str">
        <f>IF($B714="","",IF(IFERROR(INDEX('RAID Log'!$1:$1048576,$B714,MATCH("Status",'RAID Log'!$1:$1,0)),"")="","",IFERROR(INDEX('RAID Log'!$1:$1048576,$B714,MATCH("Status",'RAID Log'!$1:$1,0)),"")))</f>
        <v/>
      </c>
      <c r="M714" s="85" t="str">
        <f>IF($B714="","",IF(IFERROR(INDEX('RAID Log'!$1:$1048576,$B714,MATCH("RAID Owner",'RAID Log'!$1:$1,0)),"")="","",IFERROR(INDEX('RAID Log'!$1:$1048576,$B714,MATCH("RAID Owner",'RAID Log'!$1:$1,0)),"")))</f>
        <v/>
      </c>
      <c r="N714" s="87" t="str">
        <f>IF($B714="","",IF(IFERROR(INDEX('RAID Log'!$1:$1048576,$B714,MATCH("Date Raised",'RAID Log'!$1:$1,0)),"")="","",IFERROR(INDEX('RAID Log'!$1:$1048576,$B714,MATCH("Date Raised",'RAID Log'!$1:$1,0)),"")))</f>
        <v/>
      </c>
      <c r="O714" s="87" t="str">
        <f>IF($B714="","",IF(IFERROR(INDEX('RAID Log'!$1:$1048576,$B714,MATCH("Closed Date",'RAID Log'!$1:$1,0)),"")="","",IFERROR(INDEX('RAID Log'!$1:$1048576,$B714,MATCH("Closed Date",'RAID Log'!$1:$1,0)),"")))</f>
        <v/>
      </c>
      <c r="P714" s="85" t="str">
        <f>IF($B714="","",IF(IFERROR(INDEX('RAID Log'!$1:$1048576,$B714,MATCH("Mitigation Strategy",'RAID Log'!$1:$1,0)),"")="","",IFERROR(INDEX('RAID Log'!$1:$1048576,$B714,MATCH("Mitigation Strategy",'RAID Log'!$1:$1,0)),"")))</f>
        <v/>
      </c>
      <c r="Q714" s="88" t="str">
        <f>IF($B714="","",IF(IFERROR(INDEX('RAID Log'!$1:$1048576,$B714,MATCH("RAID Response/Plan",'RAID Log'!$1:$1,0)),"")="","",IFERROR(INDEX('RAID Log'!$1:$1048576,$B714,MATCH("RAID Response/Plan",'RAID Log'!$1:$1,0)),"")))</f>
        <v/>
      </c>
    </row>
    <row r="715" spans="1:17" ht="14.25" customHeight="1">
      <c r="A715" s="82" t="str">
        <f>IF($B715="","",IF(IFERROR(INDEX('RAID Log'!$1:$1048576,$B715,MATCH("RAID ID",'RAID Log'!$1:$1,0)),"")="","",IFERROR(INDEX('RAID Log'!$1:$1048576,$B715,MATCH("RAID ID",'RAID Log'!$1:$1,0)),"")))</f>
        <v/>
      </c>
      <c r="B715" s="83" t="str">
        <f>IFERROR(MATCH(ROW()-1,'RAID Log'!$S:$S,0),"")</f>
        <v/>
      </c>
      <c r="C715" s="84" t="str">
        <f>IF($B715="","",IF(IFERROR(INDEX('RAID Log'!$1:$1048576,$B715,MATCH("Description",'RAID Log'!$1:$1,0)),"")="","",IFERROR(INDEX('RAID Log'!$1:$1048576,$B715,MATCH("Description",'RAID Log'!$1:$1,0)),"")))</f>
        <v/>
      </c>
      <c r="D715" s="84" t="str">
        <f>IF($B715="","",IF(IFERROR(INDEX('RAID Log'!$1:$1048576,$B715,MATCH("Impact/Effect of the RAID",'RAID Log'!$1:$1,0)),"")="","",IFERROR(INDEX('RAID Log'!$1:$1048576,$B715,MATCH("Impact/Effect of the RAID",'RAID Log'!$1:$1,0)),"")))</f>
        <v/>
      </c>
      <c r="E715" s="85" t="str">
        <f>IF($B715="","",IF(IFERROR(INDEX('RAID Log'!$1:$1048576,$B715,MATCH("Impact Area",'RAID Log'!$1:$1,0)),"")="","",IFERROR(INDEX('RAID Log'!$1:$1048576,$B715,MATCH("Impact Area",'RAID Log'!$1:$1,0)),"")))</f>
        <v/>
      </c>
      <c r="F715" s="85" t="str">
        <f>IF($B715="","",IF(IFERROR(INDEX('RAID Log'!$1:$1048576,$B715,MATCH("Impact Area",'RAID Log'!$1:$1,0)),"")="","",IFERROR(INDEX('RAID Log'!$1:$1048576,$B715,MATCH("Impact Area",'RAID Log'!$1:$1,0)),"")))</f>
        <v/>
      </c>
      <c r="G715" s="85" t="str">
        <f>IF($B715="","",IF(IFERROR(INDEX('RAID Log'!$1:$1048576,$B715,MATCH("Impact Rating",'RAID Log'!$1:$1,0)),"")="","",IFERROR(INDEX('RAID Log'!$1:$1048576,$B715,MATCH("Impact Rating",'RAID Log'!$1:$1,0)),"")))</f>
        <v/>
      </c>
      <c r="H715" s="85" t="str">
        <f>IF($B715="","",IF(IFERROR(INDEX('RAID Log'!$1:$1048576,$B715,MATCH("Initial Probability",'RAID Log'!$1:$1,0)),"")="","",IFERROR(INDEX('RAID Log'!$1:$1048576,$B715,MATCH("Initial Probability",'RAID Log'!$1:$1,0)),"")))</f>
        <v/>
      </c>
      <c r="I715" s="86" t="str">
        <f t="shared" si="33"/>
        <v/>
      </c>
      <c r="J715" s="85" t="str">
        <f t="shared" si="34"/>
        <v/>
      </c>
      <c r="K715" s="86" t="str">
        <f t="shared" si="35"/>
        <v/>
      </c>
      <c r="L715" s="85" t="str">
        <f>IF($B715="","",IF(IFERROR(INDEX('RAID Log'!$1:$1048576,$B715,MATCH("Status",'RAID Log'!$1:$1,0)),"")="","",IFERROR(INDEX('RAID Log'!$1:$1048576,$B715,MATCH("Status",'RAID Log'!$1:$1,0)),"")))</f>
        <v/>
      </c>
      <c r="M715" s="85" t="str">
        <f>IF($B715="","",IF(IFERROR(INDEX('RAID Log'!$1:$1048576,$B715,MATCH("RAID Owner",'RAID Log'!$1:$1,0)),"")="","",IFERROR(INDEX('RAID Log'!$1:$1048576,$B715,MATCH("RAID Owner",'RAID Log'!$1:$1,0)),"")))</f>
        <v/>
      </c>
      <c r="N715" s="87" t="str">
        <f>IF($B715="","",IF(IFERROR(INDEX('RAID Log'!$1:$1048576,$B715,MATCH("Date Raised",'RAID Log'!$1:$1,0)),"")="","",IFERROR(INDEX('RAID Log'!$1:$1048576,$B715,MATCH("Date Raised",'RAID Log'!$1:$1,0)),"")))</f>
        <v/>
      </c>
      <c r="O715" s="87" t="str">
        <f>IF($B715="","",IF(IFERROR(INDEX('RAID Log'!$1:$1048576,$B715,MATCH("Closed Date",'RAID Log'!$1:$1,0)),"")="","",IFERROR(INDEX('RAID Log'!$1:$1048576,$B715,MATCH("Closed Date",'RAID Log'!$1:$1,0)),"")))</f>
        <v/>
      </c>
      <c r="P715" s="85" t="str">
        <f>IF($B715="","",IF(IFERROR(INDEX('RAID Log'!$1:$1048576,$B715,MATCH("Mitigation Strategy",'RAID Log'!$1:$1,0)),"")="","",IFERROR(INDEX('RAID Log'!$1:$1048576,$B715,MATCH("Mitigation Strategy",'RAID Log'!$1:$1,0)),"")))</f>
        <v/>
      </c>
      <c r="Q715" s="88" t="str">
        <f>IF($B715="","",IF(IFERROR(INDEX('RAID Log'!$1:$1048576,$B715,MATCH("RAID Response/Plan",'RAID Log'!$1:$1,0)),"")="","",IFERROR(INDEX('RAID Log'!$1:$1048576,$B715,MATCH("RAID Response/Plan",'RAID Log'!$1:$1,0)),"")))</f>
        <v/>
      </c>
    </row>
    <row r="716" spans="1:17" ht="14.25" customHeight="1">
      <c r="A716" s="82" t="str">
        <f>IF($B716="","",IF(IFERROR(INDEX('RAID Log'!$1:$1048576,$B716,MATCH("RAID ID",'RAID Log'!$1:$1,0)),"")="","",IFERROR(INDEX('RAID Log'!$1:$1048576,$B716,MATCH("RAID ID",'RAID Log'!$1:$1,0)),"")))</f>
        <v/>
      </c>
      <c r="B716" s="83" t="str">
        <f>IFERROR(MATCH(ROW()-1,'RAID Log'!$S:$S,0),"")</f>
        <v/>
      </c>
      <c r="C716" s="84" t="str">
        <f>IF($B716="","",IF(IFERROR(INDEX('RAID Log'!$1:$1048576,$B716,MATCH("Description",'RAID Log'!$1:$1,0)),"")="","",IFERROR(INDEX('RAID Log'!$1:$1048576,$B716,MATCH("Description",'RAID Log'!$1:$1,0)),"")))</f>
        <v/>
      </c>
      <c r="D716" s="84" t="str">
        <f>IF($B716="","",IF(IFERROR(INDEX('RAID Log'!$1:$1048576,$B716,MATCH("Impact/Effect of the RAID",'RAID Log'!$1:$1,0)),"")="","",IFERROR(INDEX('RAID Log'!$1:$1048576,$B716,MATCH("Impact/Effect of the RAID",'RAID Log'!$1:$1,0)),"")))</f>
        <v/>
      </c>
      <c r="E716" s="85" t="str">
        <f>IF($B716="","",IF(IFERROR(INDEX('RAID Log'!$1:$1048576,$B716,MATCH("Impact Area",'RAID Log'!$1:$1,0)),"")="","",IFERROR(INDEX('RAID Log'!$1:$1048576,$B716,MATCH("Impact Area",'RAID Log'!$1:$1,0)),"")))</f>
        <v/>
      </c>
      <c r="F716" s="85" t="str">
        <f>IF($B716="","",IF(IFERROR(INDEX('RAID Log'!$1:$1048576,$B716,MATCH("Impact Area",'RAID Log'!$1:$1,0)),"")="","",IFERROR(INDEX('RAID Log'!$1:$1048576,$B716,MATCH("Impact Area",'RAID Log'!$1:$1,0)),"")))</f>
        <v/>
      </c>
      <c r="G716" s="85" t="str">
        <f>IF($B716="","",IF(IFERROR(INDEX('RAID Log'!$1:$1048576,$B716,MATCH("Impact Rating",'RAID Log'!$1:$1,0)),"")="","",IFERROR(INDEX('RAID Log'!$1:$1048576,$B716,MATCH("Impact Rating",'RAID Log'!$1:$1,0)),"")))</f>
        <v/>
      </c>
      <c r="H716" s="85" t="str">
        <f>IF($B716="","",IF(IFERROR(INDEX('RAID Log'!$1:$1048576,$B716,MATCH("Initial Probability",'RAID Log'!$1:$1,0)),"")="","",IFERROR(INDEX('RAID Log'!$1:$1048576,$B716,MATCH("Initial Probability",'RAID Log'!$1:$1,0)),"")))</f>
        <v/>
      </c>
      <c r="I716" s="86" t="str">
        <f t="shared" si="33"/>
        <v/>
      </c>
      <c r="J716" s="85" t="str">
        <f t="shared" si="34"/>
        <v/>
      </c>
      <c r="K716" s="86" t="str">
        <f t="shared" si="35"/>
        <v/>
      </c>
      <c r="L716" s="85" t="str">
        <f>IF($B716="","",IF(IFERROR(INDEX('RAID Log'!$1:$1048576,$B716,MATCH("Status",'RAID Log'!$1:$1,0)),"")="","",IFERROR(INDEX('RAID Log'!$1:$1048576,$B716,MATCH("Status",'RAID Log'!$1:$1,0)),"")))</f>
        <v/>
      </c>
      <c r="M716" s="85" t="str">
        <f>IF($B716="","",IF(IFERROR(INDEX('RAID Log'!$1:$1048576,$B716,MATCH("RAID Owner",'RAID Log'!$1:$1,0)),"")="","",IFERROR(INDEX('RAID Log'!$1:$1048576,$B716,MATCH("RAID Owner",'RAID Log'!$1:$1,0)),"")))</f>
        <v/>
      </c>
      <c r="N716" s="87" t="str">
        <f>IF($B716="","",IF(IFERROR(INDEX('RAID Log'!$1:$1048576,$B716,MATCH("Date Raised",'RAID Log'!$1:$1,0)),"")="","",IFERROR(INDEX('RAID Log'!$1:$1048576,$B716,MATCH("Date Raised",'RAID Log'!$1:$1,0)),"")))</f>
        <v/>
      </c>
      <c r="O716" s="87" t="str">
        <f>IF($B716="","",IF(IFERROR(INDEX('RAID Log'!$1:$1048576,$B716,MATCH("Closed Date",'RAID Log'!$1:$1,0)),"")="","",IFERROR(INDEX('RAID Log'!$1:$1048576,$B716,MATCH("Closed Date",'RAID Log'!$1:$1,0)),"")))</f>
        <v/>
      </c>
      <c r="P716" s="85" t="str">
        <f>IF($B716="","",IF(IFERROR(INDEX('RAID Log'!$1:$1048576,$B716,MATCH("Mitigation Strategy",'RAID Log'!$1:$1,0)),"")="","",IFERROR(INDEX('RAID Log'!$1:$1048576,$B716,MATCH("Mitigation Strategy",'RAID Log'!$1:$1,0)),"")))</f>
        <v/>
      </c>
      <c r="Q716" s="88" t="str">
        <f>IF($B716="","",IF(IFERROR(INDEX('RAID Log'!$1:$1048576,$B716,MATCH("RAID Response/Plan",'RAID Log'!$1:$1,0)),"")="","",IFERROR(INDEX('RAID Log'!$1:$1048576,$B716,MATCH("RAID Response/Plan",'RAID Log'!$1:$1,0)),"")))</f>
        <v/>
      </c>
    </row>
    <row r="717" spans="1:17" ht="14.25" customHeight="1">
      <c r="A717" s="82" t="str">
        <f>IF($B717="","",IF(IFERROR(INDEX('RAID Log'!$1:$1048576,$B717,MATCH("RAID ID",'RAID Log'!$1:$1,0)),"")="","",IFERROR(INDEX('RAID Log'!$1:$1048576,$B717,MATCH("RAID ID",'RAID Log'!$1:$1,0)),"")))</f>
        <v/>
      </c>
      <c r="B717" s="83" t="str">
        <f>IFERROR(MATCH(ROW()-1,'RAID Log'!$S:$S,0),"")</f>
        <v/>
      </c>
      <c r="C717" s="84" t="str">
        <f>IF($B717="","",IF(IFERROR(INDEX('RAID Log'!$1:$1048576,$B717,MATCH("Description",'RAID Log'!$1:$1,0)),"")="","",IFERROR(INDEX('RAID Log'!$1:$1048576,$B717,MATCH("Description",'RAID Log'!$1:$1,0)),"")))</f>
        <v/>
      </c>
      <c r="D717" s="84" t="str">
        <f>IF($B717="","",IF(IFERROR(INDEX('RAID Log'!$1:$1048576,$B717,MATCH("Impact/Effect of the RAID",'RAID Log'!$1:$1,0)),"")="","",IFERROR(INDEX('RAID Log'!$1:$1048576,$B717,MATCH("Impact/Effect of the RAID",'RAID Log'!$1:$1,0)),"")))</f>
        <v/>
      </c>
      <c r="E717" s="85" t="str">
        <f>IF($B717="","",IF(IFERROR(INDEX('RAID Log'!$1:$1048576,$B717,MATCH("Impact Area",'RAID Log'!$1:$1,0)),"")="","",IFERROR(INDEX('RAID Log'!$1:$1048576,$B717,MATCH("Impact Area",'RAID Log'!$1:$1,0)),"")))</f>
        <v/>
      </c>
      <c r="F717" s="85" t="str">
        <f>IF($B717="","",IF(IFERROR(INDEX('RAID Log'!$1:$1048576,$B717,MATCH("Impact Area",'RAID Log'!$1:$1,0)),"")="","",IFERROR(INDEX('RAID Log'!$1:$1048576,$B717,MATCH("Impact Area",'RAID Log'!$1:$1,0)),"")))</f>
        <v/>
      </c>
      <c r="G717" s="85" t="str">
        <f>IF($B717="","",IF(IFERROR(INDEX('RAID Log'!$1:$1048576,$B717,MATCH("Impact Rating",'RAID Log'!$1:$1,0)),"")="","",IFERROR(INDEX('RAID Log'!$1:$1048576,$B717,MATCH("Impact Rating",'RAID Log'!$1:$1,0)),"")))</f>
        <v/>
      </c>
      <c r="H717" s="85" t="str">
        <f>IF($B717="","",IF(IFERROR(INDEX('RAID Log'!$1:$1048576,$B717,MATCH("Initial Probability",'RAID Log'!$1:$1,0)),"")="","",IFERROR(INDEX('RAID Log'!$1:$1048576,$B717,MATCH("Initial Probability",'RAID Log'!$1:$1,0)),"")))</f>
        <v/>
      </c>
      <c r="I717" s="86" t="str">
        <f t="shared" si="33"/>
        <v/>
      </c>
      <c r="J717" s="85" t="str">
        <f t="shared" si="34"/>
        <v/>
      </c>
      <c r="K717" s="86" t="str">
        <f t="shared" si="35"/>
        <v/>
      </c>
      <c r="L717" s="85" t="str">
        <f>IF($B717="","",IF(IFERROR(INDEX('RAID Log'!$1:$1048576,$B717,MATCH("Status",'RAID Log'!$1:$1,0)),"")="","",IFERROR(INDEX('RAID Log'!$1:$1048576,$B717,MATCH("Status",'RAID Log'!$1:$1,0)),"")))</f>
        <v/>
      </c>
      <c r="M717" s="85" t="str">
        <f>IF($B717="","",IF(IFERROR(INDEX('RAID Log'!$1:$1048576,$B717,MATCH("RAID Owner",'RAID Log'!$1:$1,0)),"")="","",IFERROR(INDEX('RAID Log'!$1:$1048576,$B717,MATCH("RAID Owner",'RAID Log'!$1:$1,0)),"")))</f>
        <v/>
      </c>
      <c r="N717" s="87" t="str">
        <f>IF($B717="","",IF(IFERROR(INDEX('RAID Log'!$1:$1048576,$B717,MATCH("Date Raised",'RAID Log'!$1:$1,0)),"")="","",IFERROR(INDEX('RAID Log'!$1:$1048576,$B717,MATCH("Date Raised",'RAID Log'!$1:$1,0)),"")))</f>
        <v/>
      </c>
      <c r="O717" s="87" t="str">
        <f>IF($B717="","",IF(IFERROR(INDEX('RAID Log'!$1:$1048576,$B717,MATCH("Closed Date",'RAID Log'!$1:$1,0)),"")="","",IFERROR(INDEX('RAID Log'!$1:$1048576,$B717,MATCH("Closed Date",'RAID Log'!$1:$1,0)),"")))</f>
        <v/>
      </c>
      <c r="P717" s="85" t="str">
        <f>IF($B717="","",IF(IFERROR(INDEX('RAID Log'!$1:$1048576,$B717,MATCH("Mitigation Strategy",'RAID Log'!$1:$1,0)),"")="","",IFERROR(INDEX('RAID Log'!$1:$1048576,$B717,MATCH("Mitigation Strategy",'RAID Log'!$1:$1,0)),"")))</f>
        <v/>
      </c>
      <c r="Q717" s="88" t="str">
        <f>IF($B717="","",IF(IFERROR(INDEX('RAID Log'!$1:$1048576,$B717,MATCH("RAID Response/Plan",'RAID Log'!$1:$1,0)),"")="","",IFERROR(INDEX('RAID Log'!$1:$1048576,$B717,MATCH("RAID Response/Plan",'RAID Log'!$1:$1,0)),"")))</f>
        <v/>
      </c>
    </row>
    <row r="718" spans="1:17" ht="14.25" customHeight="1">
      <c r="A718" s="82" t="str">
        <f>IF($B718="","",IF(IFERROR(INDEX('RAID Log'!$1:$1048576,$B718,MATCH("RAID ID",'RAID Log'!$1:$1,0)),"")="","",IFERROR(INDEX('RAID Log'!$1:$1048576,$B718,MATCH("RAID ID",'RAID Log'!$1:$1,0)),"")))</f>
        <v/>
      </c>
      <c r="B718" s="83" t="str">
        <f>IFERROR(MATCH(ROW()-1,'RAID Log'!$S:$S,0),"")</f>
        <v/>
      </c>
      <c r="C718" s="84" t="str">
        <f>IF($B718="","",IF(IFERROR(INDEX('RAID Log'!$1:$1048576,$B718,MATCH("Description",'RAID Log'!$1:$1,0)),"")="","",IFERROR(INDEX('RAID Log'!$1:$1048576,$B718,MATCH("Description",'RAID Log'!$1:$1,0)),"")))</f>
        <v/>
      </c>
      <c r="D718" s="84" t="str">
        <f>IF($B718="","",IF(IFERROR(INDEX('RAID Log'!$1:$1048576,$B718,MATCH("Impact/Effect of the RAID",'RAID Log'!$1:$1,0)),"")="","",IFERROR(INDEX('RAID Log'!$1:$1048576,$B718,MATCH("Impact/Effect of the RAID",'RAID Log'!$1:$1,0)),"")))</f>
        <v/>
      </c>
      <c r="E718" s="85" t="str">
        <f>IF($B718="","",IF(IFERROR(INDEX('RAID Log'!$1:$1048576,$B718,MATCH("Impact Area",'RAID Log'!$1:$1,0)),"")="","",IFERROR(INDEX('RAID Log'!$1:$1048576,$B718,MATCH("Impact Area",'RAID Log'!$1:$1,0)),"")))</f>
        <v/>
      </c>
      <c r="F718" s="85" t="str">
        <f>IF($B718="","",IF(IFERROR(INDEX('RAID Log'!$1:$1048576,$B718,MATCH("Impact Area",'RAID Log'!$1:$1,0)),"")="","",IFERROR(INDEX('RAID Log'!$1:$1048576,$B718,MATCH("Impact Area",'RAID Log'!$1:$1,0)),"")))</f>
        <v/>
      </c>
      <c r="G718" s="85" t="str">
        <f>IF($B718="","",IF(IFERROR(INDEX('RAID Log'!$1:$1048576,$B718,MATCH("Impact Rating",'RAID Log'!$1:$1,0)),"")="","",IFERROR(INDEX('RAID Log'!$1:$1048576,$B718,MATCH("Impact Rating",'RAID Log'!$1:$1,0)),"")))</f>
        <v/>
      </c>
      <c r="H718" s="85" t="str">
        <f>IF($B718="","",IF(IFERROR(INDEX('RAID Log'!$1:$1048576,$B718,MATCH("Initial Probability",'RAID Log'!$1:$1,0)),"")="","",IFERROR(INDEX('RAID Log'!$1:$1048576,$B718,MATCH("Initial Probability",'RAID Log'!$1:$1,0)),"")))</f>
        <v/>
      </c>
      <c r="I718" s="86" t="str">
        <f t="shared" si="33"/>
        <v/>
      </c>
      <c r="J718" s="85" t="str">
        <f t="shared" si="34"/>
        <v/>
      </c>
      <c r="K718" s="86" t="str">
        <f t="shared" si="35"/>
        <v/>
      </c>
      <c r="L718" s="85" t="str">
        <f>IF($B718="","",IF(IFERROR(INDEX('RAID Log'!$1:$1048576,$B718,MATCH("Status",'RAID Log'!$1:$1,0)),"")="","",IFERROR(INDEX('RAID Log'!$1:$1048576,$B718,MATCH("Status",'RAID Log'!$1:$1,0)),"")))</f>
        <v/>
      </c>
      <c r="M718" s="85" t="str">
        <f>IF($B718="","",IF(IFERROR(INDEX('RAID Log'!$1:$1048576,$B718,MATCH("RAID Owner",'RAID Log'!$1:$1,0)),"")="","",IFERROR(INDEX('RAID Log'!$1:$1048576,$B718,MATCH("RAID Owner",'RAID Log'!$1:$1,0)),"")))</f>
        <v/>
      </c>
      <c r="N718" s="87" t="str">
        <f>IF($B718="","",IF(IFERROR(INDEX('RAID Log'!$1:$1048576,$B718,MATCH("Date Raised",'RAID Log'!$1:$1,0)),"")="","",IFERROR(INDEX('RAID Log'!$1:$1048576,$B718,MATCH("Date Raised",'RAID Log'!$1:$1,0)),"")))</f>
        <v/>
      </c>
      <c r="O718" s="87" t="str">
        <f>IF($B718="","",IF(IFERROR(INDEX('RAID Log'!$1:$1048576,$B718,MATCH("Closed Date",'RAID Log'!$1:$1,0)),"")="","",IFERROR(INDEX('RAID Log'!$1:$1048576,$B718,MATCH("Closed Date",'RAID Log'!$1:$1,0)),"")))</f>
        <v/>
      </c>
      <c r="P718" s="85" t="str">
        <f>IF($B718="","",IF(IFERROR(INDEX('RAID Log'!$1:$1048576,$B718,MATCH("Mitigation Strategy",'RAID Log'!$1:$1,0)),"")="","",IFERROR(INDEX('RAID Log'!$1:$1048576,$B718,MATCH("Mitigation Strategy",'RAID Log'!$1:$1,0)),"")))</f>
        <v/>
      </c>
      <c r="Q718" s="88" t="str">
        <f>IF($B718="","",IF(IFERROR(INDEX('RAID Log'!$1:$1048576,$B718,MATCH("RAID Response/Plan",'RAID Log'!$1:$1,0)),"")="","",IFERROR(INDEX('RAID Log'!$1:$1048576,$B718,MATCH("RAID Response/Plan",'RAID Log'!$1:$1,0)),"")))</f>
        <v/>
      </c>
    </row>
    <row r="719" spans="1:17" ht="14.25" customHeight="1">
      <c r="A719" s="82" t="str">
        <f>IF($B719="","",IF(IFERROR(INDEX('RAID Log'!$1:$1048576,$B719,MATCH("RAID ID",'RAID Log'!$1:$1,0)),"")="","",IFERROR(INDEX('RAID Log'!$1:$1048576,$B719,MATCH("RAID ID",'RAID Log'!$1:$1,0)),"")))</f>
        <v/>
      </c>
      <c r="B719" s="83" t="str">
        <f>IFERROR(MATCH(ROW()-1,'RAID Log'!$S:$S,0),"")</f>
        <v/>
      </c>
      <c r="C719" s="84" t="str">
        <f>IF($B719="","",IF(IFERROR(INDEX('RAID Log'!$1:$1048576,$B719,MATCH("Description",'RAID Log'!$1:$1,0)),"")="","",IFERROR(INDEX('RAID Log'!$1:$1048576,$B719,MATCH("Description",'RAID Log'!$1:$1,0)),"")))</f>
        <v/>
      </c>
      <c r="D719" s="84" t="str">
        <f>IF($B719="","",IF(IFERROR(INDEX('RAID Log'!$1:$1048576,$B719,MATCH("Impact/Effect of the RAID",'RAID Log'!$1:$1,0)),"")="","",IFERROR(INDEX('RAID Log'!$1:$1048576,$B719,MATCH("Impact/Effect of the RAID",'RAID Log'!$1:$1,0)),"")))</f>
        <v/>
      </c>
      <c r="E719" s="85" t="str">
        <f>IF($B719="","",IF(IFERROR(INDEX('RAID Log'!$1:$1048576,$B719,MATCH("Impact Area",'RAID Log'!$1:$1,0)),"")="","",IFERROR(INDEX('RAID Log'!$1:$1048576,$B719,MATCH("Impact Area",'RAID Log'!$1:$1,0)),"")))</f>
        <v/>
      </c>
      <c r="F719" s="85" t="str">
        <f>IF($B719="","",IF(IFERROR(INDEX('RAID Log'!$1:$1048576,$B719,MATCH("Impact Area",'RAID Log'!$1:$1,0)),"")="","",IFERROR(INDEX('RAID Log'!$1:$1048576,$B719,MATCH("Impact Area",'RAID Log'!$1:$1,0)),"")))</f>
        <v/>
      </c>
      <c r="G719" s="85" t="str">
        <f>IF($B719="","",IF(IFERROR(INDEX('RAID Log'!$1:$1048576,$B719,MATCH("Impact Rating",'RAID Log'!$1:$1,0)),"")="","",IFERROR(INDEX('RAID Log'!$1:$1048576,$B719,MATCH("Impact Rating",'RAID Log'!$1:$1,0)),"")))</f>
        <v/>
      </c>
      <c r="H719" s="85" t="str">
        <f>IF($B719="","",IF(IFERROR(INDEX('RAID Log'!$1:$1048576,$B719,MATCH("Initial Probability",'RAID Log'!$1:$1,0)),"")="","",IFERROR(INDEX('RAID Log'!$1:$1048576,$B719,MATCH("Initial Probability",'RAID Log'!$1:$1,0)),"")))</f>
        <v/>
      </c>
      <c r="I719" s="86" t="str">
        <f t="shared" si="33"/>
        <v/>
      </c>
      <c r="J719" s="85" t="str">
        <f t="shared" si="34"/>
        <v/>
      </c>
      <c r="K719" s="86" t="str">
        <f t="shared" si="35"/>
        <v/>
      </c>
      <c r="L719" s="85" t="str">
        <f>IF($B719="","",IF(IFERROR(INDEX('RAID Log'!$1:$1048576,$B719,MATCH("Status",'RAID Log'!$1:$1,0)),"")="","",IFERROR(INDEX('RAID Log'!$1:$1048576,$B719,MATCH("Status",'RAID Log'!$1:$1,0)),"")))</f>
        <v/>
      </c>
      <c r="M719" s="85" t="str">
        <f>IF($B719="","",IF(IFERROR(INDEX('RAID Log'!$1:$1048576,$B719,MATCH("RAID Owner",'RAID Log'!$1:$1,0)),"")="","",IFERROR(INDEX('RAID Log'!$1:$1048576,$B719,MATCH("RAID Owner",'RAID Log'!$1:$1,0)),"")))</f>
        <v/>
      </c>
      <c r="N719" s="87" t="str">
        <f>IF($B719="","",IF(IFERROR(INDEX('RAID Log'!$1:$1048576,$B719,MATCH("Date Raised",'RAID Log'!$1:$1,0)),"")="","",IFERROR(INDEX('RAID Log'!$1:$1048576,$B719,MATCH("Date Raised",'RAID Log'!$1:$1,0)),"")))</f>
        <v/>
      </c>
      <c r="O719" s="87" t="str">
        <f>IF($B719="","",IF(IFERROR(INDEX('RAID Log'!$1:$1048576,$B719,MATCH("Closed Date",'RAID Log'!$1:$1,0)),"")="","",IFERROR(INDEX('RAID Log'!$1:$1048576,$B719,MATCH("Closed Date",'RAID Log'!$1:$1,0)),"")))</f>
        <v/>
      </c>
      <c r="P719" s="85" t="str">
        <f>IF($B719="","",IF(IFERROR(INDEX('RAID Log'!$1:$1048576,$B719,MATCH("Mitigation Strategy",'RAID Log'!$1:$1,0)),"")="","",IFERROR(INDEX('RAID Log'!$1:$1048576,$B719,MATCH("Mitigation Strategy",'RAID Log'!$1:$1,0)),"")))</f>
        <v/>
      </c>
      <c r="Q719" s="88" t="str">
        <f>IF($B719="","",IF(IFERROR(INDEX('RAID Log'!$1:$1048576,$B719,MATCH("RAID Response/Plan",'RAID Log'!$1:$1,0)),"")="","",IFERROR(INDEX('RAID Log'!$1:$1048576,$B719,MATCH("RAID Response/Plan",'RAID Log'!$1:$1,0)),"")))</f>
        <v/>
      </c>
    </row>
    <row r="720" spans="1:17" ht="14.25" customHeight="1">
      <c r="A720" s="82" t="str">
        <f>IF($B720="","",IF(IFERROR(INDEX('RAID Log'!$1:$1048576,$B720,MATCH("RAID ID",'RAID Log'!$1:$1,0)),"")="","",IFERROR(INDEX('RAID Log'!$1:$1048576,$B720,MATCH("RAID ID",'RAID Log'!$1:$1,0)),"")))</f>
        <v/>
      </c>
      <c r="B720" s="83" t="str">
        <f>IFERROR(MATCH(ROW()-1,'RAID Log'!$S:$S,0),"")</f>
        <v/>
      </c>
      <c r="C720" s="84" t="str">
        <f>IF($B720="","",IF(IFERROR(INDEX('RAID Log'!$1:$1048576,$B720,MATCH("Description",'RAID Log'!$1:$1,0)),"")="","",IFERROR(INDEX('RAID Log'!$1:$1048576,$B720,MATCH("Description",'RAID Log'!$1:$1,0)),"")))</f>
        <v/>
      </c>
      <c r="D720" s="84" t="str">
        <f>IF($B720="","",IF(IFERROR(INDEX('RAID Log'!$1:$1048576,$B720,MATCH("Impact/Effect of the RAID",'RAID Log'!$1:$1,0)),"")="","",IFERROR(INDEX('RAID Log'!$1:$1048576,$B720,MATCH("Impact/Effect of the RAID",'RAID Log'!$1:$1,0)),"")))</f>
        <v/>
      </c>
      <c r="E720" s="85" t="str">
        <f>IF($B720="","",IF(IFERROR(INDEX('RAID Log'!$1:$1048576,$B720,MATCH("Impact Area",'RAID Log'!$1:$1,0)),"")="","",IFERROR(INDEX('RAID Log'!$1:$1048576,$B720,MATCH("Impact Area",'RAID Log'!$1:$1,0)),"")))</f>
        <v/>
      </c>
      <c r="F720" s="85" t="str">
        <f>IF($B720="","",IF(IFERROR(INDEX('RAID Log'!$1:$1048576,$B720,MATCH("Impact Area",'RAID Log'!$1:$1,0)),"")="","",IFERROR(INDEX('RAID Log'!$1:$1048576,$B720,MATCH("Impact Area",'RAID Log'!$1:$1,0)),"")))</f>
        <v/>
      </c>
      <c r="G720" s="85" t="str">
        <f>IF($B720="","",IF(IFERROR(INDEX('RAID Log'!$1:$1048576,$B720,MATCH("Impact Rating",'RAID Log'!$1:$1,0)),"")="","",IFERROR(INDEX('RAID Log'!$1:$1048576,$B720,MATCH("Impact Rating",'RAID Log'!$1:$1,0)),"")))</f>
        <v/>
      </c>
      <c r="H720" s="85" t="str">
        <f>IF($B720="","",IF(IFERROR(INDEX('RAID Log'!$1:$1048576,$B720,MATCH("Initial Probability",'RAID Log'!$1:$1,0)),"")="","",IFERROR(INDEX('RAID Log'!$1:$1048576,$B720,MATCH("Initial Probability",'RAID Log'!$1:$1,0)),"")))</f>
        <v/>
      </c>
      <c r="I720" s="86" t="str">
        <f t="shared" si="33"/>
        <v/>
      </c>
      <c r="J720" s="85" t="str">
        <f t="shared" si="34"/>
        <v/>
      </c>
      <c r="K720" s="86" t="str">
        <f t="shared" si="35"/>
        <v/>
      </c>
      <c r="L720" s="85" t="str">
        <f>IF($B720="","",IF(IFERROR(INDEX('RAID Log'!$1:$1048576,$B720,MATCH("Status",'RAID Log'!$1:$1,0)),"")="","",IFERROR(INDEX('RAID Log'!$1:$1048576,$B720,MATCH("Status",'RAID Log'!$1:$1,0)),"")))</f>
        <v/>
      </c>
      <c r="M720" s="85" t="str">
        <f>IF($B720="","",IF(IFERROR(INDEX('RAID Log'!$1:$1048576,$B720,MATCH("RAID Owner",'RAID Log'!$1:$1,0)),"")="","",IFERROR(INDEX('RAID Log'!$1:$1048576,$B720,MATCH("RAID Owner",'RAID Log'!$1:$1,0)),"")))</f>
        <v/>
      </c>
      <c r="N720" s="87" t="str">
        <f>IF($B720="","",IF(IFERROR(INDEX('RAID Log'!$1:$1048576,$B720,MATCH("Date Raised",'RAID Log'!$1:$1,0)),"")="","",IFERROR(INDEX('RAID Log'!$1:$1048576,$B720,MATCH("Date Raised",'RAID Log'!$1:$1,0)),"")))</f>
        <v/>
      </c>
      <c r="O720" s="87" t="str">
        <f>IF($B720="","",IF(IFERROR(INDEX('RAID Log'!$1:$1048576,$B720,MATCH("Closed Date",'RAID Log'!$1:$1,0)),"")="","",IFERROR(INDEX('RAID Log'!$1:$1048576,$B720,MATCH("Closed Date",'RAID Log'!$1:$1,0)),"")))</f>
        <v/>
      </c>
      <c r="P720" s="85" t="str">
        <f>IF($B720="","",IF(IFERROR(INDEX('RAID Log'!$1:$1048576,$B720,MATCH("Mitigation Strategy",'RAID Log'!$1:$1,0)),"")="","",IFERROR(INDEX('RAID Log'!$1:$1048576,$B720,MATCH("Mitigation Strategy",'RAID Log'!$1:$1,0)),"")))</f>
        <v/>
      </c>
      <c r="Q720" s="88" t="str">
        <f>IF($B720="","",IF(IFERROR(INDEX('RAID Log'!$1:$1048576,$B720,MATCH("RAID Response/Plan",'RAID Log'!$1:$1,0)),"")="","",IFERROR(INDEX('RAID Log'!$1:$1048576,$B720,MATCH("RAID Response/Plan",'RAID Log'!$1:$1,0)),"")))</f>
        <v/>
      </c>
    </row>
    <row r="721" spans="1:17" ht="14.25" customHeight="1">
      <c r="A721" s="82" t="str">
        <f>IF($B721="","",IF(IFERROR(INDEX('RAID Log'!$1:$1048576,$B721,MATCH("RAID ID",'RAID Log'!$1:$1,0)),"")="","",IFERROR(INDEX('RAID Log'!$1:$1048576,$B721,MATCH("RAID ID",'RAID Log'!$1:$1,0)),"")))</f>
        <v/>
      </c>
      <c r="B721" s="83" t="str">
        <f>IFERROR(MATCH(ROW()-1,'RAID Log'!$S:$S,0),"")</f>
        <v/>
      </c>
      <c r="C721" s="84" t="str">
        <f>IF($B721="","",IF(IFERROR(INDEX('RAID Log'!$1:$1048576,$B721,MATCH("Description",'RAID Log'!$1:$1,0)),"")="","",IFERROR(INDEX('RAID Log'!$1:$1048576,$B721,MATCH("Description",'RAID Log'!$1:$1,0)),"")))</f>
        <v/>
      </c>
      <c r="D721" s="84" t="str">
        <f>IF($B721="","",IF(IFERROR(INDEX('RAID Log'!$1:$1048576,$B721,MATCH("Impact/Effect of the RAID",'RAID Log'!$1:$1,0)),"")="","",IFERROR(INDEX('RAID Log'!$1:$1048576,$B721,MATCH("Impact/Effect of the RAID",'RAID Log'!$1:$1,0)),"")))</f>
        <v/>
      </c>
      <c r="E721" s="85" t="str">
        <f>IF($B721="","",IF(IFERROR(INDEX('RAID Log'!$1:$1048576,$B721,MATCH("Impact Area",'RAID Log'!$1:$1,0)),"")="","",IFERROR(INDEX('RAID Log'!$1:$1048576,$B721,MATCH("Impact Area",'RAID Log'!$1:$1,0)),"")))</f>
        <v/>
      </c>
      <c r="F721" s="85" t="str">
        <f>IF($B721="","",IF(IFERROR(INDEX('RAID Log'!$1:$1048576,$B721,MATCH("Impact Area",'RAID Log'!$1:$1,0)),"")="","",IFERROR(INDEX('RAID Log'!$1:$1048576,$B721,MATCH("Impact Area",'RAID Log'!$1:$1,0)),"")))</f>
        <v/>
      </c>
      <c r="G721" s="85" t="str">
        <f>IF($B721="","",IF(IFERROR(INDEX('RAID Log'!$1:$1048576,$B721,MATCH("Impact Rating",'RAID Log'!$1:$1,0)),"")="","",IFERROR(INDEX('RAID Log'!$1:$1048576,$B721,MATCH("Impact Rating",'RAID Log'!$1:$1,0)),"")))</f>
        <v/>
      </c>
      <c r="H721" s="85" t="str">
        <f>IF($B721="","",IF(IFERROR(INDEX('RAID Log'!$1:$1048576,$B721,MATCH("Initial Probability",'RAID Log'!$1:$1,0)),"")="","",IFERROR(INDEX('RAID Log'!$1:$1048576,$B721,MATCH("Initial Probability",'RAID Log'!$1:$1,0)),"")))</f>
        <v/>
      </c>
      <c r="I721" s="86" t="str">
        <f t="shared" si="33"/>
        <v/>
      </c>
      <c r="J721" s="85" t="str">
        <f t="shared" si="34"/>
        <v/>
      </c>
      <c r="K721" s="86" t="str">
        <f t="shared" si="35"/>
        <v/>
      </c>
      <c r="L721" s="85" t="str">
        <f>IF($B721="","",IF(IFERROR(INDEX('RAID Log'!$1:$1048576,$B721,MATCH("Status",'RAID Log'!$1:$1,0)),"")="","",IFERROR(INDEX('RAID Log'!$1:$1048576,$B721,MATCH("Status",'RAID Log'!$1:$1,0)),"")))</f>
        <v/>
      </c>
      <c r="M721" s="85" t="str">
        <f>IF($B721="","",IF(IFERROR(INDEX('RAID Log'!$1:$1048576,$B721,MATCH("RAID Owner",'RAID Log'!$1:$1,0)),"")="","",IFERROR(INDEX('RAID Log'!$1:$1048576,$B721,MATCH("RAID Owner",'RAID Log'!$1:$1,0)),"")))</f>
        <v/>
      </c>
      <c r="N721" s="87" t="str">
        <f>IF($B721="","",IF(IFERROR(INDEX('RAID Log'!$1:$1048576,$B721,MATCH("Date Raised",'RAID Log'!$1:$1,0)),"")="","",IFERROR(INDEX('RAID Log'!$1:$1048576,$B721,MATCH("Date Raised",'RAID Log'!$1:$1,0)),"")))</f>
        <v/>
      </c>
      <c r="O721" s="87" t="str">
        <f>IF($B721="","",IF(IFERROR(INDEX('RAID Log'!$1:$1048576,$B721,MATCH("Closed Date",'RAID Log'!$1:$1,0)),"")="","",IFERROR(INDEX('RAID Log'!$1:$1048576,$B721,MATCH("Closed Date",'RAID Log'!$1:$1,0)),"")))</f>
        <v/>
      </c>
      <c r="P721" s="85" t="str">
        <f>IF($B721="","",IF(IFERROR(INDEX('RAID Log'!$1:$1048576,$B721,MATCH("Mitigation Strategy",'RAID Log'!$1:$1,0)),"")="","",IFERROR(INDEX('RAID Log'!$1:$1048576,$B721,MATCH("Mitigation Strategy",'RAID Log'!$1:$1,0)),"")))</f>
        <v/>
      </c>
      <c r="Q721" s="88" t="str">
        <f>IF($B721="","",IF(IFERROR(INDEX('RAID Log'!$1:$1048576,$B721,MATCH("RAID Response/Plan",'RAID Log'!$1:$1,0)),"")="","",IFERROR(INDEX('RAID Log'!$1:$1048576,$B721,MATCH("RAID Response/Plan",'RAID Log'!$1:$1,0)),"")))</f>
        <v/>
      </c>
    </row>
    <row r="722" spans="1:17" ht="14.25" customHeight="1">
      <c r="A722" s="82" t="str">
        <f>IF($B722="","",IF(IFERROR(INDEX('RAID Log'!$1:$1048576,$B722,MATCH("RAID ID",'RAID Log'!$1:$1,0)),"")="","",IFERROR(INDEX('RAID Log'!$1:$1048576,$B722,MATCH("RAID ID",'RAID Log'!$1:$1,0)),"")))</f>
        <v/>
      </c>
      <c r="B722" s="83" t="str">
        <f>IFERROR(MATCH(ROW()-1,'RAID Log'!$S:$S,0),"")</f>
        <v/>
      </c>
      <c r="C722" s="84" t="str">
        <f>IF($B722="","",IF(IFERROR(INDEX('RAID Log'!$1:$1048576,$B722,MATCH("Description",'RAID Log'!$1:$1,0)),"")="","",IFERROR(INDEX('RAID Log'!$1:$1048576,$B722,MATCH("Description",'RAID Log'!$1:$1,0)),"")))</f>
        <v/>
      </c>
      <c r="D722" s="84" t="str">
        <f>IF($B722="","",IF(IFERROR(INDEX('RAID Log'!$1:$1048576,$B722,MATCH("Impact/Effect of the RAID",'RAID Log'!$1:$1,0)),"")="","",IFERROR(INDEX('RAID Log'!$1:$1048576,$B722,MATCH("Impact/Effect of the RAID",'RAID Log'!$1:$1,0)),"")))</f>
        <v/>
      </c>
      <c r="E722" s="85" t="str">
        <f>IF($B722="","",IF(IFERROR(INDEX('RAID Log'!$1:$1048576,$B722,MATCH("Impact Area",'RAID Log'!$1:$1,0)),"")="","",IFERROR(INDEX('RAID Log'!$1:$1048576,$B722,MATCH("Impact Area",'RAID Log'!$1:$1,0)),"")))</f>
        <v/>
      </c>
      <c r="F722" s="85" t="str">
        <f>IF($B722="","",IF(IFERROR(INDEX('RAID Log'!$1:$1048576,$B722,MATCH("Impact Area",'RAID Log'!$1:$1,0)),"")="","",IFERROR(INDEX('RAID Log'!$1:$1048576,$B722,MATCH("Impact Area",'RAID Log'!$1:$1,0)),"")))</f>
        <v/>
      </c>
      <c r="G722" s="85" t="str">
        <f>IF($B722="","",IF(IFERROR(INDEX('RAID Log'!$1:$1048576,$B722,MATCH("Impact Rating",'RAID Log'!$1:$1,0)),"")="","",IFERROR(INDEX('RAID Log'!$1:$1048576,$B722,MATCH("Impact Rating",'RAID Log'!$1:$1,0)),"")))</f>
        <v/>
      </c>
      <c r="H722" s="85" t="str">
        <f>IF($B722="","",IF(IFERROR(INDEX('RAID Log'!$1:$1048576,$B722,MATCH("Initial Probability",'RAID Log'!$1:$1,0)),"")="","",IFERROR(INDEX('RAID Log'!$1:$1048576,$B722,MATCH("Initial Probability",'RAID Log'!$1:$1,0)),"")))</f>
        <v/>
      </c>
      <c r="I722" s="86" t="str">
        <f t="shared" si="33"/>
        <v/>
      </c>
      <c r="J722" s="85" t="str">
        <f t="shared" si="34"/>
        <v/>
      </c>
      <c r="K722" s="86" t="str">
        <f t="shared" si="35"/>
        <v/>
      </c>
      <c r="L722" s="85" t="str">
        <f>IF($B722="","",IF(IFERROR(INDEX('RAID Log'!$1:$1048576,$B722,MATCH("Status",'RAID Log'!$1:$1,0)),"")="","",IFERROR(INDEX('RAID Log'!$1:$1048576,$B722,MATCH("Status",'RAID Log'!$1:$1,0)),"")))</f>
        <v/>
      </c>
      <c r="M722" s="85" t="str">
        <f>IF($B722="","",IF(IFERROR(INDEX('RAID Log'!$1:$1048576,$B722,MATCH("RAID Owner",'RAID Log'!$1:$1,0)),"")="","",IFERROR(INDEX('RAID Log'!$1:$1048576,$B722,MATCH("RAID Owner",'RAID Log'!$1:$1,0)),"")))</f>
        <v/>
      </c>
      <c r="N722" s="87" t="str">
        <f>IF($B722="","",IF(IFERROR(INDEX('RAID Log'!$1:$1048576,$B722,MATCH("Date Raised",'RAID Log'!$1:$1,0)),"")="","",IFERROR(INDEX('RAID Log'!$1:$1048576,$B722,MATCH("Date Raised",'RAID Log'!$1:$1,0)),"")))</f>
        <v/>
      </c>
      <c r="O722" s="87" t="str">
        <f>IF($B722="","",IF(IFERROR(INDEX('RAID Log'!$1:$1048576,$B722,MATCH("Closed Date",'RAID Log'!$1:$1,0)),"")="","",IFERROR(INDEX('RAID Log'!$1:$1048576,$B722,MATCH("Closed Date",'RAID Log'!$1:$1,0)),"")))</f>
        <v/>
      </c>
      <c r="P722" s="85" t="str">
        <f>IF($B722="","",IF(IFERROR(INDEX('RAID Log'!$1:$1048576,$B722,MATCH("Mitigation Strategy",'RAID Log'!$1:$1,0)),"")="","",IFERROR(INDEX('RAID Log'!$1:$1048576,$B722,MATCH("Mitigation Strategy",'RAID Log'!$1:$1,0)),"")))</f>
        <v/>
      </c>
      <c r="Q722" s="88" t="str">
        <f>IF($B722="","",IF(IFERROR(INDEX('RAID Log'!$1:$1048576,$B722,MATCH("RAID Response/Plan",'RAID Log'!$1:$1,0)),"")="","",IFERROR(INDEX('RAID Log'!$1:$1048576,$B722,MATCH("RAID Response/Plan",'RAID Log'!$1:$1,0)),"")))</f>
        <v/>
      </c>
    </row>
    <row r="723" spans="1:17" ht="14.25" customHeight="1">
      <c r="A723" s="82" t="str">
        <f>IF($B723="","",IF(IFERROR(INDEX('RAID Log'!$1:$1048576,$B723,MATCH("RAID ID",'RAID Log'!$1:$1,0)),"")="","",IFERROR(INDEX('RAID Log'!$1:$1048576,$B723,MATCH("RAID ID",'RAID Log'!$1:$1,0)),"")))</f>
        <v/>
      </c>
      <c r="B723" s="83" t="str">
        <f>IFERROR(MATCH(ROW()-1,'RAID Log'!$S:$S,0),"")</f>
        <v/>
      </c>
      <c r="C723" s="84" t="str">
        <f>IF($B723="","",IF(IFERROR(INDEX('RAID Log'!$1:$1048576,$B723,MATCH("Description",'RAID Log'!$1:$1,0)),"")="","",IFERROR(INDEX('RAID Log'!$1:$1048576,$B723,MATCH("Description",'RAID Log'!$1:$1,0)),"")))</f>
        <v/>
      </c>
      <c r="D723" s="84" t="str">
        <f>IF($B723="","",IF(IFERROR(INDEX('RAID Log'!$1:$1048576,$B723,MATCH("Impact/Effect of the RAID",'RAID Log'!$1:$1,0)),"")="","",IFERROR(INDEX('RAID Log'!$1:$1048576,$B723,MATCH("Impact/Effect of the RAID",'RAID Log'!$1:$1,0)),"")))</f>
        <v/>
      </c>
      <c r="E723" s="85" t="str">
        <f>IF($B723="","",IF(IFERROR(INDEX('RAID Log'!$1:$1048576,$B723,MATCH("Impact Area",'RAID Log'!$1:$1,0)),"")="","",IFERROR(INDEX('RAID Log'!$1:$1048576,$B723,MATCH("Impact Area",'RAID Log'!$1:$1,0)),"")))</f>
        <v/>
      </c>
      <c r="F723" s="85" t="str">
        <f>IF($B723="","",IF(IFERROR(INDEX('RAID Log'!$1:$1048576,$B723,MATCH("Impact Area",'RAID Log'!$1:$1,0)),"")="","",IFERROR(INDEX('RAID Log'!$1:$1048576,$B723,MATCH("Impact Area",'RAID Log'!$1:$1,0)),"")))</f>
        <v/>
      </c>
      <c r="G723" s="85" t="str">
        <f>IF($B723="","",IF(IFERROR(INDEX('RAID Log'!$1:$1048576,$B723,MATCH("Impact Rating",'RAID Log'!$1:$1,0)),"")="","",IFERROR(INDEX('RAID Log'!$1:$1048576,$B723,MATCH("Impact Rating",'RAID Log'!$1:$1,0)),"")))</f>
        <v/>
      </c>
      <c r="H723" s="85" t="str">
        <f>IF($B723="","",IF(IFERROR(INDEX('RAID Log'!$1:$1048576,$B723,MATCH("Initial Probability",'RAID Log'!$1:$1,0)),"")="","",IFERROR(INDEX('RAID Log'!$1:$1048576,$B723,MATCH("Initial Probability",'RAID Log'!$1:$1,0)),"")))</f>
        <v/>
      </c>
      <c r="I723" s="86" t="str">
        <f t="shared" si="33"/>
        <v/>
      </c>
      <c r="J723" s="85" t="str">
        <f t="shared" si="34"/>
        <v/>
      </c>
      <c r="K723" s="86" t="str">
        <f t="shared" si="35"/>
        <v/>
      </c>
      <c r="L723" s="85" t="str">
        <f>IF($B723="","",IF(IFERROR(INDEX('RAID Log'!$1:$1048576,$B723,MATCH("Status",'RAID Log'!$1:$1,0)),"")="","",IFERROR(INDEX('RAID Log'!$1:$1048576,$B723,MATCH("Status",'RAID Log'!$1:$1,0)),"")))</f>
        <v/>
      </c>
      <c r="M723" s="85" t="str">
        <f>IF($B723="","",IF(IFERROR(INDEX('RAID Log'!$1:$1048576,$B723,MATCH("RAID Owner",'RAID Log'!$1:$1,0)),"")="","",IFERROR(INDEX('RAID Log'!$1:$1048576,$B723,MATCH("RAID Owner",'RAID Log'!$1:$1,0)),"")))</f>
        <v/>
      </c>
      <c r="N723" s="87" t="str">
        <f>IF($B723="","",IF(IFERROR(INDEX('RAID Log'!$1:$1048576,$B723,MATCH("Date Raised",'RAID Log'!$1:$1,0)),"")="","",IFERROR(INDEX('RAID Log'!$1:$1048576,$B723,MATCH("Date Raised",'RAID Log'!$1:$1,0)),"")))</f>
        <v/>
      </c>
      <c r="O723" s="87" t="str">
        <f>IF($B723="","",IF(IFERROR(INDEX('RAID Log'!$1:$1048576,$B723,MATCH("Closed Date",'RAID Log'!$1:$1,0)),"")="","",IFERROR(INDEX('RAID Log'!$1:$1048576,$B723,MATCH("Closed Date",'RAID Log'!$1:$1,0)),"")))</f>
        <v/>
      </c>
      <c r="P723" s="85" t="str">
        <f>IF($B723="","",IF(IFERROR(INDEX('RAID Log'!$1:$1048576,$B723,MATCH("Mitigation Strategy",'RAID Log'!$1:$1,0)),"")="","",IFERROR(INDEX('RAID Log'!$1:$1048576,$B723,MATCH("Mitigation Strategy",'RAID Log'!$1:$1,0)),"")))</f>
        <v/>
      </c>
      <c r="Q723" s="88" t="str">
        <f>IF($B723="","",IF(IFERROR(INDEX('RAID Log'!$1:$1048576,$B723,MATCH("RAID Response/Plan",'RAID Log'!$1:$1,0)),"")="","",IFERROR(INDEX('RAID Log'!$1:$1048576,$B723,MATCH("RAID Response/Plan",'RAID Log'!$1:$1,0)),"")))</f>
        <v/>
      </c>
    </row>
    <row r="724" spans="1:17" ht="14.25" customHeight="1">
      <c r="A724" s="82" t="str">
        <f>IF($B724="","",IF(IFERROR(INDEX('RAID Log'!$1:$1048576,$B724,MATCH("RAID ID",'RAID Log'!$1:$1,0)),"")="","",IFERROR(INDEX('RAID Log'!$1:$1048576,$B724,MATCH("RAID ID",'RAID Log'!$1:$1,0)),"")))</f>
        <v/>
      </c>
      <c r="B724" s="83" t="str">
        <f>IFERROR(MATCH(ROW()-1,'RAID Log'!$S:$S,0),"")</f>
        <v/>
      </c>
      <c r="C724" s="84" t="str">
        <f>IF($B724="","",IF(IFERROR(INDEX('RAID Log'!$1:$1048576,$B724,MATCH("Description",'RAID Log'!$1:$1,0)),"")="","",IFERROR(INDEX('RAID Log'!$1:$1048576,$B724,MATCH("Description",'RAID Log'!$1:$1,0)),"")))</f>
        <v/>
      </c>
      <c r="D724" s="84" t="str">
        <f>IF($B724="","",IF(IFERROR(INDEX('RAID Log'!$1:$1048576,$B724,MATCH("Impact/Effect of the RAID",'RAID Log'!$1:$1,0)),"")="","",IFERROR(INDEX('RAID Log'!$1:$1048576,$B724,MATCH("Impact/Effect of the RAID",'RAID Log'!$1:$1,0)),"")))</f>
        <v/>
      </c>
      <c r="E724" s="85" t="str">
        <f>IF($B724="","",IF(IFERROR(INDEX('RAID Log'!$1:$1048576,$B724,MATCH("Impact Area",'RAID Log'!$1:$1,0)),"")="","",IFERROR(INDEX('RAID Log'!$1:$1048576,$B724,MATCH("Impact Area",'RAID Log'!$1:$1,0)),"")))</f>
        <v/>
      </c>
      <c r="F724" s="85" t="str">
        <f>IF($B724="","",IF(IFERROR(INDEX('RAID Log'!$1:$1048576,$B724,MATCH("Impact Area",'RAID Log'!$1:$1,0)),"")="","",IFERROR(INDEX('RAID Log'!$1:$1048576,$B724,MATCH("Impact Area",'RAID Log'!$1:$1,0)),"")))</f>
        <v/>
      </c>
      <c r="G724" s="85" t="str">
        <f>IF($B724="","",IF(IFERROR(INDEX('RAID Log'!$1:$1048576,$B724,MATCH("Impact Rating",'RAID Log'!$1:$1,0)),"")="","",IFERROR(INDEX('RAID Log'!$1:$1048576,$B724,MATCH("Impact Rating",'RAID Log'!$1:$1,0)),"")))</f>
        <v/>
      </c>
      <c r="H724" s="85" t="str">
        <f>IF($B724="","",IF(IFERROR(INDEX('RAID Log'!$1:$1048576,$B724,MATCH("Initial Probability",'RAID Log'!$1:$1,0)),"")="","",IFERROR(INDEX('RAID Log'!$1:$1048576,$B724,MATCH("Initial Probability",'RAID Log'!$1:$1,0)),"")))</f>
        <v/>
      </c>
      <c r="I724" s="86" t="str">
        <f t="shared" si="33"/>
        <v/>
      </c>
      <c r="J724" s="85" t="str">
        <f t="shared" si="34"/>
        <v/>
      </c>
      <c r="K724" s="86" t="str">
        <f t="shared" si="35"/>
        <v/>
      </c>
      <c r="L724" s="85" t="str">
        <f>IF($B724="","",IF(IFERROR(INDEX('RAID Log'!$1:$1048576,$B724,MATCH("Status",'RAID Log'!$1:$1,0)),"")="","",IFERROR(INDEX('RAID Log'!$1:$1048576,$B724,MATCH("Status",'RAID Log'!$1:$1,0)),"")))</f>
        <v/>
      </c>
      <c r="M724" s="85" t="str">
        <f>IF($B724="","",IF(IFERROR(INDEX('RAID Log'!$1:$1048576,$B724,MATCH("RAID Owner",'RAID Log'!$1:$1,0)),"")="","",IFERROR(INDEX('RAID Log'!$1:$1048576,$B724,MATCH("RAID Owner",'RAID Log'!$1:$1,0)),"")))</f>
        <v/>
      </c>
      <c r="N724" s="87" t="str">
        <f>IF($B724="","",IF(IFERROR(INDEX('RAID Log'!$1:$1048576,$B724,MATCH("Date Raised",'RAID Log'!$1:$1,0)),"")="","",IFERROR(INDEX('RAID Log'!$1:$1048576,$B724,MATCH("Date Raised",'RAID Log'!$1:$1,0)),"")))</f>
        <v/>
      </c>
      <c r="O724" s="87" t="str">
        <f>IF($B724="","",IF(IFERROR(INDEX('RAID Log'!$1:$1048576,$B724,MATCH("Closed Date",'RAID Log'!$1:$1,0)),"")="","",IFERROR(INDEX('RAID Log'!$1:$1048576,$B724,MATCH("Closed Date",'RAID Log'!$1:$1,0)),"")))</f>
        <v/>
      </c>
      <c r="P724" s="85" t="str">
        <f>IF($B724="","",IF(IFERROR(INDEX('RAID Log'!$1:$1048576,$B724,MATCH("Mitigation Strategy",'RAID Log'!$1:$1,0)),"")="","",IFERROR(INDEX('RAID Log'!$1:$1048576,$B724,MATCH("Mitigation Strategy",'RAID Log'!$1:$1,0)),"")))</f>
        <v/>
      </c>
      <c r="Q724" s="88" t="str">
        <f>IF($B724="","",IF(IFERROR(INDEX('RAID Log'!$1:$1048576,$B724,MATCH("RAID Response/Plan",'RAID Log'!$1:$1,0)),"")="","",IFERROR(INDEX('RAID Log'!$1:$1048576,$B724,MATCH("RAID Response/Plan",'RAID Log'!$1:$1,0)),"")))</f>
        <v/>
      </c>
    </row>
    <row r="725" spans="1:17" ht="14.25" customHeight="1">
      <c r="A725" s="82" t="str">
        <f>IF($B725="","",IF(IFERROR(INDEX('RAID Log'!$1:$1048576,$B725,MATCH("RAID ID",'RAID Log'!$1:$1,0)),"")="","",IFERROR(INDEX('RAID Log'!$1:$1048576,$B725,MATCH("RAID ID",'RAID Log'!$1:$1,0)),"")))</f>
        <v/>
      </c>
      <c r="B725" s="83" t="str">
        <f>IFERROR(MATCH(ROW()-1,'RAID Log'!$S:$S,0),"")</f>
        <v/>
      </c>
      <c r="C725" s="84" t="str">
        <f>IF($B725="","",IF(IFERROR(INDEX('RAID Log'!$1:$1048576,$B725,MATCH("Description",'RAID Log'!$1:$1,0)),"")="","",IFERROR(INDEX('RAID Log'!$1:$1048576,$B725,MATCH("Description",'RAID Log'!$1:$1,0)),"")))</f>
        <v/>
      </c>
      <c r="D725" s="84" t="str">
        <f>IF($B725="","",IF(IFERROR(INDEX('RAID Log'!$1:$1048576,$B725,MATCH("Impact/Effect of the RAID",'RAID Log'!$1:$1,0)),"")="","",IFERROR(INDEX('RAID Log'!$1:$1048576,$B725,MATCH("Impact/Effect of the RAID",'RAID Log'!$1:$1,0)),"")))</f>
        <v/>
      </c>
      <c r="E725" s="85" t="str">
        <f>IF($B725="","",IF(IFERROR(INDEX('RAID Log'!$1:$1048576,$B725,MATCH("Impact Area",'RAID Log'!$1:$1,0)),"")="","",IFERROR(INDEX('RAID Log'!$1:$1048576,$B725,MATCH("Impact Area",'RAID Log'!$1:$1,0)),"")))</f>
        <v/>
      </c>
      <c r="F725" s="85" t="str">
        <f>IF($B725="","",IF(IFERROR(INDEX('RAID Log'!$1:$1048576,$B725,MATCH("Impact Area",'RAID Log'!$1:$1,0)),"")="","",IFERROR(INDEX('RAID Log'!$1:$1048576,$B725,MATCH("Impact Area",'RAID Log'!$1:$1,0)),"")))</f>
        <v/>
      </c>
      <c r="G725" s="85" t="str">
        <f>IF($B725="","",IF(IFERROR(INDEX('RAID Log'!$1:$1048576,$B725,MATCH("Impact Rating",'RAID Log'!$1:$1,0)),"")="","",IFERROR(INDEX('RAID Log'!$1:$1048576,$B725,MATCH("Impact Rating",'RAID Log'!$1:$1,0)),"")))</f>
        <v/>
      </c>
      <c r="H725" s="85" t="str">
        <f>IF($B725="","",IF(IFERROR(INDEX('RAID Log'!$1:$1048576,$B725,MATCH("Initial Probability",'RAID Log'!$1:$1,0)),"")="","",IFERROR(INDEX('RAID Log'!$1:$1048576,$B725,MATCH("Initial Probability",'RAID Log'!$1:$1,0)),"")))</f>
        <v/>
      </c>
      <c r="I725" s="86" t="str">
        <f t="shared" si="33"/>
        <v/>
      </c>
      <c r="J725" s="85" t="str">
        <f t="shared" si="34"/>
        <v/>
      </c>
      <c r="K725" s="86" t="str">
        <f t="shared" si="35"/>
        <v/>
      </c>
      <c r="L725" s="85" t="str">
        <f>IF($B725="","",IF(IFERROR(INDEX('RAID Log'!$1:$1048576,$B725,MATCH("Status",'RAID Log'!$1:$1,0)),"")="","",IFERROR(INDEX('RAID Log'!$1:$1048576,$B725,MATCH("Status",'RAID Log'!$1:$1,0)),"")))</f>
        <v/>
      </c>
      <c r="M725" s="85" t="str">
        <f>IF($B725="","",IF(IFERROR(INDEX('RAID Log'!$1:$1048576,$B725,MATCH("RAID Owner",'RAID Log'!$1:$1,0)),"")="","",IFERROR(INDEX('RAID Log'!$1:$1048576,$B725,MATCH("RAID Owner",'RAID Log'!$1:$1,0)),"")))</f>
        <v/>
      </c>
      <c r="N725" s="87" t="str">
        <f>IF($B725="","",IF(IFERROR(INDEX('RAID Log'!$1:$1048576,$B725,MATCH("Date Raised",'RAID Log'!$1:$1,0)),"")="","",IFERROR(INDEX('RAID Log'!$1:$1048576,$B725,MATCH("Date Raised",'RAID Log'!$1:$1,0)),"")))</f>
        <v/>
      </c>
      <c r="O725" s="87" t="str">
        <f>IF($B725="","",IF(IFERROR(INDEX('RAID Log'!$1:$1048576,$B725,MATCH("Closed Date",'RAID Log'!$1:$1,0)),"")="","",IFERROR(INDEX('RAID Log'!$1:$1048576,$B725,MATCH("Closed Date",'RAID Log'!$1:$1,0)),"")))</f>
        <v/>
      </c>
      <c r="P725" s="85" t="str">
        <f>IF($B725="","",IF(IFERROR(INDEX('RAID Log'!$1:$1048576,$B725,MATCH("Mitigation Strategy",'RAID Log'!$1:$1,0)),"")="","",IFERROR(INDEX('RAID Log'!$1:$1048576,$B725,MATCH("Mitigation Strategy",'RAID Log'!$1:$1,0)),"")))</f>
        <v/>
      </c>
      <c r="Q725" s="88" t="str">
        <f>IF($B725="","",IF(IFERROR(INDEX('RAID Log'!$1:$1048576,$B725,MATCH("RAID Response/Plan",'RAID Log'!$1:$1,0)),"")="","",IFERROR(INDEX('RAID Log'!$1:$1048576,$B725,MATCH("RAID Response/Plan",'RAID Log'!$1:$1,0)),"")))</f>
        <v/>
      </c>
    </row>
    <row r="726" spans="1:17" ht="14.25" customHeight="1">
      <c r="A726" s="82" t="str">
        <f>IF($B726="","",IF(IFERROR(INDEX('RAID Log'!$1:$1048576,$B726,MATCH("RAID ID",'RAID Log'!$1:$1,0)),"")="","",IFERROR(INDEX('RAID Log'!$1:$1048576,$B726,MATCH("RAID ID",'RAID Log'!$1:$1,0)),"")))</f>
        <v/>
      </c>
      <c r="B726" s="83" t="str">
        <f>IFERROR(MATCH(ROW()-1,'RAID Log'!$S:$S,0),"")</f>
        <v/>
      </c>
      <c r="C726" s="84" t="str">
        <f>IF($B726="","",IF(IFERROR(INDEX('RAID Log'!$1:$1048576,$B726,MATCH("Description",'RAID Log'!$1:$1,0)),"")="","",IFERROR(INDEX('RAID Log'!$1:$1048576,$B726,MATCH("Description",'RAID Log'!$1:$1,0)),"")))</f>
        <v/>
      </c>
      <c r="D726" s="84" t="str">
        <f>IF($B726="","",IF(IFERROR(INDEX('RAID Log'!$1:$1048576,$B726,MATCH("Impact/Effect of the RAID",'RAID Log'!$1:$1,0)),"")="","",IFERROR(INDEX('RAID Log'!$1:$1048576,$B726,MATCH("Impact/Effect of the RAID",'RAID Log'!$1:$1,0)),"")))</f>
        <v/>
      </c>
      <c r="E726" s="85" t="str">
        <f>IF($B726="","",IF(IFERROR(INDEX('RAID Log'!$1:$1048576,$B726,MATCH("Impact Area",'RAID Log'!$1:$1,0)),"")="","",IFERROR(INDEX('RAID Log'!$1:$1048576,$B726,MATCH("Impact Area",'RAID Log'!$1:$1,0)),"")))</f>
        <v/>
      </c>
      <c r="F726" s="85" t="str">
        <f>IF($B726="","",IF(IFERROR(INDEX('RAID Log'!$1:$1048576,$B726,MATCH("Impact Area",'RAID Log'!$1:$1,0)),"")="","",IFERROR(INDEX('RAID Log'!$1:$1048576,$B726,MATCH("Impact Area",'RAID Log'!$1:$1,0)),"")))</f>
        <v/>
      </c>
      <c r="G726" s="85" t="str">
        <f>IF($B726="","",IF(IFERROR(INDEX('RAID Log'!$1:$1048576,$B726,MATCH("Impact Rating",'RAID Log'!$1:$1,0)),"")="","",IFERROR(INDEX('RAID Log'!$1:$1048576,$B726,MATCH("Impact Rating",'RAID Log'!$1:$1,0)),"")))</f>
        <v/>
      </c>
      <c r="H726" s="85" t="str">
        <f>IF($B726="","",IF(IFERROR(INDEX('RAID Log'!$1:$1048576,$B726,MATCH("Initial Probability",'RAID Log'!$1:$1,0)),"")="","",IFERROR(INDEX('RAID Log'!$1:$1048576,$B726,MATCH("Initial Probability",'RAID Log'!$1:$1,0)),"")))</f>
        <v/>
      </c>
      <c r="I726" s="86" t="str">
        <f t="shared" si="33"/>
        <v/>
      </c>
      <c r="J726" s="85" t="str">
        <f t="shared" si="34"/>
        <v/>
      </c>
      <c r="K726" s="86" t="str">
        <f t="shared" si="35"/>
        <v/>
      </c>
      <c r="L726" s="85" t="str">
        <f>IF($B726="","",IF(IFERROR(INDEX('RAID Log'!$1:$1048576,$B726,MATCH("Status",'RAID Log'!$1:$1,0)),"")="","",IFERROR(INDEX('RAID Log'!$1:$1048576,$B726,MATCH("Status",'RAID Log'!$1:$1,0)),"")))</f>
        <v/>
      </c>
      <c r="M726" s="85" t="str">
        <f>IF($B726="","",IF(IFERROR(INDEX('RAID Log'!$1:$1048576,$B726,MATCH("RAID Owner",'RAID Log'!$1:$1,0)),"")="","",IFERROR(INDEX('RAID Log'!$1:$1048576,$B726,MATCH("RAID Owner",'RAID Log'!$1:$1,0)),"")))</f>
        <v/>
      </c>
      <c r="N726" s="87" t="str">
        <f>IF($B726="","",IF(IFERROR(INDEX('RAID Log'!$1:$1048576,$B726,MATCH("Date Raised",'RAID Log'!$1:$1,0)),"")="","",IFERROR(INDEX('RAID Log'!$1:$1048576,$B726,MATCH("Date Raised",'RAID Log'!$1:$1,0)),"")))</f>
        <v/>
      </c>
      <c r="O726" s="87" t="str">
        <f>IF($B726="","",IF(IFERROR(INDEX('RAID Log'!$1:$1048576,$B726,MATCH("Closed Date",'RAID Log'!$1:$1,0)),"")="","",IFERROR(INDEX('RAID Log'!$1:$1048576,$B726,MATCH("Closed Date",'RAID Log'!$1:$1,0)),"")))</f>
        <v/>
      </c>
      <c r="P726" s="85" t="str">
        <f>IF($B726="","",IF(IFERROR(INDEX('RAID Log'!$1:$1048576,$B726,MATCH("Mitigation Strategy",'RAID Log'!$1:$1,0)),"")="","",IFERROR(INDEX('RAID Log'!$1:$1048576,$B726,MATCH("Mitigation Strategy",'RAID Log'!$1:$1,0)),"")))</f>
        <v/>
      </c>
      <c r="Q726" s="88" t="str">
        <f>IF($B726="","",IF(IFERROR(INDEX('RAID Log'!$1:$1048576,$B726,MATCH("RAID Response/Plan",'RAID Log'!$1:$1,0)),"")="","",IFERROR(INDEX('RAID Log'!$1:$1048576,$B726,MATCH("RAID Response/Plan",'RAID Log'!$1:$1,0)),"")))</f>
        <v/>
      </c>
    </row>
    <row r="727" spans="1:17" ht="14.25" customHeight="1">
      <c r="A727" s="82" t="str">
        <f>IF($B727="","",IF(IFERROR(INDEX('RAID Log'!$1:$1048576,$B727,MATCH("RAID ID",'RAID Log'!$1:$1,0)),"")="","",IFERROR(INDEX('RAID Log'!$1:$1048576,$B727,MATCH("RAID ID",'RAID Log'!$1:$1,0)),"")))</f>
        <v/>
      </c>
      <c r="B727" s="83" t="str">
        <f>IFERROR(MATCH(ROW()-1,'RAID Log'!$S:$S,0),"")</f>
        <v/>
      </c>
      <c r="C727" s="84" t="str">
        <f>IF($B727="","",IF(IFERROR(INDEX('RAID Log'!$1:$1048576,$B727,MATCH("Description",'RAID Log'!$1:$1,0)),"")="","",IFERROR(INDEX('RAID Log'!$1:$1048576,$B727,MATCH("Description",'RAID Log'!$1:$1,0)),"")))</f>
        <v/>
      </c>
      <c r="D727" s="84" t="str">
        <f>IF($B727="","",IF(IFERROR(INDEX('RAID Log'!$1:$1048576,$B727,MATCH("Impact/Effect of the RAID",'RAID Log'!$1:$1,0)),"")="","",IFERROR(INDEX('RAID Log'!$1:$1048576,$B727,MATCH("Impact/Effect of the RAID",'RAID Log'!$1:$1,0)),"")))</f>
        <v/>
      </c>
      <c r="E727" s="85" t="str">
        <f>IF($B727="","",IF(IFERROR(INDEX('RAID Log'!$1:$1048576,$B727,MATCH("Impact Area",'RAID Log'!$1:$1,0)),"")="","",IFERROR(INDEX('RAID Log'!$1:$1048576,$B727,MATCH("Impact Area",'RAID Log'!$1:$1,0)),"")))</f>
        <v/>
      </c>
      <c r="F727" s="85" t="str">
        <f>IF($B727="","",IF(IFERROR(INDEX('RAID Log'!$1:$1048576,$B727,MATCH("Impact Area",'RAID Log'!$1:$1,0)),"")="","",IFERROR(INDEX('RAID Log'!$1:$1048576,$B727,MATCH("Impact Area",'RAID Log'!$1:$1,0)),"")))</f>
        <v/>
      </c>
      <c r="G727" s="85" t="str">
        <f>IF($B727="","",IF(IFERROR(INDEX('RAID Log'!$1:$1048576,$B727,MATCH("Impact Rating",'RAID Log'!$1:$1,0)),"")="","",IFERROR(INDEX('RAID Log'!$1:$1048576,$B727,MATCH("Impact Rating",'RAID Log'!$1:$1,0)),"")))</f>
        <v/>
      </c>
      <c r="H727" s="85" t="str">
        <f>IF($B727="","",IF(IFERROR(INDEX('RAID Log'!$1:$1048576,$B727,MATCH("Initial Probability",'RAID Log'!$1:$1,0)),"")="","",IFERROR(INDEX('RAID Log'!$1:$1048576,$B727,MATCH("Initial Probability",'RAID Log'!$1:$1,0)),"")))</f>
        <v/>
      </c>
      <c r="I727" s="86" t="str">
        <f t="shared" si="33"/>
        <v/>
      </c>
      <c r="J727" s="85" t="str">
        <f t="shared" si="34"/>
        <v/>
      </c>
      <c r="K727" s="86" t="str">
        <f t="shared" si="35"/>
        <v/>
      </c>
      <c r="L727" s="85" t="str">
        <f>IF($B727="","",IF(IFERROR(INDEX('RAID Log'!$1:$1048576,$B727,MATCH("Status",'RAID Log'!$1:$1,0)),"")="","",IFERROR(INDEX('RAID Log'!$1:$1048576,$B727,MATCH("Status",'RAID Log'!$1:$1,0)),"")))</f>
        <v/>
      </c>
      <c r="M727" s="85" t="str">
        <f>IF($B727="","",IF(IFERROR(INDEX('RAID Log'!$1:$1048576,$B727,MATCH("RAID Owner",'RAID Log'!$1:$1,0)),"")="","",IFERROR(INDEX('RAID Log'!$1:$1048576,$B727,MATCH("RAID Owner",'RAID Log'!$1:$1,0)),"")))</f>
        <v/>
      </c>
      <c r="N727" s="87" t="str">
        <f>IF($B727="","",IF(IFERROR(INDEX('RAID Log'!$1:$1048576,$B727,MATCH("Date Raised",'RAID Log'!$1:$1,0)),"")="","",IFERROR(INDEX('RAID Log'!$1:$1048576,$B727,MATCH("Date Raised",'RAID Log'!$1:$1,0)),"")))</f>
        <v/>
      </c>
      <c r="O727" s="87" t="str">
        <f>IF($B727="","",IF(IFERROR(INDEX('RAID Log'!$1:$1048576,$B727,MATCH("Closed Date",'RAID Log'!$1:$1,0)),"")="","",IFERROR(INDEX('RAID Log'!$1:$1048576,$B727,MATCH("Closed Date",'RAID Log'!$1:$1,0)),"")))</f>
        <v/>
      </c>
      <c r="P727" s="85" t="str">
        <f>IF($B727="","",IF(IFERROR(INDEX('RAID Log'!$1:$1048576,$B727,MATCH("Mitigation Strategy",'RAID Log'!$1:$1,0)),"")="","",IFERROR(INDEX('RAID Log'!$1:$1048576,$B727,MATCH("Mitigation Strategy",'RAID Log'!$1:$1,0)),"")))</f>
        <v/>
      </c>
      <c r="Q727" s="88" t="str">
        <f>IF($B727="","",IF(IFERROR(INDEX('RAID Log'!$1:$1048576,$B727,MATCH("RAID Response/Plan",'RAID Log'!$1:$1,0)),"")="","",IFERROR(INDEX('RAID Log'!$1:$1048576,$B727,MATCH("RAID Response/Plan",'RAID Log'!$1:$1,0)),"")))</f>
        <v/>
      </c>
    </row>
    <row r="728" spans="1:17" ht="14.25" customHeight="1">
      <c r="A728" s="82" t="str">
        <f>IF($B728="","",IF(IFERROR(INDEX('RAID Log'!$1:$1048576,$B728,MATCH("RAID ID",'RAID Log'!$1:$1,0)),"")="","",IFERROR(INDEX('RAID Log'!$1:$1048576,$B728,MATCH("RAID ID",'RAID Log'!$1:$1,0)),"")))</f>
        <v/>
      </c>
      <c r="B728" s="83" t="str">
        <f>IFERROR(MATCH(ROW()-1,'RAID Log'!$S:$S,0),"")</f>
        <v/>
      </c>
      <c r="C728" s="84" t="str">
        <f>IF($B728="","",IF(IFERROR(INDEX('RAID Log'!$1:$1048576,$B728,MATCH("Description",'RAID Log'!$1:$1,0)),"")="","",IFERROR(INDEX('RAID Log'!$1:$1048576,$B728,MATCH("Description",'RAID Log'!$1:$1,0)),"")))</f>
        <v/>
      </c>
      <c r="D728" s="84" t="str">
        <f>IF($B728="","",IF(IFERROR(INDEX('RAID Log'!$1:$1048576,$B728,MATCH("Impact/Effect of the RAID",'RAID Log'!$1:$1,0)),"")="","",IFERROR(INDEX('RAID Log'!$1:$1048576,$B728,MATCH("Impact/Effect of the RAID",'RAID Log'!$1:$1,0)),"")))</f>
        <v/>
      </c>
      <c r="E728" s="85" t="str">
        <f>IF($B728="","",IF(IFERROR(INDEX('RAID Log'!$1:$1048576,$B728,MATCH("Impact Area",'RAID Log'!$1:$1,0)),"")="","",IFERROR(INDEX('RAID Log'!$1:$1048576,$B728,MATCH("Impact Area",'RAID Log'!$1:$1,0)),"")))</f>
        <v/>
      </c>
      <c r="F728" s="85" t="str">
        <f>IF($B728="","",IF(IFERROR(INDEX('RAID Log'!$1:$1048576,$B728,MATCH("Impact Area",'RAID Log'!$1:$1,0)),"")="","",IFERROR(INDEX('RAID Log'!$1:$1048576,$B728,MATCH("Impact Area",'RAID Log'!$1:$1,0)),"")))</f>
        <v/>
      </c>
      <c r="G728" s="85" t="str">
        <f>IF($B728="","",IF(IFERROR(INDEX('RAID Log'!$1:$1048576,$B728,MATCH("Impact Rating",'RAID Log'!$1:$1,0)),"")="","",IFERROR(INDEX('RAID Log'!$1:$1048576,$B728,MATCH("Impact Rating",'RAID Log'!$1:$1,0)),"")))</f>
        <v/>
      </c>
      <c r="H728" s="85" t="str">
        <f>IF($B728="","",IF(IFERROR(INDEX('RAID Log'!$1:$1048576,$B728,MATCH("Initial Probability",'RAID Log'!$1:$1,0)),"")="","",IFERROR(INDEX('RAID Log'!$1:$1048576,$B728,MATCH("Initial Probability",'RAID Log'!$1:$1,0)),"")))</f>
        <v/>
      </c>
      <c r="I728" s="86" t="str">
        <f t="shared" si="33"/>
        <v/>
      </c>
      <c r="J728" s="85" t="str">
        <f t="shared" si="34"/>
        <v/>
      </c>
      <c r="K728" s="86" t="str">
        <f t="shared" si="35"/>
        <v/>
      </c>
      <c r="L728" s="85" t="str">
        <f>IF($B728="","",IF(IFERROR(INDEX('RAID Log'!$1:$1048576,$B728,MATCH("Status",'RAID Log'!$1:$1,0)),"")="","",IFERROR(INDEX('RAID Log'!$1:$1048576,$B728,MATCH("Status",'RAID Log'!$1:$1,0)),"")))</f>
        <v/>
      </c>
      <c r="M728" s="85" t="str">
        <f>IF($B728="","",IF(IFERROR(INDEX('RAID Log'!$1:$1048576,$B728,MATCH("RAID Owner",'RAID Log'!$1:$1,0)),"")="","",IFERROR(INDEX('RAID Log'!$1:$1048576,$B728,MATCH("RAID Owner",'RAID Log'!$1:$1,0)),"")))</f>
        <v/>
      </c>
      <c r="N728" s="87" t="str">
        <f>IF($B728="","",IF(IFERROR(INDEX('RAID Log'!$1:$1048576,$B728,MATCH("Date Raised",'RAID Log'!$1:$1,0)),"")="","",IFERROR(INDEX('RAID Log'!$1:$1048576,$B728,MATCH("Date Raised",'RAID Log'!$1:$1,0)),"")))</f>
        <v/>
      </c>
      <c r="O728" s="87" t="str">
        <f>IF($B728="","",IF(IFERROR(INDEX('RAID Log'!$1:$1048576,$B728,MATCH("Closed Date",'RAID Log'!$1:$1,0)),"")="","",IFERROR(INDEX('RAID Log'!$1:$1048576,$B728,MATCH("Closed Date",'RAID Log'!$1:$1,0)),"")))</f>
        <v/>
      </c>
      <c r="P728" s="85" t="str">
        <f>IF($B728="","",IF(IFERROR(INDEX('RAID Log'!$1:$1048576,$B728,MATCH("Mitigation Strategy",'RAID Log'!$1:$1,0)),"")="","",IFERROR(INDEX('RAID Log'!$1:$1048576,$B728,MATCH("Mitigation Strategy",'RAID Log'!$1:$1,0)),"")))</f>
        <v/>
      </c>
      <c r="Q728" s="88" t="str">
        <f>IF($B728="","",IF(IFERROR(INDEX('RAID Log'!$1:$1048576,$B728,MATCH("RAID Response/Plan",'RAID Log'!$1:$1,0)),"")="","",IFERROR(INDEX('RAID Log'!$1:$1048576,$B728,MATCH("RAID Response/Plan",'RAID Log'!$1:$1,0)),"")))</f>
        <v/>
      </c>
    </row>
    <row r="729" spans="1:17" ht="14.25" customHeight="1">
      <c r="A729" s="82" t="str">
        <f>IF($B729="","",IF(IFERROR(INDEX('RAID Log'!$1:$1048576,$B729,MATCH("RAID ID",'RAID Log'!$1:$1,0)),"")="","",IFERROR(INDEX('RAID Log'!$1:$1048576,$B729,MATCH("RAID ID",'RAID Log'!$1:$1,0)),"")))</f>
        <v/>
      </c>
      <c r="B729" s="83" t="str">
        <f>IFERROR(MATCH(ROW()-1,'RAID Log'!$S:$S,0),"")</f>
        <v/>
      </c>
      <c r="C729" s="84" t="str">
        <f>IF($B729="","",IF(IFERROR(INDEX('RAID Log'!$1:$1048576,$B729,MATCH("Description",'RAID Log'!$1:$1,0)),"")="","",IFERROR(INDEX('RAID Log'!$1:$1048576,$B729,MATCH("Description",'RAID Log'!$1:$1,0)),"")))</f>
        <v/>
      </c>
      <c r="D729" s="84" t="str">
        <f>IF($B729="","",IF(IFERROR(INDEX('RAID Log'!$1:$1048576,$B729,MATCH("Impact/Effect of the RAID",'RAID Log'!$1:$1,0)),"")="","",IFERROR(INDEX('RAID Log'!$1:$1048576,$B729,MATCH("Impact/Effect of the RAID",'RAID Log'!$1:$1,0)),"")))</f>
        <v/>
      </c>
      <c r="E729" s="85" t="str">
        <f>IF($B729="","",IF(IFERROR(INDEX('RAID Log'!$1:$1048576,$B729,MATCH("Impact Area",'RAID Log'!$1:$1,0)),"")="","",IFERROR(INDEX('RAID Log'!$1:$1048576,$B729,MATCH("Impact Area",'RAID Log'!$1:$1,0)),"")))</f>
        <v/>
      </c>
      <c r="F729" s="85" t="str">
        <f>IF($B729="","",IF(IFERROR(INDEX('RAID Log'!$1:$1048576,$B729,MATCH("Impact Area",'RAID Log'!$1:$1,0)),"")="","",IFERROR(INDEX('RAID Log'!$1:$1048576,$B729,MATCH("Impact Area",'RAID Log'!$1:$1,0)),"")))</f>
        <v/>
      </c>
      <c r="G729" s="85" t="str">
        <f>IF($B729="","",IF(IFERROR(INDEX('RAID Log'!$1:$1048576,$B729,MATCH("Impact Rating",'RAID Log'!$1:$1,0)),"")="","",IFERROR(INDEX('RAID Log'!$1:$1048576,$B729,MATCH("Impact Rating",'RAID Log'!$1:$1,0)),"")))</f>
        <v/>
      </c>
      <c r="H729" s="85" t="str">
        <f>IF($B729="","",IF(IFERROR(INDEX('RAID Log'!$1:$1048576,$B729,MATCH("Initial Probability",'RAID Log'!$1:$1,0)),"")="","",IFERROR(INDEX('RAID Log'!$1:$1048576,$B729,MATCH("Initial Probability",'RAID Log'!$1:$1,0)),"")))</f>
        <v/>
      </c>
      <c r="I729" s="86" t="str">
        <f t="shared" si="33"/>
        <v/>
      </c>
      <c r="J729" s="85" t="str">
        <f t="shared" si="34"/>
        <v/>
      </c>
      <c r="K729" s="86" t="str">
        <f t="shared" si="35"/>
        <v/>
      </c>
      <c r="L729" s="85" t="str">
        <f>IF($B729="","",IF(IFERROR(INDEX('RAID Log'!$1:$1048576,$B729,MATCH("Status",'RAID Log'!$1:$1,0)),"")="","",IFERROR(INDEX('RAID Log'!$1:$1048576,$B729,MATCH("Status",'RAID Log'!$1:$1,0)),"")))</f>
        <v/>
      </c>
      <c r="M729" s="85" t="str">
        <f>IF($B729="","",IF(IFERROR(INDEX('RAID Log'!$1:$1048576,$B729,MATCH("RAID Owner",'RAID Log'!$1:$1,0)),"")="","",IFERROR(INDEX('RAID Log'!$1:$1048576,$B729,MATCH("RAID Owner",'RAID Log'!$1:$1,0)),"")))</f>
        <v/>
      </c>
      <c r="N729" s="87" t="str">
        <f>IF($B729="","",IF(IFERROR(INDEX('RAID Log'!$1:$1048576,$B729,MATCH("Date Raised",'RAID Log'!$1:$1,0)),"")="","",IFERROR(INDEX('RAID Log'!$1:$1048576,$B729,MATCH("Date Raised",'RAID Log'!$1:$1,0)),"")))</f>
        <v/>
      </c>
      <c r="O729" s="87" t="str">
        <f>IF($B729="","",IF(IFERROR(INDEX('RAID Log'!$1:$1048576,$B729,MATCH("Closed Date",'RAID Log'!$1:$1,0)),"")="","",IFERROR(INDEX('RAID Log'!$1:$1048576,$B729,MATCH("Closed Date",'RAID Log'!$1:$1,0)),"")))</f>
        <v/>
      </c>
      <c r="P729" s="85" t="str">
        <f>IF($B729="","",IF(IFERROR(INDEX('RAID Log'!$1:$1048576,$B729,MATCH("Mitigation Strategy",'RAID Log'!$1:$1,0)),"")="","",IFERROR(INDEX('RAID Log'!$1:$1048576,$B729,MATCH("Mitigation Strategy",'RAID Log'!$1:$1,0)),"")))</f>
        <v/>
      </c>
      <c r="Q729" s="88" t="str">
        <f>IF($B729="","",IF(IFERROR(INDEX('RAID Log'!$1:$1048576,$B729,MATCH("RAID Response/Plan",'RAID Log'!$1:$1,0)),"")="","",IFERROR(INDEX('RAID Log'!$1:$1048576,$B729,MATCH("RAID Response/Plan",'RAID Log'!$1:$1,0)),"")))</f>
        <v/>
      </c>
    </row>
    <row r="730" spans="1:17" ht="14.25" customHeight="1">
      <c r="A730" s="82" t="str">
        <f>IF($B730="","",IF(IFERROR(INDEX('RAID Log'!$1:$1048576,$B730,MATCH("RAID ID",'RAID Log'!$1:$1,0)),"")="","",IFERROR(INDEX('RAID Log'!$1:$1048576,$B730,MATCH("RAID ID",'RAID Log'!$1:$1,0)),"")))</f>
        <v/>
      </c>
      <c r="B730" s="83" t="str">
        <f>IFERROR(MATCH(ROW()-1,'RAID Log'!$S:$S,0),"")</f>
        <v/>
      </c>
      <c r="C730" s="84" t="str">
        <f>IF($B730="","",IF(IFERROR(INDEX('RAID Log'!$1:$1048576,$B730,MATCH("Description",'RAID Log'!$1:$1,0)),"")="","",IFERROR(INDEX('RAID Log'!$1:$1048576,$B730,MATCH("Description",'RAID Log'!$1:$1,0)),"")))</f>
        <v/>
      </c>
      <c r="D730" s="84" t="str">
        <f>IF($B730="","",IF(IFERROR(INDEX('RAID Log'!$1:$1048576,$B730,MATCH("Impact/Effect of the RAID",'RAID Log'!$1:$1,0)),"")="","",IFERROR(INDEX('RAID Log'!$1:$1048576,$B730,MATCH("Impact/Effect of the RAID",'RAID Log'!$1:$1,0)),"")))</f>
        <v/>
      </c>
      <c r="E730" s="85" t="str">
        <f>IF($B730="","",IF(IFERROR(INDEX('RAID Log'!$1:$1048576,$B730,MATCH("Impact Area",'RAID Log'!$1:$1,0)),"")="","",IFERROR(INDEX('RAID Log'!$1:$1048576,$B730,MATCH("Impact Area",'RAID Log'!$1:$1,0)),"")))</f>
        <v/>
      </c>
      <c r="F730" s="85" t="str">
        <f>IF($B730="","",IF(IFERROR(INDEX('RAID Log'!$1:$1048576,$B730,MATCH("Impact Area",'RAID Log'!$1:$1,0)),"")="","",IFERROR(INDEX('RAID Log'!$1:$1048576,$B730,MATCH("Impact Area",'RAID Log'!$1:$1,0)),"")))</f>
        <v/>
      </c>
      <c r="G730" s="85" t="str">
        <f>IF($B730="","",IF(IFERROR(INDEX('RAID Log'!$1:$1048576,$B730,MATCH("Impact Rating",'RAID Log'!$1:$1,0)),"")="","",IFERROR(INDEX('RAID Log'!$1:$1048576,$B730,MATCH("Impact Rating",'RAID Log'!$1:$1,0)),"")))</f>
        <v/>
      </c>
      <c r="H730" s="85" t="str">
        <f>IF($B730="","",IF(IFERROR(INDEX('RAID Log'!$1:$1048576,$B730,MATCH("Initial Probability",'RAID Log'!$1:$1,0)),"")="","",IFERROR(INDEX('RAID Log'!$1:$1048576,$B730,MATCH("Initial Probability",'RAID Log'!$1:$1,0)),"")))</f>
        <v/>
      </c>
      <c r="I730" s="86" t="str">
        <f t="shared" si="33"/>
        <v/>
      </c>
      <c r="J730" s="85" t="str">
        <f t="shared" si="34"/>
        <v/>
      </c>
      <c r="K730" s="86" t="str">
        <f t="shared" si="35"/>
        <v/>
      </c>
      <c r="L730" s="85" t="str">
        <f>IF($B730="","",IF(IFERROR(INDEX('RAID Log'!$1:$1048576,$B730,MATCH("Status",'RAID Log'!$1:$1,0)),"")="","",IFERROR(INDEX('RAID Log'!$1:$1048576,$B730,MATCH("Status",'RAID Log'!$1:$1,0)),"")))</f>
        <v/>
      </c>
      <c r="M730" s="85" t="str">
        <f>IF($B730="","",IF(IFERROR(INDEX('RAID Log'!$1:$1048576,$B730,MATCH("RAID Owner",'RAID Log'!$1:$1,0)),"")="","",IFERROR(INDEX('RAID Log'!$1:$1048576,$B730,MATCH("RAID Owner",'RAID Log'!$1:$1,0)),"")))</f>
        <v/>
      </c>
      <c r="N730" s="87" t="str">
        <f>IF($B730="","",IF(IFERROR(INDEX('RAID Log'!$1:$1048576,$B730,MATCH("Date Raised",'RAID Log'!$1:$1,0)),"")="","",IFERROR(INDEX('RAID Log'!$1:$1048576,$B730,MATCH("Date Raised",'RAID Log'!$1:$1,0)),"")))</f>
        <v/>
      </c>
      <c r="O730" s="87" t="str">
        <f>IF($B730="","",IF(IFERROR(INDEX('RAID Log'!$1:$1048576,$B730,MATCH("Closed Date",'RAID Log'!$1:$1,0)),"")="","",IFERROR(INDEX('RAID Log'!$1:$1048576,$B730,MATCH("Closed Date",'RAID Log'!$1:$1,0)),"")))</f>
        <v/>
      </c>
      <c r="P730" s="85" t="str">
        <f>IF($B730="","",IF(IFERROR(INDEX('RAID Log'!$1:$1048576,$B730,MATCH("Mitigation Strategy",'RAID Log'!$1:$1,0)),"")="","",IFERROR(INDEX('RAID Log'!$1:$1048576,$B730,MATCH("Mitigation Strategy",'RAID Log'!$1:$1,0)),"")))</f>
        <v/>
      </c>
      <c r="Q730" s="88" t="str">
        <f>IF($B730="","",IF(IFERROR(INDEX('RAID Log'!$1:$1048576,$B730,MATCH("RAID Response/Plan",'RAID Log'!$1:$1,0)),"")="","",IFERROR(INDEX('RAID Log'!$1:$1048576,$B730,MATCH("RAID Response/Plan",'RAID Log'!$1:$1,0)),"")))</f>
        <v/>
      </c>
    </row>
    <row r="731" spans="1:17" ht="14.25" customHeight="1">
      <c r="A731" s="82" t="str">
        <f>IF($B731="","",IF(IFERROR(INDEX('RAID Log'!$1:$1048576,$B731,MATCH("RAID ID",'RAID Log'!$1:$1,0)),"")="","",IFERROR(INDEX('RAID Log'!$1:$1048576,$B731,MATCH("RAID ID",'RAID Log'!$1:$1,0)),"")))</f>
        <v/>
      </c>
      <c r="B731" s="83" t="str">
        <f>IFERROR(MATCH(ROW()-1,'RAID Log'!$S:$S,0),"")</f>
        <v/>
      </c>
      <c r="C731" s="84" t="str">
        <f>IF($B731="","",IF(IFERROR(INDEX('RAID Log'!$1:$1048576,$B731,MATCH("Description",'RAID Log'!$1:$1,0)),"")="","",IFERROR(INDEX('RAID Log'!$1:$1048576,$B731,MATCH("Description",'RAID Log'!$1:$1,0)),"")))</f>
        <v/>
      </c>
      <c r="D731" s="84" t="str">
        <f>IF($B731="","",IF(IFERROR(INDEX('RAID Log'!$1:$1048576,$B731,MATCH("Impact/Effect of the RAID",'RAID Log'!$1:$1,0)),"")="","",IFERROR(INDEX('RAID Log'!$1:$1048576,$B731,MATCH("Impact/Effect of the RAID",'RAID Log'!$1:$1,0)),"")))</f>
        <v/>
      </c>
      <c r="E731" s="85" t="str">
        <f>IF($B731="","",IF(IFERROR(INDEX('RAID Log'!$1:$1048576,$B731,MATCH("Impact Area",'RAID Log'!$1:$1,0)),"")="","",IFERROR(INDEX('RAID Log'!$1:$1048576,$B731,MATCH("Impact Area",'RAID Log'!$1:$1,0)),"")))</f>
        <v/>
      </c>
      <c r="F731" s="85" t="str">
        <f>IF($B731="","",IF(IFERROR(INDEX('RAID Log'!$1:$1048576,$B731,MATCH("Impact Area",'RAID Log'!$1:$1,0)),"")="","",IFERROR(INDEX('RAID Log'!$1:$1048576,$B731,MATCH("Impact Area",'RAID Log'!$1:$1,0)),"")))</f>
        <v/>
      </c>
      <c r="G731" s="85" t="str">
        <f>IF($B731="","",IF(IFERROR(INDEX('RAID Log'!$1:$1048576,$B731,MATCH("Impact Rating",'RAID Log'!$1:$1,0)),"")="","",IFERROR(INDEX('RAID Log'!$1:$1048576,$B731,MATCH("Impact Rating",'RAID Log'!$1:$1,0)),"")))</f>
        <v/>
      </c>
      <c r="H731" s="85" t="str">
        <f>IF($B731="","",IF(IFERROR(INDEX('RAID Log'!$1:$1048576,$B731,MATCH("Initial Probability",'RAID Log'!$1:$1,0)),"")="","",IFERROR(INDEX('RAID Log'!$1:$1048576,$B731,MATCH("Initial Probability",'RAID Log'!$1:$1,0)),"")))</f>
        <v/>
      </c>
      <c r="I731" s="86" t="str">
        <f t="shared" si="33"/>
        <v/>
      </c>
      <c r="J731" s="85" t="str">
        <f t="shared" si="34"/>
        <v/>
      </c>
      <c r="K731" s="86" t="str">
        <f t="shared" si="35"/>
        <v/>
      </c>
      <c r="L731" s="85" t="str">
        <f>IF($B731="","",IF(IFERROR(INDEX('RAID Log'!$1:$1048576,$B731,MATCH("Status",'RAID Log'!$1:$1,0)),"")="","",IFERROR(INDEX('RAID Log'!$1:$1048576,$B731,MATCH("Status",'RAID Log'!$1:$1,0)),"")))</f>
        <v/>
      </c>
      <c r="M731" s="85" t="str">
        <f>IF($B731="","",IF(IFERROR(INDEX('RAID Log'!$1:$1048576,$B731,MATCH("RAID Owner",'RAID Log'!$1:$1,0)),"")="","",IFERROR(INDEX('RAID Log'!$1:$1048576,$B731,MATCH("RAID Owner",'RAID Log'!$1:$1,0)),"")))</f>
        <v/>
      </c>
      <c r="N731" s="87" t="str">
        <f>IF($B731="","",IF(IFERROR(INDEX('RAID Log'!$1:$1048576,$B731,MATCH("Date Raised",'RAID Log'!$1:$1,0)),"")="","",IFERROR(INDEX('RAID Log'!$1:$1048576,$B731,MATCH("Date Raised",'RAID Log'!$1:$1,0)),"")))</f>
        <v/>
      </c>
      <c r="O731" s="87" t="str">
        <f>IF($B731="","",IF(IFERROR(INDEX('RAID Log'!$1:$1048576,$B731,MATCH("Closed Date",'RAID Log'!$1:$1,0)),"")="","",IFERROR(INDEX('RAID Log'!$1:$1048576,$B731,MATCH("Closed Date",'RAID Log'!$1:$1,0)),"")))</f>
        <v/>
      </c>
      <c r="P731" s="85" t="str">
        <f>IF($B731="","",IF(IFERROR(INDEX('RAID Log'!$1:$1048576,$B731,MATCH("Mitigation Strategy",'RAID Log'!$1:$1,0)),"")="","",IFERROR(INDEX('RAID Log'!$1:$1048576,$B731,MATCH("Mitigation Strategy",'RAID Log'!$1:$1,0)),"")))</f>
        <v/>
      </c>
      <c r="Q731" s="88" t="str">
        <f>IF($B731="","",IF(IFERROR(INDEX('RAID Log'!$1:$1048576,$B731,MATCH("RAID Response/Plan",'RAID Log'!$1:$1,0)),"")="","",IFERROR(INDEX('RAID Log'!$1:$1048576,$B731,MATCH("RAID Response/Plan",'RAID Log'!$1:$1,0)),"")))</f>
        <v/>
      </c>
    </row>
    <row r="732" spans="1:17" ht="14.25" customHeight="1">
      <c r="A732" s="82" t="str">
        <f>IF($B732="","",IF(IFERROR(INDEX('RAID Log'!$1:$1048576,$B732,MATCH("RAID ID",'RAID Log'!$1:$1,0)),"")="","",IFERROR(INDEX('RAID Log'!$1:$1048576,$B732,MATCH("RAID ID",'RAID Log'!$1:$1,0)),"")))</f>
        <v/>
      </c>
      <c r="B732" s="83" t="str">
        <f>IFERROR(MATCH(ROW()-1,'RAID Log'!$S:$S,0),"")</f>
        <v/>
      </c>
      <c r="C732" s="84" t="str">
        <f>IF($B732="","",IF(IFERROR(INDEX('RAID Log'!$1:$1048576,$B732,MATCH("Description",'RAID Log'!$1:$1,0)),"")="","",IFERROR(INDEX('RAID Log'!$1:$1048576,$B732,MATCH("Description",'RAID Log'!$1:$1,0)),"")))</f>
        <v/>
      </c>
      <c r="D732" s="84" t="str">
        <f>IF($B732="","",IF(IFERROR(INDEX('RAID Log'!$1:$1048576,$B732,MATCH("Impact/Effect of the RAID",'RAID Log'!$1:$1,0)),"")="","",IFERROR(INDEX('RAID Log'!$1:$1048576,$B732,MATCH("Impact/Effect of the RAID",'RAID Log'!$1:$1,0)),"")))</f>
        <v/>
      </c>
      <c r="E732" s="85" t="str">
        <f>IF($B732="","",IF(IFERROR(INDEX('RAID Log'!$1:$1048576,$B732,MATCH("Impact Area",'RAID Log'!$1:$1,0)),"")="","",IFERROR(INDEX('RAID Log'!$1:$1048576,$B732,MATCH("Impact Area",'RAID Log'!$1:$1,0)),"")))</f>
        <v/>
      </c>
      <c r="F732" s="85" t="str">
        <f>IF($B732="","",IF(IFERROR(INDEX('RAID Log'!$1:$1048576,$B732,MATCH("Impact Area",'RAID Log'!$1:$1,0)),"")="","",IFERROR(INDEX('RAID Log'!$1:$1048576,$B732,MATCH("Impact Area",'RAID Log'!$1:$1,0)),"")))</f>
        <v/>
      </c>
      <c r="G732" s="85" t="str">
        <f>IF($B732="","",IF(IFERROR(INDEX('RAID Log'!$1:$1048576,$B732,MATCH("Impact Rating",'RAID Log'!$1:$1,0)),"")="","",IFERROR(INDEX('RAID Log'!$1:$1048576,$B732,MATCH("Impact Rating",'RAID Log'!$1:$1,0)),"")))</f>
        <v/>
      </c>
      <c r="H732" s="85" t="str">
        <f>IF($B732="","",IF(IFERROR(INDEX('RAID Log'!$1:$1048576,$B732,MATCH("Initial Probability",'RAID Log'!$1:$1,0)),"")="","",IFERROR(INDEX('RAID Log'!$1:$1048576,$B732,MATCH("Initial Probability",'RAID Log'!$1:$1,0)),"")))</f>
        <v/>
      </c>
      <c r="I732" s="86" t="str">
        <f t="shared" si="33"/>
        <v/>
      </c>
      <c r="J732" s="85" t="str">
        <f t="shared" si="34"/>
        <v/>
      </c>
      <c r="K732" s="86" t="str">
        <f t="shared" si="35"/>
        <v/>
      </c>
      <c r="L732" s="85" t="str">
        <f>IF($B732="","",IF(IFERROR(INDEX('RAID Log'!$1:$1048576,$B732,MATCH("Status",'RAID Log'!$1:$1,0)),"")="","",IFERROR(INDEX('RAID Log'!$1:$1048576,$B732,MATCH("Status",'RAID Log'!$1:$1,0)),"")))</f>
        <v/>
      </c>
      <c r="M732" s="85" t="str">
        <f>IF($B732="","",IF(IFERROR(INDEX('RAID Log'!$1:$1048576,$B732,MATCH("RAID Owner",'RAID Log'!$1:$1,0)),"")="","",IFERROR(INDEX('RAID Log'!$1:$1048576,$B732,MATCH("RAID Owner",'RAID Log'!$1:$1,0)),"")))</f>
        <v/>
      </c>
      <c r="N732" s="87" t="str">
        <f>IF($B732="","",IF(IFERROR(INDEX('RAID Log'!$1:$1048576,$B732,MATCH("Date Raised",'RAID Log'!$1:$1,0)),"")="","",IFERROR(INDEX('RAID Log'!$1:$1048576,$B732,MATCH("Date Raised",'RAID Log'!$1:$1,0)),"")))</f>
        <v/>
      </c>
      <c r="O732" s="87" t="str">
        <f>IF($B732="","",IF(IFERROR(INDEX('RAID Log'!$1:$1048576,$B732,MATCH("Closed Date",'RAID Log'!$1:$1,0)),"")="","",IFERROR(INDEX('RAID Log'!$1:$1048576,$B732,MATCH("Closed Date",'RAID Log'!$1:$1,0)),"")))</f>
        <v/>
      </c>
      <c r="P732" s="85" t="str">
        <f>IF($B732="","",IF(IFERROR(INDEX('RAID Log'!$1:$1048576,$B732,MATCH("Mitigation Strategy",'RAID Log'!$1:$1,0)),"")="","",IFERROR(INDEX('RAID Log'!$1:$1048576,$B732,MATCH("Mitigation Strategy",'RAID Log'!$1:$1,0)),"")))</f>
        <v/>
      </c>
      <c r="Q732" s="88" t="str">
        <f>IF($B732="","",IF(IFERROR(INDEX('RAID Log'!$1:$1048576,$B732,MATCH("RAID Response/Plan",'RAID Log'!$1:$1,0)),"")="","",IFERROR(INDEX('RAID Log'!$1:$1048576,$B732,MATCH("RAID Response/Plan",'RAID Log'!$1:$1,0)),"")))</f>
        <v/>
      </c>
    </row>
    <row r="733" spans="1:17" ht="14.25" customHeight="1">
      <c r="A733" s="82" t="str">
        <f>IF($B733="","",IF(IFERROR(INDEX('RAID Log'!$1:$1048576,$B733,MATCH("RAID ID",'RAID Log'!$1:$1,0)),"")="","",IFERROR(INDEX('RAID Log'!$1:$1048576,$B733,MATCH("RAID ID",'RAID Log'!$1:$1,0)),"")))</f>
        <v/>
      </c>
      <c r="B733" s="83" t="str">
        <f>IFERROR(MATCH(ROW()-1,'RAID Log'!$S:$S,0),"")</f>
        <v/>
      </c>
      <c r="C733" s="84" t="str">
        <f>IF($B733="","",IF(IFERROR(INDEX('RAID Log'!$1:$1048576,$B733,MATCH("Description",'RAID Log'!$1:$1,0)),"")="","",IFERROR(INDEX('RAID Log'!$1:$1048576,$B733,MATCH("Description",'RAID Log'!$1:$1,0)),"")))</f>
        <v/>
      </c>
      <c r="D733" s="84" t="str">
        <f>IF($B733="","",IF(IFERROR(INDEX('RAID Log'!$1:$1048576,$B733,MATCH("Impact/Effect of the RAID",'RAID Log'!$1:$1,0)),"")="","",IFERROR(INDEX('RAID Log'!$1:$1048576,$B733,MATCH("Impact/Effect of the RAID",'RAID Log'!$1:$1,0)),"")))</f>
        <v/>
      </c>
      <c r="E733" s="85" t="str">
        <f>IF($B733="","",IF(IFERROR(INDEX('RAID Log'!$1:$1048576,$B733,MATCH("Impact Area",'RAID Log'!$1:$1,0)),"")="","",IFERROR(INDEX('RAID Log'!$1:$1048576,$B733,MATCH("Impact Area",'RAID Log'!$1:$1,0)),"")))</f>
        <v/>
      </c>
      <c r="F733" s="85" t="str">
        <f>IF($B733="","",IF(IFERROR(INDEX('RAID Log'!$1:$1048576,$B733,MATCH("Impact Area",'RAID Log'!$1:$1,0)),"")="","",IFERROR(INDEX('RAID Log'!$1:$1048576,$B733,MATCH("Impact Area",'RAID Log'!$1:$1,0)),"")))</f>
        <v/>
      </c>
      <c r="G733" s="85" t="str">
        <f>IF($B733="","",IF(IFERROR(INDEX('RAID Log'!$1:$1048576,$B733,MATCH("Impact Rating",'RAID Log'!$1:$1,0)),"")="","",IFERROR(INDEX('RAID Log'!$1:$1048576,$B733,MATCH("Impact Rating",'RAID Log'!$1:$1,0)),"")))</f>
        <v/>
      </c>
      <c r="H733" s="85" t="str">
        <f>IF($B733="","",IF(IFERROR(INDEX('RAID Log'!$1:$1048576,$B733,MATCH("Initial Probability",'RAID Log'!$1:$1,0)),"")="","",IFERROR(INDEX('RAID Log'!$1:$1048576,$B733,MATCH("Initial Probability",'RAID Log'!$1:$1,0)),"")))</f>
        <v/>
      </c>
      <c r="I733" s="86" t="str">
        <f t="shared" si="33"/>
        <v/>
      </c>
      <c r="J733" s="85" t="str">
        <f t="shared" si="34"/>
        <v/>
      </c>
      <c r="K733" s="86" t="str">
        <f t="shared" si="35"/>
        <v/>
      </c>
      <c r="L733" s="85" t="str">
        <f>IF($B733="","",IF(IFERROR(INDEX('RAID Log'!$1:$1048576,$B733,MATCH("Status",'RAID Log'!$1:$1,0)),"")="","",IFERROR(INDEX('RAID Log'!$1:$1048576,$B733,MATCH("Status",'RAID Log'!$1:$1,0)),"")))</f>
        <v/>
      </c>
      <c r="M733" s="85" t="str">
        <f>IF($B733="","",IF(IFERROR(INDEX('RAID Log'!$1:$1048576,$B733,MATCH("RAID Owner",'RAID Log'!$1:$1,0)),"")="","",IFERROR(INDEX('RAID Log'!$1:$1048576,$B733,MATCH("RAID Owner",'RAID Log'!$1:$1,0)),"")))</f>
        <v/>
      </c>
      <c r="N733" s="87" t="str">
        <f>IF($B733="","",IF(IFERROR(INDEX('RAID Log'!$1:$1048576,$B733,MATCH("Date Raised",'RAID Log'!$1:$1,0)),"")="","",IFERROR(INDEX('RAID Log'!$1:$1048576,$B733,MATCH("Date Raised",'RAID Log'!$1:$1,0)),"")))</f>
        <v/>
      </c>
      <c r="O733" s="87" t="str">
        <f>IF($B733="","",IF(IFERROR(INDEX('RAID Log'!$1:$1048576,$B733,MATCH("Closed Date",'RAID Log'!$1:$1,0)),"")="","",IFERROR(INDEX('RAID Log'!$1:$1048576,$B733,MATCH("Closed Date",'RAID Log'!$1:$1,0)),"")))</f>
        <v/>
      </c>
      <c r="P733" s="85" t="str">
        <f>IF($B733="","",IF(IFERROR(INDEX('RAID Log'!$1:$1048576,$B733,MATCH("Mitigation Strategy",'RAID Log'!$1:$1,0)),"")="","",IFERROR(INDEX('RAID Log'!$1:$1048576,$B733,MATCH("Mitigation Strategy",'RAID Log'!$1:$1,0)),"")))</f>
        <v/>
      </c>
      <c r="Q733" s="88" t="str">
        <f>IF($B733="","",IF(IFERROR(INDEX('RAID Log'!$1:$1048576,$B733,MATCH("RAID Response/Plan",'RAID Log'!$1:$1,0)),"")="","",IFERROR(INDEX('RAID Log'!$1:$1048576,$B733,MATCH("RAID Response/Plan",'RAID Log'!$1:$1,0)),"")))</f>
        <v/>
      </c>
    </row>
    <row r="734" spans="1:17" ht="14.25" customHeight="1">
      <c r="A734" s="82" t="str">
        <f>IF($B734="","",IF(IFERROR(INDEX('RAID Log'!$1:$1048576,$B734,MATCH("RAID ID",'RAID Log'!$1:$1,0)),"")="","",IFERROR(INDEX('RAID Log'!$1:$1048576,$B734,MATCH("RAID ID",'RAID Log'!$1:$1,0)),"")))</f>
        <v/>
      </c>
      <c r="B734" s="83" t="str">
        <f>IFERROR(MATCH(ROW()-1,'RAID Log'!$S:$S,0),"")</f>
        <v/>
      </c>
      <c r="C734" s="84" t="str">
        <f>IF($B734="","",IF(IFERROR(INDEX('RAID Log'!$1:$1048576,$B734,MATCH("Description",'RAID Log'!$1:$1,0)),"")="","",IFERROR(INDEX('RAID Log'!$1:$1048576,$B734,MATCH("Description",'RAID Log'!$1:$1,0)),"")))</f>
        <v/>
      </c>
      <c r="D734" s="84" t="str">
        <f>IF($B734="","",IF(IFERROR(INDEX('RAID Log'!$1:$1048576,$B734,MATCH("Impact/Effect of the RAID",'RAID Log'!$1:$1,0)),"")="","",IFERROR(INDEX('RAID Log'!$1:$1048576,$B734,MATCH("Impact/Effect of the RAID",'RAID Log'!$1:$1,0)),"")))</f>
        <v/>
      </c>
      <c r="E734" s="85" t="str">
        <f>IF($B734="","",IF(IFERROR(INDEX('RAID Log'!$1:$1048576,$B734,MATCH("Impact Area",'RAID Log'!$1:$1,0)),"")="","",IFERROR(INDEX('RAID Log'!$1:$1048576,$B734,MATCH("Impact Area",'RAID Log'!$1:$1,0)),"")))</f>
        <v/>
      </c>
      <c r="F734" s="85" t="str">
        <f>IF($B734="","",IF(IFERROR(INDEX('RAID Log'!$1:$1048576,$B734,MATCH("Impact Area",'RAID Log'!$1:$1,0)),"")="","",IFERROR(INDEX('RAID Log'!$1:$1048576,$B734,MATCH("Impact Area",'RAID Log'!$1:$1,0)),"")))</f>
        <v/>
      </c>
      <c r="G734" s="85" t="str">
        <f>IF($B734="","",IF(IFERROR(INDEX('RAID Log'!$1:$1048576,$B734,MATCH("Impact Rating",'RAID Log'!$1:$1,0)),"")="","",IFERROR(INDEX('RAID Log'!$1:$1048576,$B734,MATCH("Impact Rating",'RAID Log'!$1:$1,0)),"")))</f>
        <v/>
      </c>
      <c r="H734" s="85" t="str">
        <f>IF($B734="","",IF(IFERROR(INDEX('RAID Log'!$1:$1048576,$B734,MATCH("Initial Probability",'RAID Log'!$1:$1,0)),"")="","",IFERROR(INDEX('RAID Log'!$1:$1048576,$B734,MATCH("Initial Probability",'RAID Log'!$1:$1,0)),"")))</f>
        <v/>
      </c>
      <c r="I734" s="86" t="str">
        <f t="shared" si="33"/>
        <v/>
      </c>
      <c r="J734" s="85" t="str">
        <f t="shared" si="34"/>
        <v/>
      </c>
      <c r="K734" s="86" t="str">
        <f t="shared" si="35"/>
        <v/>
      </c>
      <c r="L734" s="85" t="str">
        <f>IF($B734="","",IF(IFERROR(INDEX('RAID Log'!$1:$1048576,$B734,MATCH("Status",'RAID Log'!$1:$1,0)),"")="","",IFERROR(INDEX('RAID Log'!$1:$1048576,$B734,MATCH("Status",'RAID Log'!$1:$1,0)),"")))</f>
        <v/>
      </c>
      <c r="M734" s="85" t="str">
        <f>IF($B734="","",IF(IFERROR(INDEX('RAID Log'!$1:$1048576,$B734,MATCH("RAID Owner",'RAID Log'!$1:$1,0)),"")="","",IFERROR(INDEX('RAID Log'!$1:$1048576,$B734,MATCH("RAID Owner",'RAID Log'!$1:$1,0)),"")))</f>
        <v/>
      </c>
      <c r="N734" s="87" t="str">
        <f>IF($B734="","",IF(IFERROR(INDEX('RAID Log'!$1:$1048576,$B734,MATCH("Date Raised",'RAID Log'!$1:$1,0)),"")="","",IFERROR(INDEX('RAID Log'!$1:$1048576,$B734,MATCH("Date Raised",'RAID Log'!$1:$1,0)),"")))</f>
        <v/>
      </c>
      <c r="O734" s="87" t="str">
        <f>IF($B734="","",IF(IFERROR(INDEX('RAID Log'!$1:$1048576,$B734,MATCH("Closed Date",'RAID Log'!$1:$1,0)),"")="","",IFERROR(INDEX('RAID Log'!$1:$1048576,$B734,MATCH("Closed Date",'RAID Log'!$1:$1,0)),"")))</f>
        <v/>
      </c>
      <c r="P734" s="85" t="str">
        <f>IF($B734="","",IF(IFERROR(INDEX('RAID Log'!$1:$1048576,$B734,MATCH("Mitigation Strategy",'RAID Log'!$1:$1,0)),"")="","",IFERROR(INDEX('RAID Log'!$1:$1048576,$B734,MATCH("Mitigation Strategy",'RAID Log'!$1:$1,0)),"")))</f>
        <v/>
      </c>
      <c r="Q734" s="88" t="str">
        <f>IF($B734="","",IF(IFERROR(INDEX('RAID Log'!$1:$1048576,$B734,MATCH("RAID Response/Plan",'RAID Log'!$1:$1,0)),"")="","",IFERROR(INDEX('RAID Log'!$1:$1048576,$B734,MATCH("RAID Response/Plan",'RAID Log'!$1:$1,0)),"")))</f>
        <v/>
      </c>
    </row>
    <row r="735" spans="1:17" ht="14.25" customHeight="1">
      <c r="A735" s="82" t="str">
        <f>IF($B735="","",IF(IFERROR(INDEX('RAID Log'!$1:$1048576,$B735,MATCH("RAID ID",'RAID Log'!$1:$1,0)),"")="","",IFERROR(INDEX('RAID Log'!$1:$1048576,$B735,MATCH("RAID ID",'RAID Log'!$1:$1,0)),"")))</f>
        <v/>
      </c>
      <c r="B735" s="83" t="str">
        <f>IFERROR(MATCH(ROW()-1,'RAID Log'!$S:$S,0),"")</f>
        <v/>
      </c>
      <c r="C735" s="84" t="str">
        <f>IF($B735="","",IF(IFERROR(INDEX('RAID Log'!$1:$1048576,$B735,MATCH("Description",'RAID Log'!$1:$1,0)),"")="","",IFERROR(INDEX('RAID Log'!$1:$1048576,$B735,MATCH("Description",'RAID Log'!$1:$1,0)),"")))</f>
        <v/>
      </c>
      <c r="D735" s="84" t="str">
        <f>IF($B735="","",IF(IFERROR(INDEX('RAID Log'!$1:$1048576,$B735,MATCH("Impact/Effect of the RAID",'RAID Log'!$1:$1,0)),"")="","",IFERROR(INDEX('RAID Log'!$1:$1048576,$B735,MATCH("Impact/Effect of the RAID",'RAID Log'!$1:$1,0)),"")))</f>
        <v/>
      </c>
      <c r="E735" s="85" t="str">
        <f>IF($B735="","",IF(IFERROR(INDEX('RAID Log'!$1:$1048576,$B735,MATCH("Impact Area",'RAID Log'!$1:$1,0)),"")="","",IFERROR(INDEX('RAID Log'!$1:$1048576,$B735,MATCH("Impact Area",'RAID Log'!$1:$1,0)),"")))</f>
        <v/>
      </c>
      <c r="F735" s="85" t="str">
        <f>IF($B735="","",IF(IFERROR(INDEX('RAID Log'!$1:$1048576,$B735,MATCH("Impact Area",'RAID Log'!$1:$1,0)),"")="","",IFERROR(INDEX('RAID Log'!$1:$1048576,$B735,MATCH("Impact Area",'RAID Log'!$1:$1,0)),"")))</f>
        <v/>
      </c>
      <c r="G735" s="85" t="str">
        <f>IF($B735="","",IF(IFERROR(INDEX('RAID Log'!$1:$1048576,$B735,MATCH("Impact Rating",'RAID Log'!$1:$1,0)),"")="","",IFERROR(INDEX('RAID Log'!$1:$1048576,$B735,MATCH("Impact Rating",'RAID Log'!$1:$1,0)),"")))</f>
        <v/>
      </c>
      <c r="H735" s="85" t="str">
        <f>IF($B735="","",IF(IFERROR(INDEX('RAID Log'!$1:$1048576,$B735,MATCH("Initial Probability",'RAID Log'!$1:$1,0)),"")="","",IFERROR(INDEX('RAID Log'!$1:$1048576,$B735,MATCH("Initial Probability",'RAID Log'!$1:$1,0)),"")))</f>
        <v/>
      </c>
      <c r="I735" s="86" t="str">
        <f t="shared" si="33"/>
        <v/>
      </c>
      <c r="J735" s="85" t="str">
        <f t="shared" si="34"/>
        <v/>
      </c>
      <c r="K735" s="86" t="str">
        <f t="shared" si="35"/>
        <v/>
      </c>
      <c r="L735" s="85" t="str">
        <f>IF($B735="","",IF(IFERROR(INDEX('RAID Log'!$1:$1048576,$B735,MATCH("Status",'RAID Log'!$1:$1,0)),"")="","",IFERROR(INDEX('RAID Log'!$1:$1048576,$B735,MATCH("Status",'RAID Log'!$1:$1,0)),"")))</f>
        <v/>
      </c>
      <c r="M735" s="85" t="str">
        <f>IF($B735="","",IF(IFERROR(INDEX('RAID Log'!$1:$1048576,$B735,MATCH("RAID Owner",'RAID Log'!$1:$1,0)),"")="","",IFERROR(INDEX('RAID Log'!$1:$1048576,$B735,MATCH("RAID Owner",'RAID Log'!$1:$1,0)),"")))</f>
        <v/>
      </c>
      <c r="N735" s="87" t="str">
        <f>IF($B735="","",IF(IFERROR(INDEX('RAID Log'!$1:$1048576,$B735,MATCH("Date Raised",'RAID Log'!$1:$1,0)),"")="","",IFERROR(INDEX('RAID Log'!$1:$1048576,$B735,MATCH("Date Raised",'RAID Log'!$1:$1,0)),"")))</f>
        <v/>
      </c>
      <c r="O735" s="87" t="str">
        <f>IF($B735="","",IF(IFERROR(INDEX('RAID Log'!$1:$1048576,$B735,MATCH("Closed Date",'RAID Log'!$1:$1,0)),"")="","",IFERROR(INDEX('RAID Log'!$1:$1048576,$B735,MATCH("Closed Date",'RAID Log'!$1:$1,0)),"")))</f>
        <v/>
      </c>
      <c r="P735" s="85" t="str">
        <f>IF($B735="","",IF(IFERROR(INDEX('RAID Log'!$1:$1048576,$B735,MATCH("Mitigation Strategy",'RAID Log'!$1:$1,0)),"")="","",IFERROR(INDEX('RAID Log'!$1:$1048576,$B735,MATCH("Mitigation Strategy",'RAID Log'!$1:$1,0)),"")))</f>
        <v/>
      </c>
      <c r="Q735" s="88" t="str">
        <f>IF($B735="","",IF(IFERROR(INDEX('RAID Log'!$1:$1048576,$B735,MATCH("RAID Response/Plan",'RAID Log'!$1:$1,0)),"")="","",IFERROR(INDEX('RAID Log'!$1:$1048576,$B735,MATCH("RAID Response/Plan",'RAID Log'!$1:$1,0)),"")))</f>
        <v/>
      </c>
    </row>
    <row r="736" spans="1:17" ht="14.25" customHeight="1">
      <c r="A736" s="82" t="str">
        <f>IF($B736="","",IF(IFERROR(INDEX('RAID Log'!$1:$1048576,$B736,MATCH("RAID ID",'RAID Log'!$1:$1,0)),"")="","",IFERROR(INDEX('RAID Log'!$1:$1048576,$B736,MATCH("RAID ID",'RAID Log'!$1:$1,0)),"")))</f>
        <v/>
      </c>
      <c r="B736" s="83" t="str">
        <f>IFERROR(MATCH(ROW()-1,'RAID Log'!$S:$S,0),"")</f>
        <v/>
      </c>
      <c r="C736" s="84" t="str">
        <f>IF($B736="","",IF(IFERROR(INDEX('RAID Log'!$1:$1048576,$B736,MATCH("Description",'RAID Log'!$1:$1,0)),"")="","",IFERROR(INDEX('RAID Log'!$1:$1048576,$B736,MATCH("Description",'RAID Log'!$1:$1,0)),"")))</f>
        <v/>
      </c>
      <c r="D736" s="84" t="str">
        <f>IF($B736="","",IF(IFERROR(INDEX('RAID Log'!$1:$1048576,$B736,MATCH("Impact/Effect of the RAID",'RAID Log'!$1:$1,0)),"")="","",IFERROR(INDEX('RAID Log'!$1:$1048576,$B736,MATCH("Impact/Effect of the RAID",'RAID Log'!$1:$1,0)),"")))</f>
        <v/>
      </c>
      <c r="E736" s="85" t="str">
        <f>IF($B736="","",IF(IFERROR(INDEX('RAID Log'!$1:$1048576,$B736,MATCH("Impact Area",'RAID Log'!$1:$1,0)),"")="","",IFERROR(INDEX('RAID Log'!$1:$1048576,$B736,MATCH("Impact Area",'RAID Log'!$1:$1,0)),"")))</f>
        <v/>
      </c>
      <c r="F736" s="85" t="str">
        <f>IF($B736="","",IF(IFERROR(INDEX('RAID Log'!$1:$1048576,$B736,MATCH("Impact Area",'RAID Log'!$1:$1,0)),"")="","",IFERROR(INDEX('RAID Log'!$1:$1048576,$B736,MATCH("Impact Area",'RAID Log'!$1:$1,0)),"")))</f>
        <v/>
      </c>
      <c r="G736" s="85" t="str">
        <f>IF($B736="","",IF(IFERROR(INDEX('RAID Log'!$1:$1048576,$B736,MATCH("Impact Rating",'RAID Log'!$1:$1,0)),"")="","",IFERROR(INDEX('RAID Log'!$1:$1048576,$B736,MATCH("Impact Rating",'RAID Log'!$1:$1,0)),"")))</f>
        <v/>
      </c>
      <c r="H736" s="85" t="str">
        <f>IF($B736="","",IF(IFERROR(INDEX('RAID Log'!$1:$1048576,$B736,MATCH("Initial Probability",'RAID Log'!$1:$1,0)),"")="","",IFERROR(INDEX('RAID Log'!$1:$1048576,$B736,MATCH("Initial Probability",'RAID Log'!$1:$1,0)),"")))</f>
        <v/>
      </c>
      <c r="I736" s="86" t="str">
        <f t="shared" si="33"/>
        <v/>
      </c>
      <c r="J736" s="85" t="str">
        <f t="shared" si="34"/>
        <v/>
      </c>
      <c r="K736" s="86" t="str">
        <f t="shared" si="35"/>
        <v/>
      </c>
      <c r="L736" s="85" t="str">
        <f>IF($B736="","",IF(IFERROR(INDEX('RAID Log'!$1:$1048576,$B736,MATCH("Status",'RAID Log'!$1:$1,0)),"")="","",IFERROR(INDEX('RAID Log'!$1:$1048576,$B736,MATCH("Status",'RAID Log'!$1:$1,0)),"")))</f>
        <v/>
      </c>
      <c r="M736" s="85" t="str">
        <f>IF($B736="","",IF(IFERROR(INDEX('RAID Log'!$1:$1048576,$B736,MATCH("RAID Owner",'RAID Log'!$1:$1,0)),"")="","",IFERROR(INDEX('RAID Log'!$1:$1048576,$B736,MATCH("RAID Owner",'RAID Log'!$1:$1,0)),"")))</f>
        <v/>
      </c>
      <c r="N736" s="87" t="str">
        <f>IF($B736="","",IF(IFERROR(INDEX('RAID Log'!$1:$1048576,$B736,MATCH("Date Raised",'RAID Log'!$1:$1,0)),"")="","",IFERROR(INDEX('RAID Log'!$1:$1048576,$B736,MATCH("Date Raised",'RAID Log'!$1:$1,0)),"")))</f>
        <v/>
      </c>
      <c r="O736" s="87" t="str">
        <f>IF($B736="","",IF(IFERROR(INDEX('RAID Log'!$1:$1048576,$B736,MATCH("Closed Date",'RAID Log'!$1:$1,0)),"")="","",IFERROR(INDEX('RAID Log'!$1:$1048576,$B736,MATCH("Closed Date",'RAID Log'!$1:$1,0)),"")))</f>
        <v/>
      </c>
      <c r="P736" s="85" t="str">
        <f>IF($B736="","",IF(IFERROR(INDEX('RAID Log'!$1:$1048576,$B736,MATCH("Mitigation Strategy",'RAID Log'!$1:$1,0)),"")="","",IFERROR(INDEX('RAID Log'!$1:$1048576,$B736,MATCH("Mitigation Strategy",'RAID Log'!$1:$1,0)),"")))</f>
        <v/>
      </c>
      <c r="Q736" s="88" t="str">
        <f>IF($B736="","",IF(IFERROR(INDEX('RAID Log'!$1:$1048576,$B736,MATCH("RAID Response/Plan",'RAID Log'!$1:$1,0)),"")="","",IFERROR(INDEX('RAID Log'!$1:$1048576,$B736,MATCH("RAID Response/Plan",'RAID Log'!$1:$1,0)),"")))</f>
        <v/>
      </c>
    </row>
    <row r="737" spans="1:17" ht="14.25" customHeight="1">
      <c r="A737" s="82" t="str">
        <f>IF($B737="","",IF(IFERROR(INDEX('RAID Log'!$1:$1048576,$B737,MATCH("RAID ID",'RAID Log'!$1:$1,0)),"")="","",IFERROR(INDEX('RAID Log'!$1:$1048576,$B737,MATCH("RAID ID",'RAID Log'!$1:$1,0)),"")))</f>
        <v/>
      </c>
      <c r="B737" s="83" t="str">
        <f>IFERROR(MATCH(ROW()-1,'RAID Log'!$S:$S,0),"")</f>
        <v/>
      </c>
      <c r="C737" s="84" t="str">
        <f>IF($B737="","",IF(IFERROR(INDEX('RAID Log'!$1:$1048576,$B737,MATCH("Description",'RAID Log'!$1:$1,0)),"")="","",IFERROR(INDEX('RAID Log'!$1:$1048576,$B737,MATCH("Description",'RAID Log'!$1:$1,0)),"")))</f>
        <v/>
      </c>
      <c r="D737" s="84" t="str">
        <f>IF($B737="","",IF(IFERROR(INDEX('RAID Log'!$1:$1048576,$B737,MATCH("Impact/Effect of the RAID",'RAID Log'!$1:$1,0)),"")="","",IFERROR(INDEX('RAID Log'!$1:$1048576,$B737,MATCH("Impact/Effect of the RAID",'RAID Log'!$1:$1,0)),"")))</f>
        <v/>
      </c>
      <c r="E737" s="85" t="str">
        <f>IF($B737="","",IF(IFERROR(INDEX('RAID Log'!$1:$1048576,$B737,MATCH("Impact Area",'RAID Log'!$1:$1,0)),"")="","",IFERROR(INDEX('RAID Log'!$1:$1048576,$B737,MATCH("Impact Area",'RAID Log'!$1:$1,0)),"")))</f>
        <v/>
      </c>
      <c r="F737" s="85" t="str">
        <f>IF($B737="","",IF(IFERROR(INDEX('RAID Log'!$1:$1048576,$B737,MATCH("Impact Area",'RAID Log'!$1:$1,0)),"")="","",IFERROR(INDEX('RAID Log'!$1:$1048576,$B737,MATCH("Impact Area",'RAID Log'!$1:$1,0)),"")))</f>
        <v/>
      </c>
      <c r="G737" s="85" t="str">
        <f>IF($B737="","",IF(IFERROR(INDEX('RAID Log'!$1:$1048576,$B737,MATCH("Impact Rating",'RAID Log'!$1:$1,0)),"")="","",IFERROR(INDEX('RAID Log'!$1:$1048576,$B737,MATCH("Impact Rating",'RAID Log'!$1:$1,0)),"")))</f>
        <v/>
      </c>
      <c r="H737" s="85" t="str">
        <f>IF($B737="","",IF(IFERROR(INDEX('RAID Log'!$1:$1048576,$B737,MATCH("Initial Probability",'RAID Log'!$1:$1,0)),"")="","",IFERROR(INDEX('RAID Log'!$1:$1048576,$B737,MATCH("Initial Probability",'RAID Log'!$1:$1,0)),"")))</f>
        <v/>
      </c>
      <c r="I737" s="86" t="str">
        <f t="shared" si="33"/>
        <v/>
      </c>
      <c r="J737" s="85" t="str">
        <f t="shared" si="34"/>
        <v/>
      </c>
      <c r="K737" s="86" t="str">
        <f t="shared" si="35"/>
        <v/>
      </c>
      <c r="L737" s="85" t="str">
        <f>IF($B737="","",IF(IFERROR(INDEX('RAID Log'!$1:$1048576,$B737,MATCH("Status",'RAID Log'!$1:$1,0)),"")="","",IFERROR(INDEX('RAID Log'!$1:$1048576,$B737,MATCH("Status",'RAID Log'!$1:$1,0)),"")))</f>
        <v/>
      </c>
      <c r="M737" s="85" t="str">
        <f>IF($B737="","",IF(IFERROR(INDEX('RAID Log'!$1:$1048576,$B737,MATCH("RAID Owner",'RAID Log'!$1:$1,0)),"")="","",IFERROR(INDEX('RAID Log'!$1:$1048576,$B737,MATCH("RAID Owner",'RAID Log'!$1:$1,0)),"")))</f>
        <v/>
      </c>
      <c r="N737" s="87" t="str">
        <f>IF($B737="","",IF(IFERROR(INDEX('RAID Log'!$1:$1048576,$B737,MATCH("Date Raised",'RAID Log'!$1:$1,0)),"")="","",IFERROR(INDEX('RAID Log'!$1:$1048576,$B737,MATCH("Date Raised",'RAID Log'!$1:$1,0)),"")))</f>
        <v/>
      </c>
      <c r="O737" s="87" t="str">
        <f>IF($B737="","",IF(IFERROR(INDEX('RAID Log'!$1:$1048576,$B737,MATCH("Closed Date",'RAID Log'!$1:$1,0)),"")="","",IFERROR(INDEX('RAID Log'!$1:$1048576,$B737,MATCH("Closed Date",'RAID Log'!$1:$1,0)),"")))</f>
        <v/>
      </c>
      <c r="P737" s="85" t="str">
        <f>IF($B737="","",IF(IFERROR(INDEX('RAID Log'!$1:$1048576,$B737,MATCH("Mitigation Strategy",'RAID Log'!$1:$1,0)),"")="","",IFERROR(INDEX('RAID Log'!$1:$1048576,$B737,MATCH("Mitigation Strategy",'RAID Log'!$1:$1,0)),"")))</f>
        <v/>
      </c>
      <c r="Q737" s="88" t="str">
        <f>IF($B737="","",IF(IFERROR(INDEX('RAID Log'!$1:$1048576,$B737,MATCH("RAID Response/Plan",'RAID Log'!$1:$1,0)),"")="","",IFERROR(INDEX('RAID Log'!$1:$1048576,$B737,MATCH("RAID Response/Plan",'RAID Log'!$1:$1,0)),"")))</f>
        <v/>
      </c>
    </row>
    <row r="738" spans="1:17" ht="14.25" customHeight="1">
      <c r="A738" s="82" t="str">
        <f>IF($B738="","",IF(IFERROR(INDEX('RAID Log'!$1:$1048576,$B738,MATCH("RAID ID",'RAID Log'!$1:$1,0)),"")="","",IFERROR(INDEX('RAID Log'!$1:$1048576,$B738,MATCH("RAID ID",'RAID Log'!$1:$1,0)),"")))</f>
        <v/>
      </c>
      <c r="B738" s="83" t="str">
        <f>IFERROR(MATCH(ROW()-1,'RAID Log'!$S:$S,0),"")</f>
        <v/>
      </c>
      <c r="C738" s="84" t="str">
        <f>IF($B738="","",IF(IFERROR(INDEX('RAID Log'!$1:$1048576,$B738,MATCH("Description",'RAID Log'!$1:$1,0)),"")="","",IFERROR(INDEX('RAID Log'!$1:$1048576,$B738,MATCH("Description",'RAID Log'!$1:$1,0)),"")))</f>
        <v/>
      </c>
      <c r="D738" s="84" t="str">
        <f>IF($B738="","",IF(IFERROR(INDEX('RAID Log'!$1:$1048576,$B738,MATCH("Impact/Effect of the RAID",'RAID Log'!$1:$1,0)),"")="","",IFERROR(INDEX('RAID Log'!$1:$1048576,$B738,MATCH("Impact/Effect of the RAID",'RAID Log'!$1:$1,0)),"")))</f>
        <v/>
      </c>
      <c r="E738" s="85" t="str">
        <f>IF($B738="","",IF(IFERROR(INDEX('RAID Log'!$1:$1048576,$B738,MATCH("Impact Area",'RAID Log'!$1:$1,0)),"")="","",IFERROR(INDEX('RAID Log'!$1:$1048576,$B738,MATCH("Impact Area",'RAID Log'!$1:$1,0)),"")))</f>
        <v/>
      </c>
      <c r="F738" s="85" t="str">
        <f>IF($B738="","",IF(IFERROR(INDEX('RAID Log'!$1:$1048576,$B738,MATCH("Impact Area",'RAID Log'!$1:$1,0)),"")="","",IFERROR(INDEX('RAID Log'!$1:$1048576,$B738,MATCH("Impact Area",'RAID Log'!$1:$1,0)),"")))</f>
        <v/>
      </c>
      <c r="G738" s="85" t="str">
        <f>IF($B738="","",IF(IFERROR(INDEX('RAID Log'!$1:$1048576,$B738,MATCH("Impact Rating",'RAID Log'!$1:$1,0)),"")="","",IFERROR(INDEX('RAID Log'!$1:$1048576,$B738,MATCH("Impact Rating",'RAID Log'!$1:$1,0)),"")))</f>
        <v/>
      </c>
      <c r="H738" s="85" t="str">
        <f>IF($B738="","",IF(IFERROR(INDEX('RAID Log'!$1:$1048576,$B738,MATCH("Initial Probability",'RAID Log'!$1:$1,0)),"")="","",IFERROR(INDEX('RAID Log'!$1:$1048576,$B738,MATCH("Initial Probability",'RAID Log'!$1:$1,0)),"")))</f>
        <v/>
      </c>
      <c r="I738" s="86" t="str">
        <f t="shared" si="33"/>
        <v/>
      </c>
      <c r="J738" s="85" t="str">
        <f t="shared" si="34"/>
        <v/>
      </c>
      <c r="K738" s="86" t="str">
        <f t="shared" si="35"/>
        <v/>
      </c>
      <c r="L738" s="85" t="str">
        <f>IF($B738="","",IF(IFERROR(INDEX('RAID Log'!$1:$1048576,$B738,MATCH("Status",'RAID Log'!$1:$1,0)),"")="","",IFERROR(INDEX('RAID Log'!$1:$1048576,$B738,MATCH("Status",'RAID Log'!$1:$1,0)),"")))</f>
        <v/>
      </c>
      <c r="M738" s="85" t="str">
        <f>IF($B738="","",IF(IFERROR(INDEX('RAID Log'!$1:$1048576,$B738,MATCH("RAID Owner",'RAID Log'!$1:$1,0)),"")="","",IFERROR(INDEX('RAID Log'!$1:$1048576,$B738,MATCH("RAID Owner",'RAID Log'!$1:$1,0)),"")))</f>
        <v/>
      </c>
      <c r="N738" s="87" t="str">
        <f>IF($B738="","",IF(IFERROR(INDEX('RAID Log'!$1:$1048576,$B738,MATCH("Date Raised",'RAID Log'!$1:$1,0)),"")="","",IFERROR(INDEX('RAID Log'!$1:$1048576,$B738,MATCH("Date Raised",'RAID Log'!$1:$1,0)),"")))</f>
        <v/>
      </c>
      <c r="O738" s="87" t="str">
        <f>IF($B738="","",IF(IFERROR(INDEX('RAID Log'!$1:$1048576,$B738,MATCH("Closed Date",'RAID Log'!$1:$1,0)),"")="","",IFERROR(INDEX('RAID Log'!$1:$1048576,$B738,MATCH("Closed Date",'RAID Log'!$1:$1,0)),"")))</f>
        <v/>
      </c>
      <c r="P738" s="85" t="str">
        <f>IF($B738="","",IF(IFERROR(INDEX('RAID Log'!$1:$1048576,$B738,MATCH("Mitigation Strategy",'RAID Log'!$1:$1,0)),"")="","",IFERROR(INDEX('RAID Log'!$1:$1048576,$B738,MATCH("Mitigation Strategy",'RAID Log'!$1:$1,0)),"")))</f>
        <v/>
      </c>
      <c r="Q738" s="88" t="str">
        <f>IF($B738="","",IF(IFERROR(INDEX('RAID Log'!$1:$1048576,$B738,MATCH("RAID Response/Plan",'RAID Log'!$1:$1,0)),"")="","",IFERROR(INDEX('RAID Log'!$1:$1048576,$B738,MATCH("RAID Response/Plan",'RAID Log'!$1:$1,0)),"")))</f>
        <v/>
      </c>
    </row>
    <row r="739" spans="1:17" ht="14.25" customHeight="1">
      <c r="A739" s="82" t="str">
        <f>IF($B739="","",IF(IFERROR(INDEX('RAID Log'!$1:$1048576,$B739,MATCH("RAID ID",'RAID Log'!$1:$1,0)),"")="","",IFERROR(INDEX('RAID Log'!$1:$1048576,$B739,MATCH("RAID ID",'RAID Log'!$1:$1,0)),"")))</f>
        <v/>
      </c>
      <c r="B739" s="83" t="str">
        <f>IFERROR(MATCH(ROW()-1,'RAID Log'!$S:$S,0),"")</f>
        <v/>
      </c>
      <c r="C739" s="84" t="str">
        <f>IF($B739="","",IF(IFERROR(INDEX('RAID Log'!$1:$1048576,$B739,MATCH("Description",'RAID Log'!$1:$1,0)),"")="","",IFERROR(INDEX('RAID Log'!$1:$1048576,$B739,MATCH("Description",'RAID Log'!$1:$1,0)),"")))</f>
        <v/>
      </c>
      <c r="D739" s="84" t="str">
        <f>IF($B739="","",IF(IFERROR(INDEX('RAID Log'!$1:$1048576,$B739,MATCH("Impact/Effect of the RAID",'RAID Log'!$1:$1,0)),"")="","",IFERROR(INDEX('RAID Log'!$1:$1048576,$B739,MATCH("Impact/Effect of the RAID",'RAID Log'!$1:$1,0)),"")))</f>
        <v/>
      </c>
      <c r="E739" s="85" t="str">
        <f>IF($B739="","",IF(IFERROR(INDEX('RAID Log'!$1:$1048576,$B739,MATCH("Impact Area",'RAID Log'!$1:$1,0)),"")="","",IFERROR(INDEX('RAID Log'!$1:$1048576,$B739,MATCH("Impact Area",'RAID Log'!$1:$1,0)),"")))</f>
        <v/>
      </c>
      <c r="F739" s="85" t="str">
        <f>IF($B739="","",IF(IFERROR(INDEX('RAID Log'!$1:$1048576,$B739,MATCH("Impact Area",'RAID Log'!$1:$1,0)),"")="","",IFERROR(INDEX('RAID Log'!$1:$1048576,$B739,MATCH("Impact Area",'RAID Log'!$1:$1,0)),"")))</f>
        <v/>
      </c>
      <c r="G739" s="85" t="str">
        <f>IF($B739="","",IF(IFERROR(INDEX('RAID Log'!$1:$1048576,$B739,MATCH("Impact Rating",'RAID Log'!$1:$1,0)),"")="","",IFERROR(INDEX('RAID Log'!$1:$1048576,$B739,MATCH("Impact Rating",'RAID Log'!$1:$1,0)),"")))</f>
        <v/>
      </c>
      <c r="H739" s="85" t="str">
        <f>IF($B739="","",IF(IFERROR(INDEX('RAID Log'!$1:$1048576,$B739,MATCH("Initial Probability",'RAID Log'!$1:$1,0)),"")="","",IFERROR(INDEX('RAID Log'!$1:$1048576,$B739,MATCH("Initial Probability",'RAID Log'!$1:$1,0)),"")))</f>
        <v/>
      </c>
      <c r="I739" s="86" t="str">
        <f t="shared" si="33"/>
        <v/>
      </c>
      <c r="J739" s="85" t="str">
        <f t="shared" si="34"/>
        <v/>
      </c>
      <c r="K739" s="86" t="str">
        <f t="shared" si="35"/>
        <v/>
      </c>
      <c r="L739" s="85" t="str">
        <f>IF($B739="","",IF(IFERROR(INDEX('RAID Log'!$1:$1048576,$B739,MATCH("Status",'RAID Log'!$1:$1,0)),"")="","",IFERROR(INDEX('RAID Log'!$1:$1048576,$B739,MATCH("Status",'RAID Log'!$1:$1,0)),"")))</f>
        <v/>
      </c>
      <c r="M739" s="85" t="str">
        <f>IF($B739="","",IF(IFERROR(INDEX('RAID Log'!$1:$1048576,$B739,MATCH("RAID Owner",'RAID Log'!$1:$1,0)),"")="","",IFERROR(INDEX('RAID Log'!$1:$1048576,$B739,MATCH("RAID Owner",'RAID Log'!$1:$1,0)),"")))</f>
        <v/>
      </c>
      <c r="N739" s="87" t="str">
        <f>IF($B739="","",IF(IFERROR(INDEX('RAID Log'!$1:$1048576,$B739,MATCH("Date Raised",'RAID Log'!$1:$1,0)),"")="","",IFERROR(INDEX('RAID Log'!$1:$1048576,$B739,MATCH("Date Raised",'RAID Log'!$1:$1,0)),"")))</f>
        <v/>
      </c>
      <c r="O739" s="87" t="str">
        <f>IF($B739="","",IF(IFERROR(INDEX('RAID Log'!$1:$1048576,$B739,MATCH("Closed Date",'RAID Log'!$1:$1,0)),"")="","",IFERROR(INDEX('RAID Log'!$1:$1048576,$B739,MATCH("Closed Date",'RAID Log'!$1:$1,0)),"")))</f>
        <v/>
      </c>
      <c r="P739" s="85" t="str">
        <f>IF($B739="","",IF(IFERROR(INDEX('RAID Log'!$1:$1048576,$B739,MATCH("Mitigation Strategy",'RAID Log'!$1:$1,0)),"")="","",IFERROR(INDEX('RAID Log'!$1:$1048576,$B739,MATCH("Mitigation Strategy",'RAID Log'!$1:$1,0)),"")))</f>
        <v/>
      </c>
      <c r="Q739" s="88" t="str">
        <f>IF($B739="","",IF(IFERROR(INDEX('RAID Log'!$1:$1048576,$B739,MATCH("RAID Response/Plan",'RAID Log'!$1:$1,0)),"")="","",IFERROR(INDEX('RAID Log'!$1:$1048576,$B739,MATCH("RAID Response/Plan",'RAID Log'!$1:$1,0)),"")))</f>
        <v/>
      </c>
    </row>
    <row r="740" spans="1:17" ht="14.25" customHeight="1">
      <c r="A740" s="82" t="str">
        <f>IF($B740="","",IF(IFERROR(INDEX('RAID Log'!$1:$1048576,$B740,MATCH("RAID ID",'RAID Log'!$1:$1,0)),"")="","",IFERROR(INDEX('RAID Log'!$1:$1048576,$B740,MATCH("RAID ID",'RAID Log'!$1:$1,0)),"")))</f>
        <v/>
      </c>
      <c r="B740" s="83" t="str">
        <f>IFERROR(MATCH(ROW()-1,'RAID Log'!$S:$S,0),"")</f>
        <v/>
      </c>
      <c r="C740" s="84" t="str">
        <f>IF($B740="","",IF(IFERROR(INDEX('RAID Log'!$1:$1048576,$B740,MATCH("Description",'RAID Log'!$1:$1,0)),"")="","",IFERROR(INDEX('RAID Log'!$1:$1048576,$B740,MATCH("Description",'RAID Log'!$1:$1,0)),"")))</f>
        <v/>
      </c>
      <c r="D740" s="84" t="str">
        <f>IF($B740="","",IF(IFERROR(INDEX('RAID Log'!$1:$1048576,$B740,MATCH("Impact/Effect of the RAID",'RAID Log'!$1:$1,0)),"")="","",IFERROR(INDEX('RAID Log'!$1:$1048576,$B740,MATCH("Impact/Effect of the RAID",'RAID Log'!$1:$1,0)),"")))</f>
        <v/>
      </c>
      <c r="E740" s="85" t="str">
        <f>IF($B740="","",IF(IFERROR(INDEX('RAID Log'!$1:$1048576,$B740,MATCH("Impact Area",'RAID Log'!$1:$1,0)),"")="","",IFERROR(INDEX('RAID Log'!$1:$1048576,$B740,MATCH("Impact Area",'RAID Log'!$1:$1,0)),"")))</f>
        <v/>
      </c>
      <c r="F740" s="85" t="str">
        <f>IF($B740="","",IF(IFERROR(INDEX('RAID Log'!$1:$1048576,$B740,MATCH("Impact Area",'RAID Log'!$1:$1,0)),"")="","",IFERROR(INDEX('RAID Log'!$1:$1048576,$B740,MATCH("Impact Area",'RAID Log'!$1:$1,0)),"")))</f>
        <v/>
      </c>
      <c r="G740" s="85" t="str">
        <f>IF($B740="","",IF(IFERROR(INDEX('RAID Log'!$1:$1048576,$B740,MATCH("Impact Rating",'RAID Log'!$1:$1,0)),"")="","",IFERROR(INDEX('RAID Log'!$1:$1048576,$B740,MATCH("Impact Rating",'RAID Log'!$1:$1,0)),"")))</f>
        <v/>
      </c>
      <c r="H740" s="85" t="str">
        <f>IF($B740="","",IF(IFERROR(INDEX('RAID Log'!$1:$1048576,$B740,MATCH("Initial Probability",'RAID Log'!$1:$1,0)),"")="","",IFERROR(INDEX('RAID Log'!$1:$1048576,$B740,MATCH("Initial Probability",'RAID Log'!$1:$1,0)),"")))</f>
        <v/>
      </c>
      <c r="I740" s="86" t="str">
        <f t="shared" si="33"/>
        <v/>
      </c>
      <c r="J740" s="85" t="str">
        <f t="shared" si="34"/>
        <v/>
      </c>
      <c r="K740" s="86" t="str">
        <f t="shared" si="35"/>
        <v/>
      </c>
      <c r="L740" s="85" t="str">
        <f>IF($B740="","",IF(IFERROR(INDEX('RAID Log'!$1:$1048576,$B740,MATCH("Status",'RAID Log'!$1:$1,0)),"")="","",IFERROR(INDEX('RAID Log'!$1:$1048576,$B740,MATCH("Status",'RAID Log'!$1:$1,0)),"")))</f>
        <v/>
      </c>
      <c r="M740" s="85" t="str">
        <f>IF($B740="","",IF(IFERROR(INDEX('RAID Log'!$1:$1048576,$B740,MATCH("RAID Owner",'RAID Log'!$1:$1,0)),"")="","",IFERROR(INDEX('RAID Log'!$1:$1048576,$B740,MATCH("RAID Owner",'RAID Log'!$1:$1,0)),"")))</f>
        <v/>
      </c>
      <c r="N740" s="87" t="str">
        <f>IF($B740="","",IF(IFERROR(INDEX('RAID Log'!$1:$1048576,$B740,MATCH("Date Raised",'RAID Log'!$1:$1,0)),"")="","",IFERROR(INDEX('RAID Log'!$1:$1048576,$B740,MATCH("Date Raised",'RAID Log'!$1:$1,0)),"")))</f>
        <v/>
      </c>
      <c r="O740" s="87" t="str">
        <f>IF($B740="","",IF(IFERROR(INDEX('RAID Log'!$1:$1048576,$B740,MATCH("Closed Date",'RAID Log'!$1:$1,0)),"")="","",IFERROR(INDEX('RAID Log'!$1:$1048576,$B740,MATCH("Closed Date",'RAID Log'!$1:$1,0)),"")))</f>
        <v/>
      </c>
      <c r="P740" s="85" t="str">
        <f>IF($B740="","",IF(IFERROR(INDEX('RAID Log'!$1:$1048576,$B740,MATCH("Mitigation Strategy",'RAID Log'!$1:$1,0)),"")="","",IFERROR(INDEX('RAID Log'!$1:$1048576,$B740,MATCH("Mitigation Strategy",'RAID Log'!$1:$1,0)),"")))</f>
        <v/>
      </c>
      <c r="Q740" s="88" t="str">
        <f>IF($B740="","",IF(IFERROR(INDEX('RAID Log'!$1:$1048576,$B740,MATCH("RAID Response/Plan",'RAID Log'!$1:$1,0)),"")="","",IFERROR(INDEX('RAID Log'!$1:$1048576,$B740,MATCH("RAID Response/Plan",'RAID Log'!$1:$1,0)),"")))</f>
        <v/>
      </c>
    </row>
    <row r="741" spans="1:17" ht="14.25" customHeight="1">
      <c r="A741" s="82" t="str">
        <f>IF($B741="","",IF(IFERROR(INDEX('RAID Log'!$1:$1048576,$B741,MATCH("RAID ID",'RAID Log'!$1:$1,0)),"")="","",IFERROR(INDEX('RAID Log'!$1:$1048576,$B741,MATCH("RAID ID",'RAID Log'!$1:$1,0)),"")))</f>
        <v/>
      </c>
      <c r="B741" s="83" t="str">
        <f>IFERROR(MATCH(ROW()-1,'RAID Log'!$S:$S,0),"")</f>
        <v/>
      </c>
      <c r="C741" s="84" t="str">
        <f>IF($B741="","",IF(IFERROR(INDEX('RAID Log'!$1:$1048576,$B741,MATCH("Description",'RAID Log'!$1:$1,0)),"")="","",IFERROR(INDEX('RAID Log'!$1:$1048576,$B741,MATCH("Description",'RAID Log'!$1:$1,0)),"")))</f>
        <v/>
      </c>
      <c r="D741" s="84" t="str">
        <f>IF($B741="","",IF(IFERROR(INDEX('RAID Log'!$1:$1048576,$B741,MATCH("Impact/Effect of the RAID",'RAID Log'!$1:$1,0)),"")="","",IFERROR(INDEX('RAID Log'!$1:$1048576,$B741,MATCH("Impact/Effect of the RAID",'RAID Log'!$1:$1,0)),"")))</f>
        <v/>
      </c>
      <c r="E741" s="85" t="str">
        <f>IF($B741="","",IF(IFERROR(INDEX('RAID Log'!$1:$1048576,$B741,MATCH("Impact Area",'RAID Log'!$1:$1,0)),"")="","",IFERROR(INDEX('RAID Log'!$1:$1048576,$B741,MATCH("Impact Area",'RAID Log'!$1:$1,0)),"")))</f>
        <v/>
      </c>
      <c r="F741" s="85" t="str">
        <f>IF($B741="","",IF(IFERROR(INDEX('RAID Log'!$1:$1048576,$B741,MATCH("Impact Area",'RAID Log'!$1:$1,0)),"")="","",IFERROR(INDEX('RAID Log'!$1:$1048576,$B741,MATCH("Impact Area",'RAID Log'!$1:$1,0)),"")))</f>
        <v/>
      </c>
      <c r="G741" s="85" t="str">
        <f>IF($B741="","",IF(IFERROR(INDEX('RAID Log'!$1:$1048576,$B741,MATCH("Impact Rating",'RAID Log'!$1:$1,0)),"")="","",IFERROR(INDEX('RAID Log'!$1:$1048576,$B741,MATCH("Impact Rating",'RAID Log'!$1:$1,0)),"")))</f>
        <v/>
      </c>
      <c r="H741" s="85" t="str">
        <f>IF($B741="","",IF(IFERROR(INDEX('RAID Log'!$1:$1048576,$B741,MATCH("Initial Probability",'RAID Log'!$1:$1,0)),"")="","",IFERROR(INDEX('RAID Log'!$1:$1048576,$B741,MATCH("Initial Probability",'RAID Log'!$1:$1,0)),"")))</f>
        <v/>
      </c>
      <c r="I741" s="86" t="str">
        <f t="shared" si="33"/>
        <v/>
      </c>
      <c r="J741" s="85" t="str">
        <f t="shared" si="34"/>
        <v/>
      </c>
      <c r="K741" s="86" t="str">
        <f t="shared" si="35"/>
        <v/>
      </c>
      <c r="L741" s="85" t="str">
        <f>IF($B741="","",IF(IFERROR(INDEX('RAID Log'!$1:$1048576,$B741,MATCH("Status",'RAID Log'!$1:$1,0)),"")="","",IFERROR(INDEX('RAID Log'!$1:$1048576,$B741,MATCH("Status",'RAID Log'!$1:$1,0)),"")))</f>
        <v/>
      </c>
      <c r="M741" s="85" t="str">
        <f>IF($B741="","",IF(IFERROR(INDEX('RAID Log'!$1:$1048576,$B741,MATCH("RAID Owner",'RAID Log'!$1:$1,0)),"")="","",IFERROR(INDEX('RAID Log'!$1:$1048576,$B741,MATCH("RAID Owner",'RAID Log'!$1:$1,0)),"")))</f>
        <v/>
      </c>
      <c r="N741" s="87" t="str">
        <f>IF($B741="","",IF(IFERROR(INDEX('RAID Log'!$1:$1048576,$B741,MATCH("Date Raised",'RAID Log'!$1:$1,0)),"")="","",IFERROR(INDEX('RAID Log'!$1:$1048576,$B741,MATCH("Date Raised",'RAID Log'!$1:$1,0)),"")))</f>
        <v/>
      </c>
      <c r="O741" s="87" t="str">
        <f>IF($B741="","",IF(IFERROR(INDEX('RAID Log'!$1:$1048576,$B741,MATCH("Closed Date",'RAID Log'!$1:$1,0)),"")="","",IFERROR(INDEX('RAID Log'!$1:$1048576,$B741,MATCH("Closed Date",'RAID Log'!$1:$1,0)),"")))</f>
        <v/>
      </c>
      <c r="P741" s="85" t="str">
        <f>IF($B741="","",IF(IFERROR(INDEX('RAID Log'!$1:$1048576,$B741,MATCH("Mitigation Strategy",'RAID Log'!$1:$1,0)),"")="","",IFERROR(INDEX('RAID Log'!$1:$1048576,$B741,MATCH("Mitigation Strategy",'RAID Log'!$1:$1,0)),"")))</f>
        <v/>
      </c>
      <c r="Q741" s="88" t="str">
        <f>IF($B741="","",IF(IFERROR(INDEX('RAID Log'!$1:$1048576,$B741,MATCH("RAID Response/Plan",'RAID Log'!$1:$1,0)),"")="","",IFERROR(INDEX('RAID Log'!$1:$1048576,$B741,MATCH("RAID Response/Plan",'RAID Log'!$1:$1,0)),"")))</f>
        <v/>
      </c>
    </row>
    <row r="742" spans="1:17" ht="14.25" customHeight="1">
      <c r="A742" s="82" t="str">
        <f>IF($B742="","",IF(IFERROR(INDEX('RAID Log'!$1:$1048576,$B742,MATCH("RAID ID",'RAID Log'!$1:$1,0)),"")="","",IFERROR(INDEX('RAID Log'!$1:$1048576,$B742,MATCH("RAID ID",'RAID Log'!$1:$1,0)),"")))</f>
        <v/>
      </c>
      <c r="B742" s="83" t="str">
        <f>IFERROR(MATCH(ROW()-1,'RAID Log'!$S:$S,0),"")</f>
        <v/>
      </c>
      <c r="C742" s="84" t="str">
        <f>IF($B742="","",IF(IFERROR(INDEX('RAID Log'!$1:$1048576,$B742,MATCH("Description",'RAID Log'!$1:$1,0)),"")="","",IFERROR(INDEX('RAID Log'!$1:$1048576,$B742,MATCH("Description",'RAID Log'!$1:$1,0)),"")))</f>
        <v/>
      </c>
      <c r="D742" s="84" t="str">
        <f>IF($B742="","",IF(IFERROR(INDEX('RAID Log'!$1:$1048576,$B742,MATCH("Impact/Effect of the RAID",'RAID Log'!$1:$1,0)),"")="","",IFERROR(INDEX('RAID Log'!$1:$1048576,$B742,MATCH("Impact/Effect of the RAID",'RAID Log'!$1:$1,0)),"")))</f>
        <v/>
      </c>
      <c r="E742" s="85" t="str">
        <f>IF($B742="","",IF(IFERROR(INDEX('RAID Log'!$1:$1048576,$B742,MATCH("Impact Area",'RAID Log'!$1:$1,0)),"")="","",IFERROR(INDEX('RAID Log'!$1:$1048576,$B742,MATCH("Impact Area",'RAID Log'!$1:$1,0)),"")))</f>
        <v/>
      </c>
      <c r="F742" s="85" t="str">
        <f>IF($B742="","",IF(IFERROR(INDEX('RAID Log'!$1:$1048576,$B742,MATCH("Impact Area",'RAID Log'!$1:$1,0)),"")="","",IFERROR(INDEX('RAID Log'!$1:$1048576,$B742,MATCH("Impact Area",'RAID Log'!$1:$1,0)),"")))</f>
        <v/>
      </c>
      <c r="G742" s="85" t="str">
        <f>IF($B742="","",IF(IFERROR(INDEX('RAID Log'!$1:$1048576,$B742,MATCH("Impact Rating",'RAID Log'!$1:$1,0)),"")="","",IFERROR(INDEX('RAID Log'!$1:$1048576,$B742,MATCH("Impact Rating",'RAID Log'!$1:$1,0)),"")))</f>
        <v/>
      </c>
      <c r="H742" s="85" t="str">
        <f>IF($B742="","",IF(IFERROR(INDEX('RAID Log'!$1:$1048576,$B742,MATCH("Initial Probability",'RAID Log'!$1:$1,0)),"")="","",IFERROR(INDEX('RAID Log'!$1:$1048576,$B742,MATCH("Initial Probability",'RAID Log'!$1:$1,0)),"")))</f>
        <v/>
      </c>
      <c r="I742" s="86" t="str">
        <f t="shared" si="33"/>
        <v/>
      </c>
      <c r="J742" s="85" t="str">
        <f t="shared" si="34"/>
        <v/>
      </c>
      <c r="K742" s="86" t="str">
        <f t="shared" si="35"/>
        <v/>
      </c>
      <c r="L742" s="85" t="str">
        <f>IF($B742="","",IF(IFERROR(INDEX('RAID Log'!$1:$1048576,$B742,MATCH("Status",'RAID Log'!$1:$1,0)),"")="","",IFERROR(INDEX('RAID Log'!$1:$1048576,$B742,MATCH("Status",'RAID Log'!$1:$1,0)),"")))</f>
        <v/>
      </c>
      <c r="M742" s="85" t="str">
        <f>IF($B742="","",IF(IFERROR(INDEX('RAID Log'!$1:$1048576,$B742,MATCH("RAID Owner",'RAID Log'!$1:$1,0)),"")="","",IFERROR(INDEX('RAID Log'!$1:$1048576,$B742,MATCH("RAID Owner",'RAID Log'!$1:$1,0)),"")))</f>
        <v/>
      </c>
      <c r="N742" s="87" t="str">
        <f>IF($B742="","",IF(IFERROR(INDEX('RAID Log'!$1:$1048576,$B742,MATCH("Date Raised",'RAID Log'!$1:$1,0)),"")="","",IFERROR(INDEX('RAID Log'!$1:$1048576,$B742,MATCH("Date Raised",'RAID Log'!$1:$1,0)),"")))</f>
        <v/>
      </c>
      <c r="O742" s="87" t="str">
        <f>IF($B742="","",IF(IFERROR(INDEX('RAID Log'!$1:$1048576,$B742,MATCH("Closed Date",'RAID Log'!$1:$1,0)),"")="","",IFERROR(INDEX('RAID Log'!$1:$1048576,$B742,MATCH("Closed Date",'RAID Log'!$1:$1,0)),"")))</f>
        <v/>
      </c>
      <c r="P742" s="85" t="str">
        <f>IF($B742="","",IF(IFERROR(INDEX('RAID Log'!$1:$1048576,$B742,MATCH("Mitigation Strategy",'RAID Log'!$1:$1,0)),"")="","",IFERROR(INDEX('RAID Log'!$1:$1048576,$B742,MATCH("Mitigation Strategy",'RAID Log'!$1:$1,0)),"")))</f>
        <v/>
      </c>
      <c r="Q742" s="88" t="str">
        <f>IF($B742="","",IF(IFERROR(INDEX('RAID Log'!$1:$1048576,$B742,MATCH("RAID Response/Plan",'RAID Log'!$1:$1,0)),"")="","",IFERROR(INDEX('RAID Log'!$1:$1048576,$B742,MATCH("RAID Response/Plan",'RAID Log'!$1:$1,0)),"")))</f>
        <v/>
      </c>
    </row>
    <row r="743" spans="1:17" ht="14.25" customHeight="1">
      <c r="A743" s="82" t="str">
        <f>IF($B743="","",IF(IFERROR(INDEX('RAID Log'!$1:$1048576,$B743,MATCH("RAID ID",'RAID Log'!$1:$1,0)),"")="","",IFERROR(INDEX('RAID Log'!$1:$1048576,$B743,MATCH("RAID ID",'RAID Log'!$1:$1,0)),"")))</f>
        <v/>
      </c>
      <c r="B743" s="83" t="str">
        <f>IFERROR(MATCH(ROW()-1,'RAID Log'!$S:$S,0),"")</f>
        <v/>
      </c>
      <c r="C743" s="84" t="str">
        <f>IF($B743="","",IF(IFERROR(INDEX('RAID Log'!$1:$1048576,$B743,MATCH("Description",'RAID Log'!$1:$1,0)),"")="","",IFERROR(INDEX('RAID Log'!$1:$1048576,$B743,MATCH("Description",'RAID Log'!$1:$1,0)),"")))</f>
        <v/>
      </c>
      <c r="D743" s="84" t="str">
        <f>IF($B743="","",IF(IFERROR(INDEX('RAID Log'!$1:$1048576,$B743,MATCH("Impact/Effect of the RAID",'RAID Log'!$1:$1,0)),"")="","",IFERROR(INDEX('RAID Log'!$1:$1048576,$B743,MATCH("Impact/Effect of the RAID",'RAID Log'!$1:$1,0)),"")))</f>
        <v/>
      </c>
      <c r="E743" s="85" t="str">
        <f>IF($B743="","",IF(IFERROR(INDEX('RAID Log'!$1:$1048576,$B743,MATCH("Impact Area",'RAID Log'!$1:$1,0)),"")="","",IFERROR(INDEX('RAID Log'!$1:$1048576,$B743,MATCH("Impact Area",'RAID Log'!$1:$1,0)),"")))</f>
        <v/>
      </c>
      <c r="F743" s="85" t="str">
        <f>IF($B743="","",IF(IFERROR(INDEX('RAID Log'!$1:$1048576,$B743,MATCH("Impact Area",'RAID Log'!$1:$1,0)),"")="","",IFERROR(INDEX('RAID Log'!$1:$1048576,$B743,MATCH("Impact Area",'RAID Log'!$1:$1,0)),"")))</f>
        <v/>
      </c>
      <c r="G743" s="85" t="str">
        <f>IF($B743="","",IF(IFERROR(INDEX('RAID Log'!$1:$1048576,$B743,MATCH("Impact Rating",'RAID Log'!$1:$1,0)),"")="","",IFERROR(INDEX('RAID Log'!$1:$1048576,$B743,MATCH("Impact Rating",'RAID Log'!$1:$1,0)),"")))</f>
        <v/>
      </c>
      <c r="H743" s="85" t="str">
        <f>IF($B743="","",IF(IFERROR(INDEX('RAID Log'!$1:$1048576,$B743,MATCH("Initial Probability",'RAID Log'!$1:$1,0)),"")="","",IFERROR(INDEX('RAID Log'!$1:$1048576,$B743,MATCH("Initial Probability",'RAID Log'!$1:$1,0)),"")))</f>
        <v/>
      </c>
      <c r="I743" s="86" t="str">
        <f t="shared" si="33"/>
        <v/>
      </c>
      <c r="J743" s="85" t="str">
        <f t="shared" si="34"/>
        <v/>
      </c>
      <c r="K743" s="86" t="str">
        <f t="shared" si="35"/>
        <v/>
      </c>
      <c r="L743" s="85" t="str">
        <f>IF($B743="","",IF(IFERROR(INDEX('RAID Log'!$1:$1048576,$B743,MATCH("Status",'RAID Log'!$1:$1,0)),"")="","",IFERROR(INDEX('RAID Log'!$1:$1048576,$B743,MATCH("Status",'RAID Log'!$1:$1,0)),"")))</f>
        <v/>
      </c>
      <c r="M743" s="85" t="str">
        <f>IF($B743="","",IF(IFERROR(INDEX('RAID Log'!$1:$1048576,$B743,MATCH("RAID Owner",'RAID Log'!$1:$1,0)),"")="","",IFERROR(INDEX('RAID Log'!$1:$1048576,$B743,MATCH("RAID Owner",'RAID Log'!$1:$1,0)),"")))</f>
        <v/>
      </c>
      <c r="N743" s="87" t="str">
        <f>IF($B743="","",IF(IFERROR(INDEX('RAID Log'!$1:$1048576,$B743,MATCH("Date Raised",'RAID Log'!$1:$1,0)),"")="","",IFERROR(INDEX('RAID Log'!$1:$1048576,$B743,MATCH("Date Raised",'RAID Log'!$1:$1,0)),"")))</f>
        <v/>
      </c>
      <c r="O743" s="87" t="str">
        <f>IF($B743="","",IF(IFERROR(INDEX('RAID Log'!$1:$1048576,$B743,MATCH("Closed Date",'RAID Log'!$1:$1,0)),"")="","",IFERROR(INDEX('RAID Log'!$1:$1048576,$B743,MATCH("Closed Date",'RAID Log'!$1:$1,0)),"")))</f>
        <v/>
      </c>
      <c r="P743" s="85" t="str">
        <f>IF($B743="","",IF(IFERROR(INDEX('RAID Log'!$1:$1048576,$B743,MATCH("Mitigation Strategy",'RAID Log'!$1:$1,0)),"")="","",IFERROR(INDEX('RAID Log'!$1:$1048576,$B743,MATCH("Mitigation Strategy",'RAID Log'!$1:$1,0)),"")))</f>
        <v/>
      </c>
      <c r="Q743" s="88" t="str">
        <f>IF($B743="","",IF(IFERROR(INDEX('RAID Log'!$1:$1048576,$B743,MATCH("RAID Response/Plan",'RAID Log'!$1:$1,0)),"")="","",IFERROR(INDEX('RAID Log'!$1:$1048576,$B743,MATCH("RAID Response/Plan",'RAID Log'!$1:$1,0)),"")))</f>
        <v/>
      </c>
    </row>
    <row r="744" spans="1:17" ht="14.25" customHeight="1">
      <c r="A744" s="82" t="str">
        <f>IF($B744="","",IF(IFERROR(INDEX('RAID Log'!$1:$1048576,$B744,MATCH("RAID ID",'RAID Log'!$1:$1,0)),"")="","",IFERROR(INDEX('RAID Log'!$1:$1048576,$B744,MATCH("RAID ID",'RAID Log'!$1:$1,0)),"")))</f>
        <v/>
      </c>
      <c r="B744" s="83" t="str">
        <f>IFERROR(MATCH(ROW()-1,'RAID Log'!$S:$S,0),"")</f>
        <v/>
      </c>
      <c r="C744" s="84" t="str">
        <f>IF($B744="","",IF(IFERROR(INDEX('RAID Log'!$1:$1048576,$B744,MATCH("Description",'RAID Log'!$1:$1,0)),"")="","",IFERROR(INDEX('RAID Log'!$1:$1048576,$B744,MATCH("Description",'RAID Log'!$1:$1,0)),"")))</f>
        <v/>
      </c>
      <c r="D744" s="84" t="str">
        <f>IF($B744="","",IF(IFERROR(INDEX('RAID Log'!$1:$1048576,$B744,MATCH("Impact/Effect of the RAID",'RAID Log'!$1:$1,0)),"")="","",IFERROR(INDEX('RAID Log'!$1:$1048576,$B744,MATCH("Impact/Effect of the RAID",'RAID Log'!$1:$1,0)),"")))</f>
        <v/>
      </c>
      <c r="E744" s="85" t="str">
        <f>IF($B744="","",IF(IFERROR(INDEX('RAID Log'!$1:$1048576,$B744,MATCH("Impact Area",'RAID Log'!$1:$1,0)),"")="","",IFERROR(INDEX('RAID Log'!$1:$1048576,$B744,MATCH("Impact Area",'RAID Log'!$1:$1,0)),"")))</f>
        <v/>
      </c>
      <c r="F744" s="85" t="str">
        <f>IF($B744="","",IF(IFERROR(INDEX('RAID Log'!$1:$1048576,$B744,MATCH("Impact Area",'RAID Log'!$1:$1,0)),"")="","",IFERROR(INDEX('RAID Log'!$1:$1048576,$B744,MATCH("Impact Area",'RAID Log'!$1:$1,0)),"")))</f>
        <v/>
      </c>
      <c r="G744" s="85" t="str">
        <f>IF($B744="","",IF(IFERROR(INDEX('RAID Log'!$1:$1048576,$B744,MATCH("Impact Rating",'RAID Log'!$1:$1,0)),"")="","",IFERROR(INDEX('RAID Log'!$1:$1048576,$B744,MATCH("Impact Rating",'RAID Log'!$1:$1,0)),"")))</f>
        <v/>
      </c>
      <c r="H744" s="85" t="str">
        <f>IF($B744="","",IF(IFERROR(INDEX('RAID Log'!$1:$1048576,$B744,MATCH("Initial Probability",'RAID Log'!$1:$1,0)),"")="","",IFERROR(INDEX('RAID Log'!$1:$1048576,$B744,MATCH("Initial Probability",'RAID Log'!$1:$1,0)),"")))</f>
        <v/>
      </c>
      <c r="I744" s="86" t="str">
        <f t="shared" si="33"/>
        <v/>
      </c>
      <c r="J744" s="85" t="str">
        <f t="shared" si="34"/>
        <v/>
      </c>
      <c r="K744" s="86" t="str">
        <f t="shared" si="35"/>
        <v/>
      </c>
      <c r="L744" s="85" t="str">
        <f>IF($B744="","",IF(IFERROR(INDEX('RAID Log'!$1:$1048576,$B744,MATCH("Status",'RAID Log'!$1:$1,0)),"")="","",IFERROR(INDEX('RAID Log'!$1:$1048576,$B744,MATCH("Status",'RAID Log'!$1:$1,0)),"")))</f>
        <v/>
      </c>
      <c r="M744" s="85" t="str">
        <f>IF($B744="","",IF(IFERROR(INDEX('RAID Log'!$1:$1048576,$B744,MATCH("RAID Owner",'RAID Log'!$1:$1,0)),"")="","",IFERROR(INDEX('RAID Log'!$1:$1048576,$B744,MATCH("RAID Owner",'RAID Log'!$1:$1,0)),"")))</f>
        <v/>
      </c>
      <c r="N744" s="87" t="str">
        <f>IF($B744="","",IF(IFERROR(INDEX('RAID Log'!$1:$1048576,$B744,MATCH("Date Raised",'RAID Log'!$1:$1,0)),"")="","",IFERROR(INDEX('RAID Log'!$1:$1048576,$B744,MATCH("Date Raised",'RAID Log'!$1:$1,0)),"")))</f>
        <v/>
      </c>
      <c r="O744" s="87" t="str">
        <f>IF($B744="","",IF(IFERROR(INDEX('RAID Log'!$1:$1048576,$B744,MATCH("Closed Date",'RAID Log'!$1:$1,0)),"")="","",IFERROR(INDEX('RAID Log'!$1:$1048576,$B744,MATCH("Closed Date",'RAID Log'!$1:$1,0)),"")))</f>
        <v/>
      </c>
      <c r="P744" s="85" t="str">
        <f>IF($B744="","",IF(IFERROR(INDEX('RAID Log'!$1:$1048576,$B744,MATCH("Mitigation Strategy",'RAID Log'!$1:$1,0)),"")="","",IFERROR(INDEX('RAID Log'!$1:$1048576,$B744,MATCH("Mitigation Strategy",'RAID Log'!$1:$1,0)),"")))</f>
        <v/>
      </c>
      <c r="Q744" s="88" t="str">
        <f>IF($B744="","",IF(IFERROR(INDEX('RAID Log'!$1:$1048576,$B744,MATCH("RAID Response/Plan",'RAID Log'!$1:$1,0)),"")="","",IFERROR(INDEX('RAID Log'!$1:$1048576,$B744,MATCH("RAID Response/Plan",'RAID Log'!$1:$1,0)),"")))</f>
        <v/>
      </c>
    </row>
    <row r="745" spans="1:17" ht="14.25" customHeight="1">
      <c r="A745" s="82" t="str">
        <f>IF($B745="","",IF(IFERROR(INDEX('RAID Log'!$1:$1048576,$B745,MATCH("RAID ID",'RAID Log'!$1:$1,0)),"")="","",IFERROR(INDEX('RAID Log'!$1:$1048576,$B745,MATCH("RAID ID",'RAID Log'!$1:$1,0)),"")))</f>
        <v/>
      </c>
      <c r="B745" s="83" t="str">
        <f>IFERROR(MATCH(ROW()-1,'RAID Log'!$S:$S,0),"")</f>
        <v/>
      </c>
      <c r="C745" s="84" t="str">
        <f>IF($B745="","",IF(IFERROR(INDEX('RAID Log'!$1:$1048576,$B745,MATCH("Description",'RAID Log'!$1:$1,0)),"")="","",IFERROR(INDEX('RAID Log'!$1:$1048576,$B745,MATCH("Description",'RAID Log'!$1:$1,0)),"")))</f>
        <v/>
      </c>
      <c r="D745" s="84" t="str">
        <f>IF($B745="","",IF(IFERROR(INDEX('RAID Log'!$1:$1048576,$B745,MATCH("Impact/Effect of the RAID",'RAID Log'!$1:$1,0)),"")="","",IFERROR(INDEX('RAID Log'!$1:$1048576,$B745,MATCH("Impact/Effect of the RAID",'RAID Log'!$1:$1,0)),"")))</f>
        <v/>
      </c>
      <c r="E745" s="85" t="str">
        <f>IF($B745="","",IF(IFERROR(INDEX('RAID Log'!$1:$1048576,$B745,MATCH("Impact Area",'RAID Log'!$1:$1,0)),"")="","",IFERROR(INDEX('RAID Log'!$1:$1048576,$B745,MATCH("Impact Area",'RAID Log'!$1:$1,0)),"")))</f>
        <v/>
      </c>
      <c r="F745" s="85" t="str">
        <f>IF($B745="","",IF(IFERROR(INDEX('RAID Log'!$1:$1048576,$B745,MATCH("Impact Area",'RAID Log'!$1:$1,0)),"")="","",IFERROR(INDEX('RAID Log'!$1:$1048576,$B745,MATCH("Impact Area",'RAID Log'!$1:$1,0)),"")))</f>
        <v/>
      </c>
      <c r="G745" s="85" t="str">
        <f>IF($B745="","",IF(IFERROR(INDEX('RAID Log'!$1:$1048576,$B745,MATCH("Impact Rating",'RAID Log'!$1:$1,0)),"")="","",IFERROR(INDEX('RAID Log'!$1:$1048576,$B745,MATCH("Impact Rating",'RAID Log'!$1:$1,0)),"")))</f>
        <v/>
      </c>
      <c r="H745" s="85" t="str">
        <f>IF($B745="","",IF(IFERROR(INDEX('RAID Log'!$1:$1048576,$B745,MATCH("Initial Probability",'RAID Log'!$1:$1,0)),"")="","",IFERROR(INDEX('RAID Log'!$1:$1048576,$B745,MATCH("Initial Probability",'RAID Log'!$1:$1,0)),"")))</f>
        <v/>
      </c>
      <c r="I745" s="86" t="str">
        <f t="shared" si="33"/>
        <v/>
      </c>
      <c r="J745" s="85" t="str">
        <f t="shared" si="34"/>
        <v/>
      </c>
      <c r="K745" s="86" t="str">
        <f t="shared" si="35"/>
        <v/>
      </c>
      <c r="L745" s="85" t="str">
        <f>IF($B745="","",IF(IFERROR(INDEX('RAID Log'!$1:$1048576,$B745,MATCH("Status",'RAID Log'!$1:$1,0)),"")="","",IFERROR(INDEX('RAID Log'!$1:$1048576,$B745,MATCH("Status",'RAID Log'!$1:$1,0)),"")))</f>
        <v/>
      </c>
      <c r="M745" s="85" t="str">
        <f>IF($B745="","",IF(IFERROR(INDEX('RAID Log'!$1:$1048576,$B745,MATCH("RAID Owner",'RAID Log'!$1:$1,0)),"")="","",IFERROR(INDEX('RAID Log'!$1:$1048576,$B745,MATCH("RAID Owner",'RAID Log'!$1:$1,0)),"")))</f>
        <v/>
      </c>
      <c r="N745" s="87" t="str">
        <f>IF($B745="","",IF(IFERROR(INDEX('RAID Log'!$1:$1048576,$B745,MATCH("Date Raised",'RAID Log'!$1:$1,0)),"")="","",IFERROR(INDEX('RAID Log'!$1:$1048576,$B745,MATCH("Date Raised",'RAID Log'!$1:$1,0)),"")))</f>
        <v/>
      </c>
      <c r="O745" s="87" t="str">
        <f>IF($B745="","",IF(IFERROR(INDEX('RAID Log'!$1:$1048576,$B745,MATCH("Closed Date",'RAID Log'!$1:$1,0)),"")="","",IFERROR(INDEX('RAID Log'!$1:$1048576,$B745,MATCH("Closed Date",'RAID Log'!$1:$1,0)),"")))</f>
        <v/>
      </c>
      <c r="P745" s="85" t="str">
        <f>IF($B745="","",IF(IFERROR(INDEX('RAID Log'!$1:$1048576,$B745,MATCH("Mitigation Strategy",'RAID Log'!$1:$1,0)),"")="","",IFERROR(INDEX('RAID Log'!$1:$1048576,$B745,MATCH("Mitigation Strategy",'RAID Log'!$1:$1,0)),"")))</f>
        <v/>
      </c>
      <c r="Q745" s="88" t="str">
        <f>IF($B745="","",IF(IFERROR(INDEX('RAID Log'!$1:$1048576,$B745,MATCH("RAID Response/Plan",'RAID Log'!$1:$1,0)),"")="","",IFERROR(INDEX('RAID Log'!$1:$1048576,$B745,MATCH("RAID Response/Plan",'RAID Log'!$1:$1,0)),"")))</f>
        <v/>
      </c>
    </row>
    <row r="746" spans="1:17" ht="14.25" customHeight="1">
      <c r="A746" s="82" t="str">
        <f>IF($B746="","",IF(IFERROR(INDEX('RAID Log'!$1:$1048576,$B746,MATCH("RAID ID",'RAID Log'!$1:$1,0)),"")="","",IFERROR(INDEX('RAID Log'!$1:$1048576,$B746,MATCH("RAID ID",'RAID Log'!$1:$1,0)),"")))</f>
        <v/>
      </c>
      <c r="B746" s="83" t="str">
        <f>IFERROR(MATCH(ROW()-1,'RAID Log'!$S:$S,0),"")</f>
        <v/>
      </c>
      <c r="C746" s="84" t="str">
        <f>IF($B746="","",IF(IFERROR(INDEX('RAID Log'!$1:$1048576,$B746,MATCH("Description",'RAID Log'!$1:$1,0)),"")="","",IFERROR(INDEX('RAID Log'!$1:$1048576,$B746,MATCH("Description",'RAID Log'!$1:$1,0)),"")))</f>
        <v/>
      </c>
      <c r="D746" s="84" t="str">
        <f>IF($B746="","",IF(IFERROR(INDEX('RAID Log'!$1:$1048576,$B746,MATCH("Impact/Effect of the RAID",'RAID Log'!$1:$1,0)),"")="","",IFERROR(INDEX('RAID Log'!$1:$1048576,$B746,MATCH("Impact/Effect of the RAID",'RAID Log'!$1:$1,0)),"")))</f>
        <v/>
      </c>
      <c r="E746" s="85" t="str">
        <f>IF($B746="","",IF(IFERROR(INDEX('RAID Log'!$1:$1048576,$B746,MATCH("Impact Area",'RAID Log'!$1:$1,0)),"")="","",IFERROR(INDEX('RAID Log'!$1:$1048576,$B746,MATCH("Impact Area",'RAID Log'!$1:$1,0)),"")))</f>
        <v/>
      </c>
      <c r="F746" s="85" t="str">
        <f>IF($B746="","",IF(IFERROR(INDEX('RAID Log'!$1:$1048576,$B746,MATCH("Impact Area",'RAID Log'!$1:$1,0)),"")="","",IFERROR(INDEX('RAID Log'!$1:$1048576,$B746,MATCH("Impact Area",'RAID Log'!$1:$1,0)),"")))</f>
        <v/>
      </c>
      <c r="G746" s="85" t="str">
        <f>IF($B746="","",IF(IFERROR(INDEX('RAID Log'!$1:$1048576,$B746,MATCH("Impact Rating",'RAID Log'!$1:$1,0)),"")="","",IFERROR(INDEX('RAID Log'!$1:$1048576,$B746,MATCH("Impact Rating",'RAID Log'!$1:$1,0)),"")))</f>
        <v/>
      </c>
      <c r="H746" s="85" t="str">
        <f>IF($B746="","",IF(IFERROR(INDEX('RAID Log'!$1:$1048576,$B746,MATCH("Initial Probability",'RAID Log'!$1:$1,0)),"")="","",IFERROR(INDEX('RAID Log'!$1:$1048576,$B746,MATCH("Initial Probability",'RAID Log'!$1:$1,0)),"")))</f>
        <v/>
      </c>
      <c r="I746" s="86" t="str">
        <f t="shared" si="33"/>
        <v/>
      </c>
      <c r="J746" s="85" t="str">
        <f t="shared" si="34"/>
        <v/>
      </c>
      <c r="K746" s="86" t="str">
        <f t="shared" si="35"/>
        <v/>
      </c>
      <c r="L746" s="85" t="str">
        <f>IF($B746="","",IF(IFERROR(INDEX('RAID Log'!$1:$1048576,$B746,MATCH("Status",'RAID Log'!$1:$1,0)),"")="","",IFERROR(INDEX('RAID Log'!$1:$1048576,$B746,MATCH("Status",'RAID Log'!$1:$1,0)),"")))</f>
        <v/>
      </c>
      <c r="M746" s="85" t="str">
        <f>IF($B746="","",IF(IFERROR(INDEX('RAID Log'!$1:$1048576,$B746,MATCH("RAID Owner",'RAID Log'!$1:$1,0)),"")="","",IFERROR(INDEX('RAID Log'!$1:$1048576,$B746,MATCH("RAID Owner",'RAID Log'!$1:$1,0)),"")))</f>
        <v/>
      </c>
      <c r="N746" s="87" t="str">
        <f>IF($B746="","",IF(IFERROR(INDEX('RAID Log'!$1:$1048576,$B746,MATCH("Date Raised",'RAID Log'!$1:$1,0)),"")="","",IFERROR(INDEX('RAID Log'!$1:$1048576,$B746,MATCH("Date Raised",'RAID Log'!$1:$1,0)),"")))</f>
        <v/>
      </c>
      <c r="O746" s="87" t="str">
        <f>IF($B746="","",IF(IFERROR(INDEX('RAID Log'!$1:$1048576,$B746,MATCH("Closed Date",'RAID Log'!$1:$1,0)),"")="","",IFERROR(INDEX('RAID Log'!$1:$1048576,$B746,MATCH("Closed Date",'RAID Log'!$1:$1,0)),"")))</f>
        <v/>
      </c>
      <c r="P746" s="85" t="str">
        <f>IF($B746="","",IF(IFERROR(INDEX('RAID Log'!$1:$1048576,$B746,MATCH("Mitigation Strategy",'RAID Log'!$1:$1,0)),"")="","",IFERROR(INDEX('RAID Log'!$1:$1048576,$B746,MATCH("Mitigation Strategy",'RAID Log'!$1:$1,0)),"")))</f>
        <v/>
      </c>
      <c r="Q746" s="88" t="str">
        <f>IF($B746="","",IF(IFERROR(INDEX('RAID Log'!$1:$1048576,$B746,MATCH("RAID Response/Plan",'RAID Log'!$1:$1,0)),"")="","",IFERROR(INDEX('RAID Log'!$1:$1048576,$B746,MATCH("RAID Response/Plan",'RAID Log'!$1:$1,0)),"")))</f>
        <v/>
      </c>
    </row>
    <row r="747" spans="1:17" ht="14.25" customHeight="1">
      <c r="A747" s="82" t="str">
        <f>IF($B747="","",IF(IFERROR(INDEX('RAID Log'!$1:$1048576,$B747,MATCH("RAID ID",'RAID Log'!$1:$1,0)),"")="","",IFERROR(INDEX('RAID Log'!$1:$1048576,$B747,MATCH("RAID ID",'RAID Log'!$1:$1,0)),"")))</f>
        <v/>
      </c>
      <c r="B747" s="83" t="str">
        <f>IFERROR(MATCH(ROW()-1,'RAID Log'!$S:$S,0),"")</f>
        <v/>
      </c>
      <c r="C747" s="84" t="str">
        <f>IF($B747="","",IF(IFERROR(INDEX('RAID Log'!$1:$1048576,$B747,MATCH("Description",'RAID Log'!$1:$1,0)),"")="","",IFERROR(INDEX('RAID Log'!$1:$1048576,$B747,MATCH("Description",'RAID Log'!$1:$1,0)),"")))</f>
        <v/>
      </c>
      <c r="D747" s="84" t="str">
        <f>IF($B747="","",IF(IFERROR(INDEX('RAID Log'!$1:$1048576,$B747,MATCH("Impact/Effect of the RAID",'RAID Log'!$1:$1,0)),"")="","",IFERROR(INDEX('RAID Log'!$1:$1048576,$B747,MATCH("Impact/Effect of the RAID",'RAID Log'!$1:$1,0)),"")))</f>
        <v/>
      </c>
      <c r="E747" s="85" t="str">
        <f>IF($B747="","",IF(IFERROR(INDEX('RAID Log'!$1:$1048576,$B747,MATCH("Impact Area",'RAID Log'!$1:$1,0)),"")="","",IFERROR(INDEX('RAID Log'!$1:$1048576,$B747,MATCH("Impact Area",'RAID Log'!$1:$1,0)),"")))</f>
        <v/>
      </c>
      <c r="F747" s="85" t="str">
        <f>IF($B747="","",IF(IFERROR(INDEX('RAID Log'!$1:$1048576,$B747,MATCH("Impact Area",'RAID Log'!$1:$1,0)),"")="","",IFERROR(INDEX('RAID Log'!$1:$1048576,$B747,MATCH("Impact Area",'RAID Log'!$1:$1,0)),"")))</f>
        <v/>
      </c>
      <c r="G747" s="85" t="str">
        <f>IF($B747="","",IF(IFERROR(INDEX('RAID Log'!$1:$1048576,$B747,MATCH("Impact Rating",'RAID Log'!$1:$1,0)),"")="","",IFERROR(INDEX('RAID Log'!$1:$1048576,$B747,MATCH("Impact Rating",'RAID Log'!$1:$1,0)),"")))</f>
        <v/>
      </c>
      <c r="H747" s="85" t="str">
        <f>IF($B747="","",IF(IFERROR(INDEX('RAID Log'!$1:$1048576,$B747,MATCH("Initial Probability",'RAID Log'!$1:$1,0)),"")="","",IFERROR(INDEX('RAID Log'!$1:$1048576,$B747,MATCH("Initial Probability",'RAID Log'!$1:$1,0)),"")))</f>
        <v/>
      </c>
      <c r="I747" s="86" t="str">
        <f t="shared" si="33"/>
        <v/>
      </c>
      <c r="J747" s="85" t="str">
        <f t="shared" si="34"/>
        <v/>
      </c>
      <c r="K747" s="86" t="str">
        <f t="shared" si="35"/>
        <v/>
      </c>
      <c r="L747" s="85" t="str">
        <f>IF($B747="","",IF(IFERROR(INDEX('RAID Log'!$1:$1048576,$B747,MATCH("Status",'RAID Log'!$1:$1,0)),"")="","",IFERROR(INDEX('RAID Log'!$1:$1048576,$B747,MATCH("Status",'RAID Log'!$1:$1,0)),"")))</f>
        <v/>
      </c>
      <c r="M747" s="85" t="str">
        <f>IF($B747="","",IF(IFERROR(INDEX('RAID Log'!$1:$1048576,$B747,MATCH("RAID Owner",'RAID Log'!$1:$1,0)),"")="","",IFERROR(INDEX('RAID Log'!$1:$1048576,$B747,MATCH("RAID Owner",'RAID Log'!$1:$1,0)),"")))</f>
        <v/>
      </c>
      <c r="N747" s="87" t="str">
        <f>IF($B747="","",IF(IFERROR(INDEX('RAID Log'!$1:$1048576,$B747,MATCH("Date Raised",'RAID Log'!$1:$1,0)),"")="","",IFERROR(INDEX('RAID Log'!$1:$1048576,$B747,MATCH("Date Raised",'RAID Log'!$1:$1,0)),"")))</f>
        <v/>
      </c>
      <c r="O747" s="87" t="str">
        <f>IF($B747="","",IF(IFERROR(INDEX('RAID Log'!$1:$1048576,$B747,MATCH("Closed Date",'RAID Log'!$1:$1,0)),"")="","",IFERROR(INDEX('RAID Log'!$1:$1048576,$B747,MATCH("Closed Date",'RAID Log'!$1:$1,0)),"")))</f>
        <v/>
      </c>
      <c r="P747" s="85" t="str">
        <f>IF($B747="","",IF(IFERROR(INDEX('RAID Log'!$1:$1048576,$B747,MATCH("Mitigation Strategy",'RAID Log'!$1:$1,0)),"")="","",IFERROR(INDEX('RAID Log'!$1:$1048576,$B747,MATCH("Mitigation Strategy",'RAID Log'!$1:$1,0)),"")))</f>
        <v/>
      </c>
      <c r="Q747" s="88" t="str">
        <f>IF($B747="","",IF(IFERROR(INDEX('RAID Log'!$1:$1048576,$B747,MATCH("RAID Response/Plan",'RAID Log'!$1:$1,0)),"")="","",IFERROR(INDEX('RAID Log'!$1:$1048576,$B747,MATCH("RAID Response/Plan",'RAID Log'!$1:$1,0)),"")))</f>
        <v/>
      </c>
    </row>
    <row r="748" spans="1:17" ht="14.25" customHeight="1">
      <c r="A748" s="82" t="str">
        <f>IF($B748="","",IF(IFERROR(INDEX('RAID Log'!$1:$1048576,$B748,MATCH("RAID ID",'RAID Log'!$1:$1,0)),"")="","",IFERROR(INDEX('RAID Log'!$1:$1048576,$B748,MATCH("RAID ID",'RAID Log'!$1:$1,0)),"")))</f>
        <v/>
      </c>
      <c r="B748" s="83" t="str">
        <f>IFERROR(MATCH(ROW()-1,'RAID Log'!$S:$S,0),"")</f>
        <v/>
      </c>
      <c r="C748" s="84" t="str">
        <f>IF($B748="","",IF(IFERROR(INDEX('RAID Log'!$1:$1048576,$B748,MATCH("Description",'RAID Log'!$1:$1,0)),"")="","",IFERROR(INDEX('RAID Log'!$1:$1048576,$B748,MATCH("Description",'RAID Log'!$1:$1,0)),"")))</f>
        <v/>
      </c>
      <c r="D748" s="84" t="str">
        <f>IF($B748="","",IF(IFERROR(INDEX('RAID Log'!$1:$1048576,$B748,MATCH("Impact/Effect of the RAID",'RAID Log'!$1:$1,0)),"")="","",IFERROR(INDEX('RAID Log'!$1:$1048576,$B748,MATCH("Impact/Effect of the RAID",'RAID Log'!$1:$1,0)),"")))</f>
        <v/>
      </c>
      <c r="E748" s="85" t="str">
        <f>IF($B748="","",IF(IFERROR(INDEX('RAID Log'!$1:$1048576,$B748,MATCH("Impact Area",'RAID Log'!$1:$1,0)),"")="","",IFERROR(INDEX('RAID Log'!$1:$1048576,$B748,MATCH("Impact Area",'RAID Log'!$1:$1,0)),"")))</f>
        <v/>
      </c>
      <c r="F748" s="85" t="str">
        <f>IF($B748="","",IF(IFERROR(INDEX('RAID Log'!$1:$1048576,$B748,MATCH("Impact Area",'RAID Log'!$1:$1,0)),"")="","",IFERROR(INDEX('RAID Log'!$1:$1048576,$B748,MATCH("Impact Area",'RAID Log'!$1:$1,0)),"")))</f>
        <v/>
      </c>
      <c r="G748" s="85" t="str">
        <f>IF($B748="","",IF(IFERROR(INDEX('RAID Log'!$1:$1048576,$B748,MATCH("Impact Rating",'RAID Log'!$1:$1,0)),"")="","",IFERROR(INDEX('RAID Log'!$1:$1048576,$B748,MATCH("Impact Rating",'RAID Log'!$1:$1,0)),"")))</f>
        <v/>
      </c>
      <c r="H748" s="85" t="str">
        <f>IF($B748="","",IF(IFERROR(INDEX('RAID Log'!$1:$1048576,$B748,MATCH("Initial Probability",'RAID Log'!$1:$1,0)),"")="","",IFERROR(INDEX('RAID Log'!$1:$1048576,$B748,MATCH("Initial Probability",'RAID Log'!$1:$1,0)),"")))</f>
        <v/>
      </c>
      <c r="I748" s="86" t="str">
        <f t="shared" si="33"/>
        <v/>
      </c>
      <c r="J748" s="85" t="str">
        <f t="shared" si="34"/>
        <v/>
      </c>
      <c r="K748" s="86" t="str">
        <f t="shared" si="35"/>
        <v/>
      </c>
      <c r="L748" s="85" t="str">
        <f>IF($B748="","",IF(IFERROR(INDEX('RAID Log'!$1:$1048576,$B748,MATCH("Status",'RAID Log'!$1:$1,0)),"")="","",IFERROR(INDEX('RAID Log'!$1:$1048576,$B748,MATCH("Status",'RAID Log'!$1:$1,0)),"")))</f>
        <v/>
      </c>
      <c r="M748" s="85" t="str">
        <f>IF($B748="","",IF(IFERROR(INDEX('RAID Log'!$1:$1048576,$B748,MATCH("RAID Owner",'RAID Log'!$1:$1,0)),"")="","",IFERROR(INDEX('RAID Log'!$1:$1048576,$B748,MATCH("RAID Owner",'RAID Log'!$1:$1,0)),"")))</f>
        <v/>
      </c>
      <c r="N748" s="87" t="str">
        <f>IF($B748="","",IF(IFERROR(INDEX('RAID Log'!$1:$1048576,$B748,MATCH("Date Raised",'RAID Log'!$1:$1,0)),"")="","",IFERROR(INDEX('RAID Log'!$1:$1048576,$B748,MATCH("Date Raised",'RAID Log'!$1:$1,0)),"")))</f>
        <v/>
      </c>
      <c r="O748" s="87" t="str">
        <f>IF($B748="","",IF(IFERROR(INDEX('RAID Log'!$1:$1048576,$B748,MATCH("Closed Date",'RAID Log'!$1:$1,0)),"")="","",IFERROR(INDEX('RAID Log'!$1:$1048576,$B748,MATCH("Closed Date",'RAID Log'!$1:$1,0)),"")))</f>
        <v/>
      </c>
      <c r="P748" s="85" t="str">
        <f>IF($B748="","",IF(IFERROR(INDEX('RAID Log'!$1:$1048576,$B748,MATCH("Mitigation Strategy",'RAID Log'!$1:$1,0)),"")="","",IFERROR(INDEX('RAID Log'!$1:$1048576,$B748,MATCH("Mitigation Strategy",'RAID Log'!$1:$1,0)),"")))</f>
        <v/>
      </c>
      <c r="Q748" s="88" t="str">
        <f>IF($B748="","",IF(IFERROR(INDEX('RAID Log'!$1:$1048576,$B748,MATCH("RAID Response/Plan",'RAID Log'!$1:$1,0)),"")="","",IFERROR(INDEX('RAID Log'!$1:$1048576,$B748,MATCH("RAID Response/Plan",'RAID Log'!$1:$1,0)),"")))</f>
        <v/>
      </c>
    </row>
    <row r="749" spans="1:17" ht="14.25" customHeight="1">
      <c r="A749" s="82" t="str">
        <f>IF($B749="","",IF(IFERROR(INDEX('RAID Log'!$1:$1048576,$B749,MATCH("RAID ID",'RAID Log'!$1:$1,0)),"")="","",IFERROR(INDEX('RAID Log'!$1:$1048576,$B749,MATCH("RAID ID",'RAID Log'!$1:$1,0)),"")))</f>
        <v/>
      </c>
      <c r="B749" s="83" t="str">
        <f>IFERROR(MATCH(ROW()-1,'RAID Log'!$S:$S,0),"")</f>
        <v/>
      </c>
      <c r="C749" s="84" t="str">
        <f>IF($B749="","",IF(IFERROR(INDEX('RAID Log'!$1:$1048576,$B749,MATCH("Description",'RAID Log'!$1:$1,0)),"")="","",IFERROR(INDEX('RAID Log'!$1:$1048576,$B749,MATCH("Description",'RAID Log'!$1:$1,0)),"")))</f>
        <v/>
      </c>
      <c r="D749" s="84" t="str">
        <f>IF($B749="","",IF(IFERROR(INDEX('RAID Log'!$1:$1048576,$B749,MATCH("Impact/Effect of the RAID",'RAID Log'!$1:$1,0)),"")="","",IFERROR(INDEX('RAID Log'!$1:$1048576,$B749,MATCH("Impact/Effect of the RAID",'RAID Log'!$1:$1,0)),"")))</f>
        <v/>
      </c>
      <c r="E749" s="85" t="str">
        <f>IF($B749="","",IF(IFERROR(INDEX('RAID Log'!$1:$1048576,$B749,MATCH("Impact Area",'RAID Log'!$1:$1,0)),"")="","",IFERROR(INDEX('RAID Log'!$1:$1048576,$B749,MATCH("Impact Area",'RAID Log'!$1:$1,0)),"")))</f>
        <v/>
      </c>
      <c r="F749" s="85" t="str">
        <f>IF($B749="","",IF(IFERROR(INDEX('RAID Log'!$1:$1048576,$B749,MATCH("Impact Area",'RAID Log'!$1:$1,0)),"")="","",IFERROR(INDEX('RAID Log'!$1:$1048576,$B749,MATCH("Impact Area",'RAID Log'!$1:$1,0)),"")))</f>
        <v/>
      </c>
      <c r="G749" s="85" t="str">
        <f>IF($B749="","",IF(IFERROR(INDEX('RAID Log'!$1:$1048576,$B749,MATCH("Impact Rating",'RAID Log'!$1:$1,0)),"")="","",IFERROR(INDEX('RAID Log'!$1:$1048576,$B749,MATCH("Impact Rating",'RAID Log'!$1:$1,0)),"")))</f>
        <v/>
      </c>
      <c r="H749" s="85" t="str">
        <f>IF($B749="","",IF(IFERROR(INDEX('RAID Log'!$1:$1048576,$B749,MATCH("Initial Probability",'RAID Log'!$1:$1,0)),"")="","",IFERROR(INDEX('RAID Log'!$1:$1048576,$B749,MATCH("Initial Probability",'RAID Log'!$1:$1,0)),"")))</f>
        <v/>
      </c>
      <c r="I749" s="86" t="str">
        <f t="shared" si="33"/>
        <v/>
      </c>
      <c r="J749" s="85" t="str">
        <f t="shared" si="34"/>
        <v/>
      </c>
      <c r="K749" s="86" t="str">
        <f t="shared" si="35"/>
        <v/>
      </c>
      <c r="L749" s="85" t="str">
        <f>IF($B749="","",IF(IFERROR(INDEX('RAID Log'!$1:$1048576,$B749,MATCH("Status",'RAID Log'!$1:$1,0)),"")="","",IFERROR(INDEX('RAID Log'!$1:$1048576,$B749,MATCH("Status",'RAID Log'!$1:$1,0)),"")))</f>
        <v/>
      </c>
      <c r="M749" s="85" t="str">
        <f>IF($B749="","",IF(IFERROR(INDEX('RAID Log'!$1:$1048576,$B749,MATCH("RAID Owner",'RAID Log'!$1:$1,0)),"")="","",IFERROR(INDEX('RAID Log'!$1:$1048576,$B749,MATCH("RAID Owner",'RAID Log'!$1:$1,0)),"")))</f>
        <v/>
      </c>
      <c r="N749" s="87" t="str">
        <f>IF($B749="","",IF(IFERROR(INDEX('RAID Log'!$1:$1048576,$B749,MATCH("Date Raised",'RAID Log'!$1:$1,0)),"")="","",IFERROR(INDEX('RAID Log'!$1:$1048576,$B749,MATCH("Date Raised",'RAID Log'!$1:$1,0)),"")))</f>
        <v/>
      </c>
      <c r="O749" s="87" t="str">
        <f>IF($B749="","",IF(IFERROR(INDEX('RAID Log'!$1:$1048576,$B749,MATCH("Closed Date",'RAID Log'!$1:$1,0)),"")="","",IFERROR(INDEX('RAID Log'!$1:$1048576,$B749,MATCH("Closed Date",'RAID Log'!$1:$1,0)),"")))</f>
        <v/>
      </c>
      <c r="P749" s="85" t="str">
        <f>IF($B749="","",IF(IFERROR(INDEX('RAID Log'!$1:$1048576,$B749,MATCH("Mitigation Strategy",'RAID Log'!$1:$1,0)),"")="","",IFERROR(INDEX('RAID Log'!$1:$1048576,$B749,MATCH("Mitigation Strategy",'RAID Log'!$1:$1,0)),"")))</f>
        <v/>
      </c>
      <c r="Q749" s="88" t="str">
        <f>IF($B749="","",IF(IFERROR(INDEX('RAID Log'!$1:$1048576,$B749,MATCH("RAID Response/Plan",'RAID Log'!$1:$1,0)),"")="","",IFERROR(INDEX('RAID Log'!$1:$1048576,$B749,MATCH("RAID Response/Plan",'RAID Log'!$1:$1,0)),"")))</f>
        <v/>
      </c>
    </row>
    <row r="750" spans="1:17" ht="14.25" customHeight="1">
      <c r="A750" s="82" t="str">
        <f>IF($B750="","",IF(IFERROR(INDEX('RAID Log'!$1:$1048576,$B750,MATCH("RAID ID",'RAID Log'!$1:$1,0)),"")="","",IFERROR(INDEX('RAID Log'!$1:$1048576,$B750,MATCH("RAID ID",'RAID Log'!$1:$1,0)),"")))</f>
        <v/>
      </c>
      <c r="B750" s="83" t="str">
        <f>IFERROR(MATCH(ROW()-1,'RAID Log'!$S:$S,0),"")</f>
        <v/>
      </c>
      <c r="C750" s="84" t="str">
        <f>IF($B750="","",IF(IFERROR(INDEX('RAID Log'!$1:$1048576,$B750,MATCH("Description",'RAID Log'!$1:$1,0)),"")="","",IFERROR(INDEX('RAID Log'!$1:$1048576,$B750,MATCH("Description",'RAID Log'!$1:$1,0)),"")))</f>
        <v/>
      </c>
      <c r="D750" s="84" t="str">
        <f>IF($B750="","",IF(IFERROR(INDEX('RAID Log'!$1:$1048576,$B750,MATCH("Impact/Effect of the RAID",'RAID Log'!$1:$1,0)),"")="","",IFERROR(INDEX('RAID Log'!$1:$1048576,$B750,MATCH("Impact/Effect of the RAID",'RAID Log'!$1:$1,0)),"")))</f>
        <v/>
      </c>
      <c r="E750" s="85" t="str">
        <f>IF($B750="","",IF(IFERROR(INDEX('RAID Log'!$1:$1048576,$B750,MATCH("Impact Area",'RAID Log'!$1:$1,0)),"")="","",IFERROR(INDEX('RAID Log'!$1:$1048576,$B750,MATCH("Impact Area",'RAID Log'!$1:$1,0)),"")))</f>
        <v/>
      </c>
      <c r="F750" s="85" t="str">
        <f>IF($B750="","",IF(IFERROR(INDEX('RAID Log'!$1:$1048576,$B750,MATCH("Impact Area",'RAID Log'!$1:$1,0)),"")="","",IFERROR(INDEX('RAID Log'!$1:$1048576,$B750,MATCH("Impact Area",'RAID Log'!$1:$1,0)),"")))</f>
        <v/>
      </c>
      <c r="G750" s="85" t="str">
        <f>IF($B750="","",IF(IFERROR(INDEX('RAID Log'!$1:$1048576,$B750,MATCH("Impact Rating",'RAID Log'!$1:$1,0)),"")="","",IFERROR(INDEX('RAID Log'!$1:$1048576,$B750,MATCH("Impact Rating",'RAID Log'!$1:$1,0)),"")))</f>
        <v/>
      </c>
      <c r="H750" s="85" t="str">
        <f>IF($B750="","",IF(IFERROR(INDEX('RAID Log'!$1:$1048576,$B750,MATCH("Initial Probability",'RAID Log'!$1:$1,0)),"")="","",IFERROR(INDEX('RAID Log'!$1:$1048576,$B750,MATCH("Initial Probability",'RAID Log'!$1:$1,0)),"")))</f>
        <v/>
      </c>
      <c r="I750" s="86" t="str">
        <f t="shared" si="33"/>
        <v/>
      </c>
      <c r="J750" s="85" t="str">
        <f t="shared" si="34"/>
        <v/>
      </c>
      <c r="K750" s="86" t="str">
        <f t="shared" si="35"/>
        <v/>
      </c>
      <c r="L750" s="85" t="str">
        <f>IF($B750="","",IF(IFERROR(INDEX('RAID Log'!$1:$1048576,$B750,MATCH("Status",'RAID Log'!$1:$1,0)),"")="","",IFERROR(INDEX('RAID Log'!$1:$1048576,$B750,MATCH("Status",'RAID Log'!$1:$1,0)),"")))</f>
        <v/>
      </c>
      <c r="M750" s="85" t="str">
        <f>IF($B750="","",IF(IFERROR(INDEX('RAID Log'!$1:$1048576,$B750,MATCH("RAID Owner",'RAID Log'!$1:$1,0)),"")="","",IFERROR(INDEX('RAID Log'!$1:$1048576,$B750,MATCH("RAID Owner",'RAID Log'!$1:$1,0)),"")))</f>
        <v/>
      </c>
      <c r="N750" s="87" t="str">
        <f>IF($B750="","",IF(IFERROR(INDEX('RAID Log'!$1:$1048576,$B750,MATCH("Date Raised",'RAID Log'!$1:$1,0)),"")="","",IFERROR(INDEX('RAID Log'!$1:$1048576,$B750,MATCH("Date Raised",'RAID Log'!$1:$1,0)),"")))</f>
        <v/>
      </c>
      <c r="O750" s="87" t="str">
        <f>IF($B750="","",IF(IFERROR(INDEX('RAID Log'!$1:$1048576,$B750,MATCH("Closed Date",'RAID Log'!$1:$1,0)),"")="","",IFERROR(INDEX('RAID Log'!$1:$1048576,$B750,MATCH("Closed Date",'RAID Log'!$1:$1,0)),"")))</f>
        <v/>
      </c>
      <c r="P750" s="85" t="str">
        <f>IF($B750="","",IF(IFERROR(INDEX('RAID Log'!$1:$1048576,$B750,MATCH("Mitigation Strategy",'RAID Log'!$1:$1,0)),"")="","",IFERROR(INDEX('RAID Log'!$1:$1048576,$B750,MATCH("Mitigation Strategy",'RAID Log'!$1:$1,0)),"")))</f>
        <v/>
      </c>
      <c r="Q750" s="88" t="str">
        <f>IF($B750="","",IF(IFERROR(INDEX('RAID Log'!$1:$1048576,$B750,MATCH("RAID Response/Plan",'RAID Log'!$1:$1,0)),"")="","",IFERROR(INDEX('RAID Log'!$1:$1048576,$B750,MATCH("RAID Response/Plan",'RAID Log'!$1:$1,0)),"")))</f>
        <v/>
      </c>
    </row>
    <row r="751" spans="1:17" ht="14.25" customHeight="1">
      <c r="A751" s="82" t="str">
        <f>IF($B751="","",IF(IFERROR(INDEX('RAID Log'!$1:$1048576,$B751,MATCH("RAID ID",'RAID Log'!$1:$1,0)),"")="","",IFERROR(INDEX('RAID Log'!$1:$1048576,$B751,MATCH("RAID ID",'RAID Log'!$1:$1,0)),"")))</f>
        <v/>
      </c>
      <c r="B751" s="83" t="str">
        <f>IFERROR(MATCH(ROW()-1,'RAID Log'!$S:$S,0),"")</f>
        <v/>
      </c>
      <c r="C751" s="84" t="str">
        <f>IF($B751="","",IF(IFERROR(INDEX('RAID Log'!$1:$1048576,$B751,MATCH("Description",'RAID Log'!$1:$1,0)),"")="","",IFERROR(INDEX('RAID Log'!$1:$1048576,$B751,MATCH("Description",'RAID Log'!$1:$1,0)),"")))</f>
        <v/>
      </c>
      <c r="D751" s="84" t="str">
        <f>IF($B751="","",IF(IFERROR(INDEX('RAID Log'!$1:$1048576,$B751,MATCH("Impact/Effect of the RAID",'RAID Log'!$1:$1,0)),"")="","",IFERROR(INDEX('RAID Log'!$1:$1048576,$B751,MATCH("Impact/Effect of the RAID",'RAID Log'!$1:$1,0)),"")))</f>
        <v/>
      </c>
      <c r="E751" s="85" t="str">
        <f>IF($B751="","",IF(IFERROR(INDEX('RAID Log'!$1:$1048576,$B751,MATCH("Impact Area",'RAID Log'!$1:$1,0)),"")="","",IFERROR(INDEX('RAID Log'!$1:$1048576,$B751,MATCH("Impact Area",'RAID Log'!$1:$1,0)),"")))</f>
        <v/>
      </c>
      <c r="F751" s="85" t="str">
        <f>IF($B751="","",IF(IFERROR(INDEX('RAID Log'!$1:$1048576,$B751,MATCH("Impact Area",'RAID Log'!$1:$1,0)),"")="","",IFERROR(INDEX('RAID Log'!$1:$1048576,$B751,MATCH("Impact Area",'RAID Log'!$1:$1,0)),"")))</f>
        <v/>
      </c>
      <c r="G751" s="85" t="str">
        <f>IF($B751="","",IF(IFERROR(INDEX('RAID Log'!$1:$1048576,$B751,MATCH("Impact Rating",'RAID Log'!$1:$1,0)),"")="","",IFERROR(INDEX('RAID Log'!$1:$1048576,$B751,MATCH("Impact Rating",'RAID Log'!$1:$1,0)),"")))</f>
        <v/>
      </c>
      <c r="H751" s="85" t="str">
        <f>IF($B751="","",IF(IFERROR(INDEX('RAID Log'!$1:$1048576,$B751,MATCH("Initial Probability",'RAID Log'!$1:$1,0)),"")="","",IFERROR(INDEX('RAID Log'!$1:$1048576,$B751,MATCH("Initial Probability",'RAID Log'!$1:$1,0)),"")))</f>
        <v/>
      </c>
      <c r="I751" s="86" t="str">
        <f t="shared" si="33"/>
        <v/>
      </c>
      <c r="J751" s="85" t="str">
        <f t="shared" si="34"/>
        <v/>
      </c>
      <c r="K751" s="86" t="str">
        <f t="shared" si="35"/>
        <v/>
      </c>
      <c r="L751" s="85" t="str">
        <f>IF($B751="","",IF(IFERROR(INDEX('RAID Log'!$1:$1048576,$B751,MATCH("Status",'RAID Log'!$1:$1,0)),"")="","",IFERROR(INDEX('RAID Log'!$1:$1048576,$B751,MATCH("Status",'RAID Log'!$1:$1,0)),"")))</f>
        <v/>
      </c>
      <c r="M751" s="85" t="str">
        <f>IF($B751="","",IF(IFERROR(INDEX('RAID Log'!$1:$1048576,$B751,MATCH("RAID Owner",'RAID Log'!$1:$1,0)),"")="","",IFERROR(INDEX('RAID Log'!$1:$1048576,$B751,MATCH("RAID Owner",'RAID Log'!$1:$1,0)),"")))</f>
        <v/>
      </c>
      <c r="N751" s="87" t="str">
        <f>IF($B751="","",IF(IFERROR(INDEX('RAID Log'!$1:$1048576,$B751,MATCH("Date Raised",'RAID Log'!$1:$1,0)),"")="","",IFERROR(INDEX('RAID Log'!$1:$1048576,$B751,MATCH("Date Raised",'RAID Log'!$1:$1,0)),"")))</f>
        <v/>
      </c>
      <c r="O751" s="87" t="str">
        <f>IF($B751="","",IF(IFERROR(INDEX('RAID Log'!$1:$1048576,$B751,MATCH("Closed Date",'RAID Log'!$1:$1,0)),"")="","",IFERROR(INDEX('RAID Log'!$1:$1048576,$B751,MATCH("Closed Date",'RAID Log'!$1:$1,0)),"")))</f>
        <v/>
      </c>
      <c r="P751" s="85" t="str">
        <f>IF($B751="","",IF(IFERROR(INDEX('RAID Log'!$1:$1048576,$B751,MATCH("Mitigation Strategy",'RAID Log'!$1:$1,0)),"")="","",IFERROR(INDEX('RAID Log'!$1:$1048576,$B751,MATCH("Mitigation Strategy",'RAID Log'!$1:$1,0)),"")))</f>
        <v/>
      </c>
      <c r="Q751" s="88" t="str">
        <f>IF($B751="","",IF(IFERROR(INDEX('RAID Log'!$1:$1048576,$B751,MATCH("RAID Response/Plan",'RAID Log'!$1:$1,0)),"")="","",IFERROR(INDEX('RAID Log'!$1:$1048576,$B751,MATCH("RAID Response/Plan",'RAID Log'!$1:$1,0)),"")))</f>
        <v/>
      </c>
    </row>
    <row r="752" spans="1:17" ht="14.25" customHeight="1">
      <c r="A752" s="82" t="str">
        <f>IF($B752="","",IF(IFERROR(INDEX('RAID Log'!$1:$1048576,$B752,MATCH("RAID ID",'RAID Log'!$1:$1,0)),"")="","",IFERROR(INDEX('RAID Log'!$1:$1048576,$B752,MATCH("RAID ID",'RAID Log'!$1:$1,0)),"")))</f>
        <v/>
      </c>
      <c r="B752" s="83" t="str">
        <f>IFERROR(MATCH(ROW()-1,'RAID Log'!$S:$S,0),"")</f>
        <v/>
      </c>
      <c r="C752" s="84" t="str">
        <f>IF($B752="","",IF(IFERROR(INDEX('RAID Log'!$1:$1048576,$B752,MATCH("Description",'RAID Log'!$1:$1,0)),"")="","",IFERROR(INDEX('RAID Log'!$1:$1048576,$B752,MATCH("Description",'RAID Log'!$1:$1,0)),"")))</f>
        <v/>
      </c>
      <c r="D752" s="84" t="str">
        <f>IF($B752="","",IF(IFERROR(INDEX('RAID Log'!$1:$1048576,$B752,MATCH("Impact/Effect of the RAID",'RAID Log'!$1:$1,0)),"")="","",IFERROR(INDEX('RAID Log'!$1:$1048576,$B752,MATCH("Impact/Effect of the RAID",'RAID Log'!$1:$1,0)),"")))</f>
        <v/>
      </c>
      <c r="E752" s="85" t="str">
        <f>IF($B752="","",IF(IFERROR(INDEX('RAID Log'!$1:$1048576,$B752,MATCH("Impact Area",'RAID Log'!$1:$1,0)),"")="","",IFERROR(INDEX('RAID Log'!$1:$1048576,$B752,MATCH("Impact Area",'RAID Log'!$1:$1,0)),"")))</f>
        <v/>
      </c>
      <c r="F752" s="85" t="str">
        <f>IF($B752="","",IF(IFERROR(INDEX('RAID Log'!$1:$1048576,$B752,MATCH("Impact Area",'RAID Log'!$1:$1,0)),"")="","",IFERROR(INDEX('RAID Log'!$1:$1048576,$B752,MATCH("Impact Area",'RAID Log'!$1:$1,0)),"")))</f>
        <v/>
      </c>
      <c r="G752" s="85" t="str">
        <f>IF($B752="","",IF(IFERROR(INDEX('RAID Log'!$1:$1048576,$B752,MATCH("Impact Rating",'RAID Log'!$1:$1,0)),"")="","",IFERROR(INDEX('RAID Log'!$1:$1048576,$B752,MATCH("Impact Rating",'RAID Log'!$1:$1,0)),"")))</f>
        <v/>
      </c>
      <c r="H752" s="85" t="str">
        <f>IF($B752="","",IF(IFERROR(INDEX('RAID Log'!$1:$1048576,$B752,MATCH("Initial Probability",'RAID Log'!$1:$1,0)),"")="","",IFERROR(INDEX('RAID Log'!$1:$1048576,$B752,MATCH("Initial Probability",'RAID Log'!$1:$1,0)),"")))</f>
        <v/>
      </c>
      <c r="I752" s="86" t="str">
        <f t="shared" si="33"/>
        <v/>
      </c>
      <c r="J752" s="85" t="str">
        <f t="shared" si="34"/>
        <v/>
      </c>
      <c r="K752" s="86" t="str">
        <f t="shared" si="35"/>
        <v/>
      </c>
      <c r="L752" s="85" t="str">
        <f>IF($B752="","",IF(IFERROR(INDEX('RAID Log'!$1:$1048576,$B752,MATCH("Status",'RAID Log'!$1:$1,0)),"")="","",IFERROR(INDEX('RAID Log'!$1:$1048576,$B752,MATCH("Status",'RAID Log'!$1:$1,0)),"")))</f>
        <v/>
      </c>
      <c r="M752" s="85" t="str">
        <f>IF($B752="","",IF(IFERROR(INDEX('RAID Log'!$1:$1048576,$B752,MATCH("RAID Owner",'RAID Log'!$1:$1,0)),"")="","",IFERROR(INDEX('RAID Log'!$1:$1048576,$B752,MATCH("RAID Owner",'RAID Log'!$1:$1,0)),"")))</f>
        <v/>
      </c>
      <c r="N752" s="87" t="str">
        <f>IF($B752="","",IF(IFERROR(INDEX('RAID Log'!$1:$1048576,$B752,MATCH("Date Raised",'RAID Log'!$1:$1,0)),"")="","",IFERROR(INDEX('RAID Log'!$1:$1048576,$B752,MATCH("Date Raised",'RAID Log'!$1:$1,0)),"")))</f>
        <v/>
      </c>
      <c r="O752" s="87" t="str">
        <f>IF($B752="","",IF(IFERROR(INDEX('RAID Log'!$1:$1048576,$B752,MATCH("Closed Date",'RAID Log'!$1:$1,0)),"")="","",IFERROR(INDEX('RAID Log'!$1:$1048576,$B752,MATCH("Closed Date",'RAID Log'!$1:$1,0)),"")))</f>
        <v/>
      </c>
      <c r="P752" s="85" t="str">
        <f>IF($B752="","",IF(IFERROR(INDEX('RAID Log'!$1:$1048576,$B752,MATCH("Mitigation Strategy",'RAID Log'!$1:$1,0)),"")="","",IFERROR(INDEX('RAID Log'!$1:$1048576,$B752,MATCH("Mitigation Strategy",'RAID Log'!$1:$1,0)),"")))</f>
        <v/>
      </c>
      <c r="Q752" s="88" t="str">
        <f>IF($B752="","",IF(IFERROR(INDEX('RAID Log'!$1:$1048576,$B752,MATCH("RAID Response/Plan",'RAID Log'!$1:$1,0)),"")="","",IFERROR(INDEX('RAID Log'!$1:$1048576,$B752,MATCH("RAID Response/Plan",'RAID Log'!$1:$1,0)),"")))</f>
        <v/>
      </c>
    </row>
    <row r="753" spans="1:17" ht="14.25" customHeight="1">
      <c r="A753" s="82" t="str">
        <f>IF($B753="","",IF(IFERROR(INDEX('RAID Log'!$1:$1048576,$B753,MATCH("RAID ID",'RAID Log'!$1:$1,0)),"")="","",IFERROR(INDEX('RAID Log'!$1:$1048576,$B753,MATCH("RAID ID",'RAID Log'!$1:$1,0)),"")))</f>
        <v/>
      </c>
      <c r="B753" s="83" t="str">
        <f>IFERROR(MATCH(ROW()-1,'RAID Log'!$S:$S,0),"")</f>
        <v/>
      </c>
      <c r="C753" s="84" t="str">
        <f>IF($B753="","",IF(IFERROR(INDEX('RAID Log'!$1:$1048576,$B753,MATCH("Description",'RAID Log'!$1:$1,0)),"")="","",IFERROR(INDEX('RAID Log'!$1:$1048576,$B753,MATCH("Description",'RAID Log'!$1:$1,0)),"")))</f>
        <v/>
      </c>
      <c r="D753" s="84" t="str">
        <f>IF($B753="","",IF(IFERROR(INDEX('RAID Log'!$1:$1048576,$B753,MATCH("Impact/Effect of the RAID",'RAID Log'!$1:$1,0)),"")="","",IFERROR(INDEX('RAID Log'!$1:$1048576,$B753,MATCH("Impact/Effect of the RAID",'RAID Log'!$1:$1,0)),"")))</f>
        <v/>
      </c>
      <c r="E753" s="85" t="str">
        <f>IF($B753="","",IF(IFERROR(INDEX('RAID Log'!$1:$1048576,$B753,MATCH("Impact Area",'RAID Log'!$1:$1,0)),"")="","",IFERROR(INDEX('RAID Log'!$1:$1048576,$B753,MATCH("Impact Area",'RAID Log'!$1:$1,0)),"")))</f>
        <v/>
      </c>
      <c r="F753" s="85" t="str">
        <f>IF($B753="","",IF(IFERROR(INDEX('RAID Log'!$1:$1048576,$B753,MATCH("Impact Area",'RAID Log'!$1:$1,0)),"")="","",IFERROR(INDEX('RAID Log'!$1:$1048576,$B753,MATCH("Impact Area",'RAID Log'!$1:$1,0)),"")))</f>
        <v/>
      </c>
      <c r="G753" s="85" t="str">
        <f>IF($B753="","",IF(IFERROR(INDEX('RAID Log'!$1:$1048576,$B753,MATCH("Impact Rating",'RAID Log'!$1:$1,0)),"")="","",IFERROR(INDEX('RAID Log'!$1:$1048576,$B753,MATCH("Impact Rating",'RAID Log'!$1:$1,0)),"")))</f>
        <v/>
      </c>
      <c r="H753" s="85" t="str">
        <f>IF($B753="","",IF(IFERROR(INDEX('RAID Log'!$1:$1048576,$B753,MATCH("Initial Probability",'RAID Log'!$1:$1,0)),"")="","",IFERROR(INDEX('RAID Log'!$1:$1048576,$B753,MATCH("Initial Probability",'RAID Log'!$1:$1,0)),"")))</f>
        <v/>
      </c>
      <c r="I753" s="86" t="str">
        <f t="shared" si="33"/>
        <v/>
      </c>
      <c r="J753" s="85" t="str">
        <f t="shared" si="34"/>
        <v/>
      </c>
      <c r="K753" s="86" t="str">
        <f t="shared" si="35"/>
        <v/>
      </c>
      <c r="L753" s="85" t="str">
        <f>IF($B753="","",IF(IFERROR(INDEX('RAID Log'!$1:$1048576,$B753,MATCH("Status",'RAID Log'!$1:$1,0)),"")="","",IFERROR(INDEX('RAID Log'!$1:$1048576,$B753,MATCH("Status",'RAID Log'!$1:$1,0)),"")))</f>
        <v/>
      </c>
      <c r="M753" s="85" t="str">
        <f>IF($B753="","",IF(IFERROR(INDEX('RAID Log'!$1:$1048576,$B753,MATCH("RAID Owner",'RAID Log'!$1:$1,0)),"")="","",IFERROR(INDEX('RAID Log'!$1:$1048576,$B753,MATCH("RAID Owner",'RAID Log'!$1:$1,0)),"")))</f>
        <v/>
      </c>
      <c r="N753" s="87" t="str">
        <f>IF($B753="","",IF(IFERROR(INDEX('RAID Log'!$1:$1048576,$B753,MATCH("Date Raised",'RAID Log'!$1:$1,0)),"")="","",IFERROR(INDEX('RAID Log'!$1:$1048576,$B753,MATCH("Date Raised",'RAID Log'!$1:$1,0)),"")))</f>
        <v/>
      </c>
      <c r="O753" s="87" t="str">
        <f>IF($B753="","",IF(IFERROR(INDEX('RAID Log'!$1:$1048576,$B753,MATCH("Closed Date",'RAID Log'!$1:$1,0)),"")="","",IFERROR(INDEX('RAID Log'!$1:$1048576,$B753,MATCH("Closed Date",'RAID Log'!$1:$1,0)),"")))</f>
        <v/>
      </c>
      <c r="P753" s="85" t="str">
        <f>IF($B753="","",IF(IFERROR(INDEX('RAID Log'!$1:$1048576,$B753,MATCH("Mitigation Strategy",'RAID Log'!$1:$1,0)),"")="","",IFERROR(INDEX('RAID Log'!$1:$1048576,$B753,MATCH("Mitigation Strategy",'RAID Log'!$1:$1,0)),"")))</f>
        <v/>
      </c>
      <c r="Q753" s="88" t="str">
        <f>IF($B753="","",IF(IFERROR(INDEX('RAID Log'!$1:$1048576,$B753,MATCH("RAID Response/Plan",'RAID Log'!$1:$1,0)),"")="","",IFERROR(INDEX('RAID Log'!$1:$1048576,$B753,MATCH("RAID Response/Plan",'RAID Log'!$1:$1,0)),"")))</f>
        <v/>
      </c>
    </row>
    <row r="754" spans="1:17" ht="14.25" customHeight="1">
      <c r="A754" s="82" t="str">
        <f>IF($B754="","",IF(IFERROR(INDEX('RAID Log'!$1:$1048576,$B754,MATCH("RAID ID",'RAID Log'!$1:$1,0)),"")="","",IFERROR(INDEX('RAID Log'!$1:$1048576,$B754,MATCH("RAID ID",'RAID Log'!$1:$1,0)),"")))</f>
        <v/>
      </c>
      <c r="B754" s="83" t="str">
        <f>IFERROR(MATCH(ROW()-1,'RAID Log'!$S:$S,0),"")</f>
        <v/>
      </c>
      <c r="C754" s="84" t="str">
        <f>IF($B754="","",IF(IFERROR(INDEX('RAID Log'!$1:$1048576,$B754,MATCH("Description",'RAID Log'!$1:$1,0)),"")="","",IFERROR(INDEX('RAID Log'!$1:$1048576,$B754,MATCH("Description",'RAID Log'!$1:$1,0)),"")))</f>
        <v/>
      </c>
      <c r="D754" s="84" t="str">
        <f>IF($B754="","",IF(IFERROR(INDEX('RAID Log'!$1:$1048576,$B754,MATCH("Impact/Effect of the RAID",'RAID Log'!$1:$1,0)),"")="","",IFERROR(INDEX('RAID Log'!$1:$1048576,$B754,MATCH("Impact/Effect of the RAID",'RAID Log'!$1:$1,0)),"")))</f>
        <v/>
      </c>
      <c r="E754" s="85" t="str">
        <f>IF($B754="","",IF(IFERROR(INDEX('RAID Log'!$1:$1048576,$B754,MATCH("Impact Area",'RAID Log'!$1:$1,0)),"")="","",IFERROR(INDEX('RAID Log'!$1:$1048576,$B754,MATCH("Impact Area",'RAID Log'!$1:$1,0)),"")))</f>
        <v/>
      </c>
      <c r="F754" s="85" t="str">
        <f>IF($B754="","",IF(IFERROR(INDEX('RAID Log'!$1:$1048576,$B754,MATCH("Impact Area",'RAID Log'!$1:$1,0)),"")="","",IFERROR(INDEX('RAID Log'!$1:$1048576,$B754,MATCH("Impact Area",'RAID Log'!$1:$1,0)),"")))</f>
        <v/>
      </c>
      <c r="G754" s="85" t="str">
        <f>IF($B754="","",IF(IFERROR(INDEX('RAID Log'!$1:$1048576,$B754,MATCH("Impact Rating",'RAID Log'!$1:$1,0)),"")="","",IFERROR(INDEX('RAID Log'!$1:$1048576,$B754,MATCH("Impact Rating",'RAID Log'!$1:$1,0)),"")))</f>
        <v/>
      </c>
      <c r="H754" s="85" t="str">
        <f>IF($B754="","",IF(IFERROR(INDEX('RAID Log'!$1:$1048576,$B754,MATCH("Initial Probability",'RAID Log'!$1:$1,0)),"")="","",IFERROR(INDEX('RAID Log'!$1:$1048576,$B754,MATCH("Initial Probability",'RAID Log'!$1:$1,0)),"")))</f>
        <v/>
      </c>
      <c r="I754" s="86" t="str">
        <f t="shared" si="33"/>
        <v/>
      </c>
      <c r="J754" s="85" t="str">
        <f t="shared" si="34"/>
        <v/>
      </c>
      <c r="K754" s="86" t="str">
        <f t="shared" si="35"/>
        <v/>
      </c>
      <c r="L754" s="85" t="str">
        <f>IF($B754="","",IF(IFERROR(INDEX('RAID Log'!$1:$1048576,$B754,MATCH("Status",'RAID Log'!$1:$1,0)),"")="","",IFERROR(INDEX('RAID Log'!$1:$1048576,$B754,MATCH("Status",'RAID Log'!$1:$1,0)),"")))</f>
        <v/>
      </c>
      <c r="M754" s="85" t="str">
        <f>IF($B754="","",IF(IFERROR(INDEX('RAID Log'!$1:$1048576,$B754,MATCH("RAID Owner",'RAID Log'!$1:$1,0)),"")="","",IFERROR(INDEX('RAID Log'!$1:$1048576,$B754,MATCH("RAID Owner",'RAID Log'!$1:$1,0)),"")))</f>
        <v/>
      </c>
      <c r="N754" s="87" t="str">
        <f>IF($B754="","",IF(IFERROR(INDEX('RAID Log'!$1:$1048576,$B754,MATCH("Date Raised",'RAID Log'!$1:$1,0)),"")="","",IFERROR(INDEX('RAID Log'!$1:$1048576,$B754,MATCH("Date Raised",'RAID Log'!$1:$1,0)),"")))</f>
        <v/>
      </c>
      <c r="O754" s="87" t="str">
        <f>IF($B754="","",IF(IFERROR(INDEX('RAID Log'!$1:$1048576,$B754,MATCH("Closed Date",'RAID Log'!$1:$1,0)),"")="","",IFERROR(INDEX('RAID Log'!$1:$1048576,$B754,MATCH("Closed Date",'RAID Log'!$1:$1,0)),"")))</f>
        <v/>
      </c>
      <c r="P754" s="85" t="str">
        <f>IF($B754="","",IF(IFERROR(INDEX('RAID Log'!$1:$1048576,$B754,MATCH("Mitigation Strategy",'RAID Log'!$1:$1,0)),"")="","",IFERROR(INDEX('RAID Log'!$1:$1048576,$B754,MATCH("Mitigation Strategy",'RAID Log'!$1:$1,0)),"")))</f>
        <v/>
      </c>
      <c r="Q754" s="88" t="str">
        <f>IF($B754="","",IF(IFERROR(INDEX('RAID Log'!$1:$1048576,$B754,MATCH("RAID Response/Plan",'RAID Log'!$1:$1,0)),"")="","",IFERROR(INDEX('RAID Log'!$1:$1048576,$B754,MATCH("RAID Response/Plan",'RAID Log'!$1:$1,0)),"")))</f>
        <v/>
      </c>
    </row>
    <row r="755" spans="1:17" ht="14.25" customHeight="1">
      <c r="A755" s="82" t="str">
        <f>IF($B755="","",IF(IFERROR(INDEX('RAID Log'!$1:$1048576,$B755,MATCH("RAID ID",'RAID Log'!$1:$1,0)),"")="","",IFERROR(INDEX('RAID Log'!$1:$1048576,$B755,MATCH("RAID ID",'RAID Log'!$1:$1,0)),"")))</f>
        <v/>
      </c>
      <c r="B755" s="83" t="str">
        <f>IFERROR(MATCH(ROW()-1,'RAID Log'!$S:$S,0),"")</f>
        <v/>
      </c>
      <c r="C755" s="84" t="str">
        <f>IF($B755="","",IF(IFERROR(INDEX('RAID Log'!$1:$1048576,$B755,MATCH("Description",'RAID Log'!$1:$1,0)),"")="","",IFERROR(INDEX('RAID Log'!$1:$1048576,$B755,MATCH("Description",'RAID Log'!$1:$1,0)),"")))</f>
        <v/>
      </c>
      <c r="D755" s="84" t="str">
        <f>IF($B755="","",IF(IFERROR(INDEX('RAID Log'!$1:$1048576,$B755,MATCH("Impact/Effect of the RAID",'RAID Log'!$1:$1,0)),"")="","",IFERROR(INDEX('RAID Log'!$1:$1048576,$B755,MATCH("Impact/Effect of the RAID",'RAID Log'!$1:$1,0)),"")))</f>
        <v/>
      </c>
      <c r="E755" s="85" t="str">
        <f>IF($B755="","",IF(IFERROR(INDEX('RAID Log'!$1:$1048576,$B755,MATCH("Impact Area",'RAID Log'!$1:$1,0)),"")="","",IFERROR(INDEX('RAID Log'!$1:$1048576,$B755,MATCH("Impact Area",'RAID Log'!$1:$1,0)),"")))</f>
        <v/>
      </c>
      <c r="F755" s="85" t="str">
        <f>IF($B755="","",IF(IFERROR(INDEX('RAID Log'!$1:$1048576,$B755,MATCH("Impact Area",'RAID Log'!$1:$1,0)),"")="","",IFERROR(INDEX('RAID Log'!$1:$1048576,$B755,MATCH("Impact Area",'RAID Log'!$1:$1,0)),"")))</f>
        <v/>
      </c>
      <c r="G755" s="85" t="str">
        <f>IF($B755="","",IF(IFERROR(INDEX('RAID Log'!$1:$1048576,$B755,MATCH("Impact Rating",'RAID Log'!$1:$1,0)),"")="","",IFERROR(INDEX('RAID Log'!$1:$1048576,$B755,MATCH("Impact Rating",'RAID Log'!$1:$1,0)),"")))</f>
        <v/>
      </c>
      <c r="H755" s="85" t="str">
        <f>IF($B755="","",IF(IFERROR(INDEX('RAID Log'!$1:$1048576,$B755,MATCH("Initial Probability",'RAID Log'!$1:$1,0)),"")="","",IFERROR(INDEX('RAID Log'!$1:$1048576,$B755,MATCH("Initial Probability",'RAID Log'!$1:$1,0)),"")))</f>
        <v/>
      </c>
      <c r="I755" s="86" t="str">
        <f t="shared" si="33"/>
        <v/>
      </c>
      <c r="J755" s="85" t="str">
        <f t="shared" si="34"/>
        <v/>
      </c>
      <c r="K755" s="86" t="str">
        <f t="shared" si="35"/>
        <v/>
      </c>
      <c r="L755" s="85" t="str">
        <f>IF($B755="","",IF(IFERROR(INDEX('RAID Log'!$1:$1048576,$B755,MATCH("Status",'RAID Log'!$1:$1,0)),"")="","",IFERROR(INDEX('RAID Log'!$1:$1048576,$B755,MATCH("Status",'RAID Log'!$1:$1,0)),"")))</f>
        <v/>
      </c>
      <c r="M755" s="85" t="str">
        <f>IF($B755="","",IF(IFERROR(INDEX('RAID Log'!$1:$1048576,$B755,MATCH("RAID Owner",'RAID Log'!$1:$1,0)),"")="","",IFERROR(INDEX('RAID Log'!$1:$1048576,$B755,MATCH("RAID Owner",'RAID Log'!$1:$1,0)),"")))</f>
        <v/>
      </c>
      <c r="N755" s="87" t="str">
        <f>IF($B755="","",IF(IFERROR(INDEX('RAID Log'!$1:$1048576,$B755,MATCH("Date Raised",'RAID Log'!$1:$1,0)),"")="","",IFERROR(INDEX('RAID Log'!$1:$1048576,$B755,MATCH("Date Raised",'RAID Log'!$1:$1,0)),"")))</f>
        <v/>
      </c>
      <c r="O755" s="87" t="str">
        <f>IF($B755="","",IF(IFERROR(INDEX('RAID Log'!$1:$1048576,$B755,MATCH("Closed Date",'RAID Log'!$1:$1,0)),"")="","",IFERROR(INDEX('RAID Log'!$1:$1048576,$B755,MATCH("Closed Date",'RAID Log'!$1:$1,0)),"")))</f>
        <v/>
      </c>
      <c r="P755" s="85" t="str">
        <f>IF($B755="","",IF(IFERROR(INDEX('RAID Log'!$1:$1048576,$B755,MATCH("Mitigation Strategy",'RAID Log'!$1:$1,0)),"")="","",IFERROR(INDEX('RAID Log'!$1:$1048576,$B755,MATCH("Mitigation Strategy",'RAID Log'!$1:$1,0)),"")))</f>
        <v/>
      </c>
      <c r="Q755" s="88" t="str">
        <f>IF($B755="","",IF(IFERROR(INDEX('RAID Log'!$1:$1048576,$B755,MATCH("RAID Response/Plan",'RAID Log'!$1:$1,0)),"")="","",IFERROR(INDEX('RAID Log'!$1:$1048576,$B755,MATCH("RAID Response/Plan",'RAID Log'!$1:$1,0)),"")))</f>
        <v/>
      </c>
    </row>
    <row r="756" spans="1:17" ht="14.25" customHeight="1">
      <c r="A756" s="82" t="str">
        <f>IF($B756="","",IF(IFERROR(INDEX('RAID Log'!$1:$1048576,$B756,MATCH("RAID ID",'RAID Log'!$1:$1,0)),"")="","",IFERROR(INDEX('RAID Log'!$1:$1048576,$B756,MATCH("RAID ID",'RAID Log'!$1:$1,0)),"")))</f>
        <v/>
      </c>
      <c r="B756" s="83" t="str">
        <f>IFERROR(MATCH(ROW()-1,'RAID Log'!$S:$S,0),"")</f>
        <v/>
      </c>
      <c r="C756" s="84" t="str">
        <f>IF($B756="","",IF(IFERROR(INDEX('RAID Log'!$1:$1048576,$B756,MATCH("Description",'RAID Log'!$1:$1,0)),"")="","",IFERROR(INDEX('RAID Log'!$1:$1048576,$B756,MATCH("Description",'RAID Log'!$1:$1,0)),"")))</f>
        <v/>
      </c>
      <c r="D756" s="84" t="str">
        <f>IF($B756="","",IF(IFERROR(INDEX('RAID Log'!$1:$1048576,$B756,MATCH("Impact/Effect of the RAID",'RAID Log'!$1:$1,0)),"")="","",IFERROR(INDEX('RAID Log'!$1:$1048576,$B756,MATCH("Impact/Effect of the RAID",'RAID Log'!$1:$1,0)),"")))</f>
        <v/>
      </c>
      <c r="E756" s="85" t="str">
        <f>IF($B756="","",IF(IFERROR(INDEX('RAID Log'!$1:$1048576,$B756,MATCH("Impact Area",'RAID Log'!$1:$1,0)),"")="","",IFERROR(INDEX('RAID Log'!$1:$1048576,$B756,MATCH("Impact Area",'RAID Log'!$1:$1,0)),"")))</f>
        <v/>
      </c>
      <c r="F756" s="85" t="str">
        <f>IF($B756="","",IF(IFERROR(INDEX('RAID Log'!$1:$1048576,$B756,MATCH("Impact Area",'RAID Log'!$1:$1,0)),"")="","",IFERROR(INDEX('RAID Log'!$1:$1048576,$B756,MATCH("Impact Area",'RAID Log'!$1:$1,0)),"")))</f>
        <v/>
      </c>
      <c r="G756" s="85" t="str">
        <f>IF($B756="","",IF(IFERROR(INDEX('RAID Log'!$1:$1048576,$B756,MATCH("Impact Rating",'RAID Log'!$1:$1,0)),"")="","",IFERROR(INDEX('RAID Log'!$1:$1048576,$B756,MATCH("Impact Rating",'RAID Log'!$1:$1,0)),"")))</f>
        <v/>
      </c>
      <c r="H756" s="85" t="str">
        <f>IF($B756="","",IF(IFERROR(INDEX('RAID Log'!$1:$1048576,$B756,MATCH("Initial Probability",'RAID Log'!$1:$1,0)),"")="","",IFERROR(INDEX('RAID Log'!$1:$1048576,$B756,MATCH("Initial Probability",'RAID Log'!$1:$1,0)),"")))</f>
        <v/>
      </c>
      <c r="I756" s="86" t="str">
        <f t="shared" si="33"/>
        <v/>
      </c>
      <c r="J756" s="85" t="str">
        <f t="shared" si="34"/>
        <v/>
      </c>
      <c r="K756" s="86" t="str">
        <f t="shared" si="35"/>
        <v/>
      </c>
      <c r="L756" s="85" t="str">
        <f>IF($B756="","",IF(IFERROR(INDEX('RAID Log'!$1:$1048576,$B756,MATCH("Status",'RAID Log'!$1:$1,0)),"")="","",IFERROR(INDEX('RAID Log'!$1:$1048576,$B756,MATCH("Status",'RAID Log'!$1:$1,0)),"")))</f>
        <v/>
      </c>
      <c r="M756" s="85" t="str">
        <f>IF($B756="","",IF(IFERROR(INDEX('RAID Log'!$1:$1048576,$B756,MATCH("RAID Owner",'RAID Log'!$1:$1,0)),"")="","",IFERROR(INDEX('RAID Log'!$1:$1048576,$B756,MATCH("RAID Owner",'RAID Log'!$1:$1,0)),"")))</f>
        <v/>
      </c>
      <c r="N756" s="87" t="str">
        <f>IF($B756="","",IF(IFERROR(INDEX('RAID Log'!$1:$1048576,$B756,MATCH("Date Raised",'RAID Log'!$1:$1,0)),"")="","",IFERROR(INDEX('RAID Log'!$1:$1048576,$B756,MATCH("Date Raised",'RAID Log'!$1:$1,0)),"")))</f>
        <v/>
      </c>
      <c r="O756" s="87" t="str">
        <f>IF($B756="","",IF(IFERROR(INDEX('RAID Log'!$1:$1048576,$B756,MATCH("Closed Date",'RAID Log'!$1:$1,0)),"")="","",IFERROR(INDEX('RAID Log'!$1:$1048576,$B756,MATCH("Closed Date",'RAID Log'!$1:$1,0)),"")))</f>
        <v/>
      </c>
      <c r="P756" s="85" t="str">
        <f>IF($B756="","",IF(IFERROR(INDEX('RAID Log'!$1:$1048576,$B756,MATCH("Mitigation Strategy",'RAID Log'!$1:$1,0)),"")="","",IFERROR(INDEX('RAID Log'!$1:$1048576,$B756,MATCH("Mitigation Strategy",'RAID Log'!$1:$1,0)),"")))</f>
        <v/>
      </c>
      <c r="Q756" s="88" t="str">
        <f>IF($B756="","",IF(IFERROR(INDEX('RAID Log'!$1:$1048576,$B756,MATCH("RAID Response/Plan",'RAID Log'!$1:$1,0)),"")="","",IFERROR(INDEX('RAID Log'!$1:$1048576,$B756,MATCH("RAID Response/Plan",'RAID Log'!$1:$1,0)),"")))</f>
        <v/>
      </c>
    </row>
    <row r="757" spans="1:17" ht="14.25" customHeight="1">
      <c r="A757" s="82" t="str">
        <f>IF($B757="","",IF(IFERROR(INDEX('RAID Log'!$1:$1048576,$B757,MATCH("RAID ID",'RAID Log'!$1:$1,0)),"")="","",IFERROR(INDEX('RAID Log'!$1:$1048576,$B757,MATCH("RAID ID",'RAID Log'!$1:$1,0)),"")))</f>
        <v/>
      </c>
      <c r="B757" s="83" t="str">
        <f>IFERROR(MATCH(ROW()-1,'RAID Log'!$S:$S,0),"")</f>
        <v/>
      </c>
      <c r="C757" s="84" t="str">
        <f>IF($B757="","",IF(IFERROR(INDEX('RAID Log'!$1:$1048576,$B757,MATCH("Description",'RAID Log'!$1:$1,0)),"")="","",IFERROR(INDEX('RAID Log'!$1:$1048576,$B757,MATCH("Description",'RAID Log'!$1:$1,0)),"")))</f>
        <v/>
      </c>
      <c r="D757" s="84" t="str">
        <f>IF($B757="","",IF(IFERROR(INDEX('RAID Log'!$1:$1048576,$B757,MATCH("Impact/Effect of the RAID",'RAID Log'!$1:$1,0)),"")="","",IFERROR(INDEX('RAID Log'!$1:$1048576,$B757,MATCH("Impact/Effect of the RAID",'RAID Log'!$1:$1,0)),"")))</f>
        <v/>
      </c>
      <c r="E757" s="85" t="str">
        <f>IF($B757="","",IF(IFERROR(INDEX('RAID Log'!$1:$1048576,$B757,MATCH("Impact Area",'RAID Log'!$1:$1,0)),"")="","",IFERROR(INDEX('RAID Log'!$1:$1048576,$B757,MATCH("Impact Area",'RAID Log'!$1:$1,0)),"")))</f>
        <v/>
      </c>
      <c r="F757" s="85" t="str">
        <f>IF($B757="","",IF(IFERROR(INDEX('RAID Log'!$1:$1048576,$B757,MATCH("Impact Area",'RAID Log'!$1:$1,0)),"")="","",IFERROR(INDEX('RAID Log'!$1:$1048576,$B757,MATCH("Impact Area",'RAID Log'!$1:$1,0)),"")))</f>
        <v/>
      </c>
      <c r="G757" s="85" t="str">
        <f>IF($B757="","",IF(IFERROR(INDEX('RAID Log'!$1:$1048576,$B757,MATCH("Impact Rating",'RAID Log'!$1:$1,0)),"")="","",IFERROR(INDEX('RAID Log'!$1:$1048576,$B757,MATCH("Impact Rating",'RAID Log'!$1:$1,0)),"")))</f>
        <v/>
      </c>
      <c r="H757" s="85" t="str">
        <f>IF($B757="","",IF(IFERROR(INDEX('RAID Log'!$1:$1048576,$B757,MATCH("Initial Probability",'RAID Log'!$1:$1,0)),"")="","",IFERROR(INDEX('RAID Log'!$1:$1048576,$B757,MATCH("Initial Probability",'RAID Log'!$1:$1,0)),"")))</f>
        <v/>
      </c>
      <c r="I757" s="86" t="str">
        <f t="shared" si="33"/>
        <v/>
      </c>
      <c r="J757" s="85" t="str">
        <f t="shared" si="34"/>
        <v/>
      </c>
      <c r="K757" s="86" t="str">
        <f t="shared" si="35"/>
        <v/>
      </c>
      <c r="L757" s="85" t="str">
        <f>IF($B757="","",IF(IFERROR(INDEX('RAID Log'!$1:$1048576,$B757,MATCH("Status",'RAID Log'!$1:$1,0)),"")="","",IFERROR(INDEX('RAID Log'!$1:$1048576,$B757,MATCH("Status",'RAID Log'!$1:$1,0)),"")))</f>
        <v/>
      </c>
      <c r="M757" s="85" t="str">
        <f>IF($B757="","",IF(IFERROR(INDEX('RAID Log'!$1:$1048576,$B757,MATCH("RAID Owner",'RAID Log'!$1:$1,0)),"")="","",IFERROR(INDEX('RAID Log'!$1:$1048576,$B757,MATCH("RAID Owner",'RAID Log'!$1:$1,0)),"")))</f>
        <v/>
      </c>
      <c r="N757" s="87" t="str">
        <f>IF($B757="","",IF(IFERROR(INDEX('RAID Log'!$1:$1048576,$B757,MATCH("Date Raised",'RAID Log'!$1:$1,0)),"")="","",IFERROR(INDEX('RAID Log'!$1:$1048576,$B757,MATCH("Date Raised",'RAID Log'!$1:$1,0)),"")))</f>
        <v/>
      </c>
      <c r="O757" s="87" t="str">
        <f>IF($B757="","",IF(IFERROR(INDEX('RAID Log'!$1:$1048576,$B757,MATCH("Closed Date",'RAID Log'!$1:$1,0)),"")="","",IFERROR(INDEX('RAID Log'!$1:$1048576,$B757,MATCH("Closed Date",'RAID Log'!$1:$1,0)),"")))</f>
        <v/>
      </c>
      <c r="P757" s="85" t="str">
        <f>IF($B757="","",IF(IFERROR(INDEX('RAID Log'!$1:$1048576,$B757,MATCH("Mitigation Strategy",'RAID Log'!$1:$1,0)),"")="","",IFERROR(INDEX('RAID Log'!$1:$1048576,$B757,MATCH("Mitigation Strategy",'RAID Log'!$1:$1,0)),"")))</f>
        <v/>
      </c>
      <c r="Q757" s="88" t="str">
        <f>IF($B757="","",IF(IFERROR(INDEX('RAID Log'!$1:$1048576,$B757,MATCH("RAID Response/Plan",'RAID Log'!$1:$1,0)),"")="","",IFERROR(INDEX('RAID Log'!$1:$1048576,$B757,MATCH("RAID Response/Plan",'RAID Log'!$1:$1,0)),"")))</f>
        <v/>
      </c>
    </row>
    <row r="758" spans="1:17" ht="14.25" customHeight="1">
      <c r="A758" s="82" t="str">
        <f>IF($B758="","",IF(IFERROR(INDEX('RAID Log'!$1:$1048576,$B758,MATCH("RAID ID",'RAID Log'!$1:$1,0)),"")="","",IFERROR(INDEX('RAID Log'!$1:$1048576,$B758,MATCH("RAID ID",'RAID Log'!$1:$1,0)),"")))</f>
        <v/>
      </c>
      <c r="B758" s="83" t="str">
        <f>IFERROR(MATCH(ROW()-1,'RAID Log'!$S:$S,0),"")</f>
        <v/>
      </c>
      <c r="C758" s="84" t="str">
        <f>IF($B758="","",IF(IFERROR(INDEX('RAID Log'!$1:$1048576,$B758,MATCH("Description",'RAID Log'!$1:$1,0)),"")="","",IFERROR(INDEX('RAID Log'!$1:$1048576,$B758,MATCH("Description",'RAID Log'!$1:$1,0)),"")))</f>
        <v/>
      </c>
      <c r="D758" s="84" t="str">
        <f>IF($B758="","",IF(IFERROR(INDEX('RAID Log'!$1:$1048576,$B758,MATCH("Impact/Effect of the RAID",'RAID Log'!$1:$1,0)),"")="","",IFERROR(INDEX('RAID Log'!$1:$1048576,$B758,MATCH("Impact/Effect of the RAID",'RAID Log'!$1:$1,0)),"")))</f>
        <v/>
      </c>
      <c r="E758" s="85" t="str">
        <f>IF($B758="","",IF(IFERROR(INDEX('RAID Log'!$1:$1048576,$B758,MATCH("Impact Area",'RAID Log'!$1:$1,0)),"")="","",IFERROR(INDEX('RAID Log'!$1:$1048576,$B758,MATCH("Impact Area",'RAID Log'!$1:$1,0)),"")))</f>
        <v/>
      </c>
      <c r="F758" s="85" t="str">
        <f>IF($B758="","",IF(IFERROR(INDEX('RAID Log'!$1:$1048576,$B758,MATCH("Impact Area",'RAID Log'!$1:$1,0)),"")="","",IFERROR(INDEX('RAID Log'!$1:$1048576,$B758,MATCH("Impact Area",'RAID Log'!$1:$1,0)),"")))</f>
        <v/>
      </c>
      <c r="G758" s="85" t="str">
        <f>IF($B758="","",IF(IFERROR(INDEX('RAID Log'!$1:$1048576,$B758,MATCH("Impact Rating",'RAID Log'!$1:$1,0)),"")="","",IFERROR(INDEX('RAID Log'!$1:$1048576,$B758,MATCH("Impact Rating",'RAID Log'!$1:$1,0)),"")))</f>
        <v/>
      </c>
      <c r="H758" s="85" t="str">
        <f>IF($B758="","",IF(IFERROR(INDEX('RAID Log'!$1:$1048576,$B758,MATCH("Initial Probability",'RAID Log'!$1:$1,0)),"")="","",IFERROR(INDEX('RAID Log'!$1:$1048576,$B758,MATCH("Initial Probability",'RAID Log'!$1:$1,0)),"")))</f>
        <v/>
      </c>
      <c r="I758" s="86" t="str">
        <f t="shared" si="33"/>
        <v/>
      </c>
      <c r="J758" s="85" t="str">
        <f t="shared" si="34"/>
        <v/>
      </c>
      <c r="K758" s="86" t="str">
        <f t="shared" si="35"/>
        <v/>
      </c>
      <c r="L758" s="85" t="str">
        <f>IF($B758="","",IF(IFERROR(INDEX('RAID Log'!$1:$1048576,$B758,MATCH("Status",'RAID Log'!$1:$1,0)),"")="","",IFERROR(INDEX('RAID Log'!$1:$1048576,$B758,MATCH("Status",'RAID Log'!$1:$1,0)),"")))</f>
        <v/>
      </c>
      <c r="M758" s="85" t="str">
        <f>IF($B758="","",IF(IFERROR(INDEX('RAID Log'!$1:$1048576,$B758,MATCH("RAID Owner",'RAID Log'!$1:$1,0)),"")="","",IFERROR(INDEX('RAID Log'!$1:$1048576,$B758,MATCH("RAID Owner",'RAID Log'!$1:$1,0)),"")))</f>
        <v/>
      </c>
      <c r="N758" s="87" t="str">
        <f>IF($B758="","",IF(IFERROR(INDEX('RAID Log'!$1:$1048576,$B758,MATCH("Date Raised",'RAID Log'!$1:$1,0)),"")="","",IFERROR(INDEX('RAID Log'!$1:$1048576,$B758,MATCH("Date Raised",'RAID Log'!$1:$1,0)),"")))</f>
        <v/>
      </c>
      <c r="O758" s="87" t="str">
        <f>IF($B758="","",IF(IFERROR(INDEX('RAID Log'!$1:$1048576,$B758,MATCH("Closed Date",'RAID Log'!$1:$1,0)),"")="","",IFERROR(INDEX('RAID Log'!$1:$1048576,$B758,MATCH("Closed Date",'RAID Log'!$1:$1,0)),"")))</f>
        <v/>
      </c>
      <c r="P758" s="85" t="str">
        <f>IF($B758="","",IF(IFERROR(INDEX('RAID Log'!$1:$1048576,$B758,MATCH("Mitigation Strategy",'RAID Log'!$1:$1,0)),"")="","",IFERROR(INDEX('RAID Log'!$1:$1048576,$B758,MATCH("Mitigation Strategy",'RAID Log'!$1:$1,0)),"")))</f>
        <v/>
      </c>
      <c r="Q758" s="88" t="str">
        <f>IF($B758="","",IF(IFERROR(INDEX('RAID Log'!$1:$1048576,$B758,MATCH("RAID Response/Plan",'RAID Log'!$1:$1,0)),"")="","",IFERROR(INDEX('RAID Log'!$1:$1048576,$B758,MATCH("RAID Response/Plan",'RAID Log'!$1:$1,0)),"")))</f>
        <v/>
      </c>
    </row>
    <row r="759" spans="1:17" ht="14.25" customHeight="1">
      <c r="A759" s="82" t="str">
        <f>IF($B759="","",IF(IFERROR(INDEX('RAID Log'!$1:$1048576,$B759,MATCH("RAID ID",'RAID Log'!$1:$1,0)),"")="","",IFERROR(INDEX('RAID Log'!$1:$1048576,$B759,MATCH("RAID ID",'RAID Log'!$1:$1,0)),"")))</f>
        <v/>
      </c>
      <c r="B759" s="83" t="str">
        <f>IFERROR(MATCH(ROW()-1,'RAID Log'!$S:$S,0),"")</f>
        <v/>
      </c>
      <c r="C759" s="84" t="str">
        <f>IF($B759="","",IF(IFERROR(INDEX('RAID Log'!$1:$1048576,$B759,MATCH("Description",'RAID Log'!$1:$1,0)),"")="","",IFERROR(INDEX('RAID Log'!$1:$1048576,$B759,MATCH("Description",'RAID Log'!$1:$1,0)),"")))</f>
        <v/>
      </c>
      <c r="D759" s="84" t="str">
        <f>IF($B759="","",IF(IFERROR(INDEX('RAID Log'!$1:$1048576,$B759,MATCH("Impact/Effect of the RAID",'RAID Log'!$1:$1,0)),"")="","",IFERROR(INDEX('RAID Log'!$1:$1048576,$B759,MATCH("Impact/Effect of the RAID",'RAID Log'!$1:$1,0)),"")))</f>
        <v/>
      </c>
      <c r="E759" s="85" t="str">
        <f>IF($B759="","",IF(IFERROR(INDEX('RAID Log'!$1:$1048576,$B759,MATCH("Impact Area",'RAID Log'!$1:$1,0)),"")="","",IFERROR(INDEX('RAID Log'!$1:$1048576,$B759,MATCH("Impact Area",'RAID Log'!$1:$1,0)),"")))</f>
        <v/>
      </c>
      <c r="F759" s="85" t="str">
        <f>IF($B759="","",IF(IFERROR(INDEX('RAID Log'!$1:$1048576,$B759,MATCH("Impact Area",'RAID Log'!$1:$1,0)),"")="","",IFERROR(INDEX('RAID Log'!$1:$1048576,$B759,MATCH("Impact Area",'RAID Log'!$1:$1,0)),"")))</f>
        <v/>
      </c>
      <c r="G759" s="85" t="str">
        <f>IF($B759="","",IF(IFERROR(INDEX('RAID Log'!$1:$1048576,$B759,MATCH("Impact Rating",'RAID Log'!$1:$1,0)),"")="","",IFERROR(INDEX('RAID Log'!$1:$1048576,$B759,MATCH("Impact Rating",'RAID Log'!$1:$1,0)),"")))</f>
        <v/>
      </c>
      <c r="H759" s="85" t="str">
        <f>IF($B759="","",IF(IFERROR(INDEX('RAID Log'!$1:$1048576,$B759,MATCH("Initial Probability",'RAID Log'!$1:$1,0)),"")="","",IFERROR(INDEX('RAID Log'!$1:$1048576,$B759,MATCH("Initial Probability",'RAID Log'!$1:$1,0)),"")))</f>
        <v/>
      </c>
      <c r="I759" s="86" t="str">
        <f t="shared" si="33"/>
        <v/>
      </c>
      <c r="J759" s="85" t="str">
        <f t="shared" si="34"/>
        <v/>
      </c>
      <c r="K759" s="86" t="str">
        <f t="shared" si="35"/>
        <v/>
      </c>
      <c r="L759" s="85" t="str">
        <f>IF($B759="","",IF(IFERROR(INDEX('RAID Log'!$1:$1048576,$B759,MATCH("Status",'RAID Log'!$1:$1,0)),"")="","",IFERROR(INDEX('RAID Log'!$1:$1048576,$B759,MATCH("Status",'RAID Log'!$1:$1,0)),"")))</f>
        <v/>
      </c>
      <c r="M759" s="85" t="str">
        <f>IF($B759="","",IF(IFERROR(INDEX('RAID Log'!$1:$1048576,$B759,MATCH("RAID Owner",'RAID Log'!$1:$1,0)),"")="","",IFERROR(INDEX('RAID Log'!$1:$1048576,$B759,MATCH("RAID Owner",'RAID Log'!$1:$1,0)),"")))</f>
        <v/>
      </c>
      <c r="N759" s="87" t="str">
        <f>IF($B759="","",IF(IFERROR(INDEX('RAID Log'!$1:$1048576,$B759,MATCH("Date Raised",'RAID Log'!$1:$1,0)),"")="","",IFERROR(INDEX('RAID Log'!$1:$1048576,$B759,MATCH("Date Raised",'RAID Log'!$1:$1,0)),"")))</f>
        <v/>
      </c>
      <c r="O759" s="87" t="str">
        <f>IF($B759="","",IF(IFERROR(INDEX('RAID Log'!$1:$1048576,$B759,MATCH("Closed Date",'RAID Log'!$1:$1,0)),"")="","",IFERROR(INDEX('RAID Log'!$1:$1048576,$B759,MATCH("Closed Date",'RAID Log'!$1:$1,0)),"")))</f>
        <v/>
      </c>
      <c r="P759" s="85" t="str">
        <f>IF($B759="","",IF(IFERROR(INDEX('RAID Log'!$1:$1048576,$B759,MATCH("Mitigation Strategy",'RAID Log'!$1:$1,0)),"")="","",IFERROR(INDEX('RAID Log'!$1:$1048576,$B759,MATCH("Mitigation Strategy",'RAID Log'!$1:$1,0)),"")))</f>
        <v/>
      </c>
      <c r="Q759" s="88" t="str">
        <f>IF($B759="","",IF(IFERROR(INDEX('RAID Log'!$1:$1048576,$B759,MATCH("RAID Response/Plan",'RAID Log'!$1:$1,0)),"")="","",IFERROR(INDEX('RAID Log'!$1:$1048576,$B759,MATCH("RAID Response/Plan",'RAID Log'!$1:$1,0)),"")))</f>
        <v/>
      </c>
    </row>
    <row r="760" spans="1:17" ht="14.25" customHeight="1">
      <c r="A760" s="82" t="str">
        <f>IF($B760="","",IF(IFERROR(INDEX('RAID Log'!$1:$1048576,$B760,MATCH("RAID ID",'RAID Log'!$1:$1,0)),"")="","",IFERROR(INDEX('RAID Log'!$1:$1048576,$B760,MATCH("RAID ID",'RAID Log'!$1:$1,0)),"")))</f>
        <v/>
      </c>
      <c r="B760" s="83" t="str">
        <f>IFERROR(MATCH(ROW()-1,'RAID Log'!$S:$S,0),"")</f>
        <v/>
      </c>
      <c r="C760" s="84" t="str">
        <f>IF($B760="","",IF(IFERROR(INDEX('RAID Log'!$1:$1048576,$B760,MATCH("Description",'RAID Log'!$1:$1,0)),"")="","",IFERROR(INDEX('RAID Log'!$1:$1048576,$B760,MATCH("Description",'RAID Log'!$1:$1,0)),"")))</f>
        <v/>
      </c>
      <c r="D760" s="84" t="str">
        <f>IF($B760="","",IF(IFERROR(INDEX('RAID Log'!$1:$1048576,$B760,MATCH("Impact/Effect of the RAID",'RAID Log'!$1:$1,0)),"")="","",IFERROR(INDEX('RAID Log'!$1:$1048576,$B760,MATCH("Impact/Effect of the RAID",'RAID Log'!$1:$1,0)),"")))</f>
        <v/>
      </c>
      <c r="E760" s="85" t="str">
        <f>IF($B760="","",IF(IFERROR(INDEX('RAID Log'!$1:$1048576,$B760,MATCH("Impact Area",'RAID Log'!$1:$1,0)),"")="","",IFERROR(INDEX('RAID Log'!$1:$1048576,$B760,MATCH("Impact Area",'RAID Log'!$1:$1,0)),"")))</f>
        <v/>
      </c>
      <c r="F760" s="85" t="str">
        <f>IF($B760="","",IF(IFERROR(INDEX('RAID Log'!$1:$1048576,$B760,MATCH("Impact Area",'RAID Log'!$1:$1,0)),"")="","",IFERROR(INDEX('RAID Log'!$1:$1048576,$B760,MATCH("Impact Area",'RAID Log'!$1:$1,0)),"")))</f>
        <v/>
      </c>
      <c r="G760" s="85" t="str">
        <f>IF($B760="","",IF(IFERROR(INDEX('RAID Log'!$1:$1048576,$B760,MATCH("Impact Rating",'RAID Log'!$1:$1,0)),"")="","",IFERROR(INDEX('RAID Log'!$1:$1048576,$B760,MATCH("Impact Rating",'RAID Log'!$1:$1,0)),"")))</f>
        <v/>
      </c>
      <c r="H760" s="85" t="str">
        <f>IF($B760="","",IF(IFERROR(INDEX('RAID Log'!$1:$1048576,$B760,MATCH("Initial Probability",'RAID Log'!$1:$1,0)),"")="","",IFERROR(INDEX('RAID Log'!$1:$1048576,$B760,MATCH("Initial Probability",'RAID Log'!$1:$1,0)),"")))</f>
        <v/>
      </c>
      <c r="I760" s="86" t="str">
        <f t="shared" si="33"/>
        <v/>
      </c>
      <c r="J760" s="85" t="str">
        <f t="shared" si="34"/>
        <v/>
      </c>
      <c r="K760" s="86" t="str">
        <f t="shared" si="35"/>
        <v/>
      </c>
      <c r="L760" s="85" t="str">
        <f>IF($B760="","",IF(IFERROR(INDEX('RAID Log'!$1:$1048576,$B760,MATCH("Status",'RAID Log'!$1:$1,0)),"")="","",IFERROR(INDEX('RAID Log'!$1:$1048576,$B760,MATCH("Status",'RAID Log'!$1:$1,0)),"")))</f>
        <v/>
      </c>
      <c r="M760" s="85" t="str">
        <f>IF($B760="","",IF(IFERROR(INDEX('RAID Log'!$1:$1048576,$B760,MATCH("RAID Owner",'RAID Log'!$1:$1,0)),"")="","",IFERROR(INDEX('RAID Log'!$1:$1048576,$B760,MATCH("RAID Owner",'RAID Log'!$1:$1,0)),"")))</f>
        <v/>
      </c>
      <c r="N760" s="87" t="str">
        <f>IF($B760="","",IF(IFERROR(INDEX('RAID Log'!$1:$1048576,$B760,MATCH("Date Raised",'RAID Log'!$1:$1,0)),"")="","",IFERROR(INDEX('RAID Log'!$1:$1048576,$B760,MATCH("Date Raised",'RAID Log'!$1:$1,0)),"")))</f>
        <v/>
      </c>
      <c r="O760" s="87" t="str">
        <f>IF($B760="","",IF(IFERROR(INDEX('RAID Log'!$1:$1048576,$B760,MATCH("Closed Date",'RAID Log'!$1:$1,0)),"")="","",IFERROR(INDEX('RAID Log'!$1:$1048576,$B760,MATCH("Closed Date",'RAID Log'!$1:$1,0)),"")))</f>
        <v/>
      </c>
      <c r="P760" s="85" t="str">
        <f>IF($B760="","",IF(IFERROR(INDEX('RAID Log'!$1:$1048576,$B760,MATCH("Mitigation Strategy",'RAID Log'!$1:$1,0)),"")="","",IFERROR(INDEX('RAID Log'!$1:$1048576,$B760,MATCH("Mitigation Strategy",'RAID Log'!$1:$1,0)),"")))</f>
        <v/>
      </c>
      <c r="Q760" s="88" t="str">
        <f>IF($B760="","",IF(IFERROR(INDEX('RAID Log'!$1:$1048576,$B760,MATCH("RAID Response/Plan",'RAID Log'!$1:$1,0)),"")="","",IFERROR(INDEX('RAID Log'!$1:$1048576,$B760,MATCH("RAID Response/Plan",'RAID Log'!$1:$1,0)),"")))</f>
        <v/>
      </c>
    </row>
    <row r="761" spans="1:17" ht="14.25" customHeight="1">
      <c r="A761" s="82" t="str">
        <f>IF($B761="","",IF(IFERROR(INDEX('RAID Log'!$1:$1048576,$B761,MATCH("RAID ID",'RAID Log'!$1:$1,0)),"")="","",IFERROR(INDEX('RAID Log'!$1:$1048576,$B761,MATCH("RAID ID",'RAID Log'!$1:$1,0)),"")))</f>
        <v/>
      </c>
      <c r="B761" s="83" t="str">
        <f>IFERROR(MATCH(ROW()-1,'RAID Log'!$S:$S,0),"")</f>
        <v/>
      </c>
      <c r="C761" s="84" t="str">
        <f>IF($B761="","",IF(IFERROR(INDEX('RAID Log'!$1:$1048576,$B761,MATCH("Description",'RAID Log'!$1:$1,0)),"")="","",IFERROR(INDEX('RAID Log'!$1:$1048576,$B761,MATCH("Description",'RAID Log'!$1:$1,0)),"")))</f>
        <v/>
      </c>
      <c r="D761" s="84" t="str">
        <f>IF($B761="","",IF(IFERROR(INDEX('RAID Log'!$1:$1048576,$B761,MATCH("Impact/Effect of the RAID",'RAID Log'!$1:$1,0)),"")="","",IFERROR(INDEX('RAID Log'!$1:$1048576,$B761,MATCH("Impact/Effect of the RAID",'RAID Log'!$1:$1,0)),"")))</f>
        <v/>
      </c>
      <c r="E761" s="85" t="str">
        <f>IF($B761="","",IF(IFERROR(INDEX('RAID Log'!$1:$1048576,$B761,MATCH("Impact Area",'RAID Log'!$1:$1,0)),"")="","",IFERROR(INDEX('RAID Log'!$1:$1048576,$B761,MATCH("Impact Area",'RAID Log'!$1:$1,0)),"")))</f>
        <v/>
      </c>
      <c r="F761" s="85" t="str">
        <f>IF($B761="","",IF(IFERROR(INDEX('RAID Log'!$1:$1048576,$B761,MATCH("Impact Area",'RAID Log'!$1:$1,0)),"")="","",IFERROR(INDEX('RAID Log'!$1:$1048576,$B761,MATCH("Impact Area",'RAID Log'!$1:$1,0)),"")))</f>
        <v/>
      </c>
      <c r="G761" s="85" t="str">
        <f>IF($B761="","",IF(IFERROR(INDEX('RAID Log'!$1:$1048576,$B761,MATCH("Impact Rating",'RAID Log'!$1:$1,0)),"")="","",IFERROR(INDEX('RAID Log'!$1:$1048576,$B761,MATCH("Impact Rating",'RAID Log'!$1:$1,0)),"")))</f>
        <v/>
      </c>
      <c r="H761" s="85" t="str">
        <f>IF($B761="","",IF(IFERROR(INDEX('RAID Log'!$1:$1048576,$B761,MATCH("Initial Probability",'RAID Log'!$1:$1,0)),"")="","",IFERROR(INDEX('RAID Log'!$1:$1048576,$B761,MATCH("Initial Probability",'RAID Log'!$1:$1,0)),"")))</f>
        <v/>
      </c>
      <c r="I761" s="86" t="str">
        <f t="shared" si="33"/>
        <v/>
      </c>
      <c r="J761" s="85" t="str">
        <f t="shared" si="34"/>
        <v/>
      </c>
      <c r="K761" s="86" t="str">
        <f t="shared" si="35"/>
        <v/>
      </c>
      <c r="L761" s="85" t="str">
        <f>IF($B761="","",IF(IFERROR(INDEX('RAID Log'!$1:$1048576,$B761,MATCH("Status",'RAID Log'!$1:$1,0)),"")="","",IFERROR(INDEX('RAID Log'!$1:$1048576,$B761,MATCH("Status",'RAID Log'!$1:$1,0)),"")))</f>
        <v/>
      </c>
      <c r="M761" s="85" t="str">
        <f>IF($B761="","",IF(IFERROR(INDEX('RAID Log'!$1:$1048576,$B761,MATCH("RAID Owner",'RAID Log'!$1:$1,0)),"")="","",IFERROR(INDEX('RAID Log'!$1:$1048576,$B761,MATCH("RAID Owner",'RAID Log'!$1:$1,0)),"")))</f>
        <v/>
      </c>
      <c r="N761" s="87" t="str">
        <f>IF($B761="","",IF(IFERROR(INDEX('RAID Log'!$1:$1048576,$B761,MATCH("Date Raised",'RAID Log'!$1:$1,0)),"")="","",IFERROR(INDEX('RAID Log'!$1:$1048576,$B761,MATCH("Date Raised",'RAID Log'!$1:$1,0)),"")))</f>
        <v/>
      </c>
      <c r="O761" s="87" t="str">
        <f>IF($B761="","",IF(IFERROR(INDEX('RAID Log'!$1:$1048576,$B761,MATCH("Closed Date",'RAID Log'!$1:$1,0)),"")="","",IFERROR(INDEX('RAID Log'!$1:$1048576,$B761,MATCH("Closed Date",'RAID Log'!$1:$1,0)),"")))</f>
        <v/>
      </c>
      <c r="P761" s="85" t="str">
        <f>IF($B761="","",IF(IFERROR(INDEX('RAID Log'!$1:$1048576,$B761,MATCH("Mitigation Strategy",'RAID Log'!$1:$1,0)),"")="","",IFERROR(INDEX('RAID Log'!$1:$1048576,$B761,MATCH("Mitigation Strategy",'RAID Log'!$1:$1,0)),"")))</f>
        <v/>
      </c>
      <c r="Q761" s="88" t="str">
        <f>IF($B761="","",IF(IFERROR(INDEX('RAID Log'!$1:$1048576,$B761,MATCH("RAID Response/Plan",'RAID Log'!$1:$1,0)),"")="","",IFERROR(INDEX('RAID Log'!$1:$1048576,$B761,MATCH("RAID Response/Plan",'RAID Log'!$1:$1,0)),"")))</f>
        <v/>
      </c>
    </row>
    <row r="762" spans="1:17" ht="14.25" customHeight="1">
      <c r="A762" s="82" t="str">
        <f>IF($B762="","",IF(IFERROR(INDEX('RAID Log'!$1:$1048576,$B762,MATCH("RAID ID",'RAID Log'!$1:$1,0)),"")="","",IFERROR(INDEX('RAID Log'!$1:$1048576,$B762,MATCH("RAID ID",'RAID Log'!$1:$1,0)),"")))</f>
        <v/>
      </c>
      <c r="B762" s="83" t="str">
        <f>IFERROR(MATCH(ROW()-1,'RAID Log'!$S:$S,0),"")</f>
        <v/>
      </c>
      <c r="C762" s="84" t="str">
        <f>IF($B762="","",IF(IFERROR(INDEX('RAID Log'!$1:$1048576,$B762,MATCH("Description",'RAID Log'!$1:$1,0)),"")="","",IFERROR(INDEX('RAID Log'!$1:$1048576,$B762,MATCH("Description",'RAID Log'!$1:$1,0)),"")))</f>
        <v/>
      </c>
      <c r="D762" s="84" t="str">
        <f>IF($B762="","",IF(IFERROR(INDEX('RAID Log'!$1:$1048576,$B762,MATCH("Impact/Effect of the RAID",'RAID Log'!$1:$1,0)),"")="","",IFERROR(INDEX('RAID Log'!$1:$1048576,$B762,MATCH("Impact/Effect of the RAID",'RAID Log'!$1:$1,0)),"")))</f>
        <v/>
      </c>
      <c r="E762" s="85" t="str">
        <f>IF($B762="","",IF(IFERROR(INDEX('RAID Log'!$1:$1048576,$B762,MATCH("Impact Area",'RAID Log'!$1:$1,0)),"")="","",IFERROR(INDEX('RAID Log'!$1:$1048576,$B762,MATCH("Impact Area",'RAID Log'!$1:$1,0)),"")))</f>
        <v/>
      </c>
      <c r="F762" s="85" t="str">
        <f>IF($B762="","",IF(IFERROR(INDEX('RAID Log'!$1:$1048576,$B762,MATCH("Impact Area",'RAID Log'!$1:$1,0)),"")="","",IFERROR(INDEX('RAID Log'!$1:$1048576,$B762,MATCH("Impact Area",'RAID Log'!$1:$1,0)),"")))</f>
        <v/>
      </c>
      <c r="G762" s="85" t="str">
        <f>IF($B762="","",IF(IFERROR(INDEX('RAID Log'!$1:$1048576,$B762,MATCH("Impact Rating",'RAID Log'!$1:$1,0)),"")="","",IFERROR(INDEX('RAID Log'!$1:$1048576,$B762,MATCH("Impact Rating",'RAID Log'!$1:$1,0)),"")))</f>
        <v/>
      </c>
      <c r="H762" s="85" t="str">
        <f>IF($B762="","",IF(IFERROR(INDEX('RAID Log'!$1:$1048576,$B762,MATCH("Initial Probability",'RAID Log'!$1:$1,0)),"")="","",IFERROR(INDEX('RAID Log'!$1:$1048576,$B762,MATCH("Initial Probability",'RAID Log'!$1:$1,0)),"")))</f>
        <v/>
      </c>
      <c r="I762" s="86" t="str">
        <f t="shared" si="33"/>
        <v/>
      </c>
      <c r="J762" s="85" t="str">
        <f t="shared" si="34"/>
        <v/>
      </c>
      <c r="K762" s="86" t="str">
        <f t="shared" si="35"/>
        <v/>
      </c>
      <c r="L762" s="85" t="str">
        <f>IF($B762="","",IF(IFERROR(INDEX('RAID Log'!$1:$1048576,$B762,MATCH("Status",'RAID Log'!$1:$1,0)),"")="","",IFERROR(INDEX('RAID Log'!$1:$1048576,$B762,MATCH("Status",'RAID Log'!$1:$1,0)),"")))</f>
        <v/>
      </c>
      <c r="M762" s="85" t="str">
        <f>IF($B762="","",IF(IFERROR(INDEX('RAID Log'!$1:$1048576,$B762,MATCH("RAID Owner",'RAID Log'!$1:$1,0)),"")="","",IFERROR(INDEX('RAID Log'!$1:$1048576,$B762,MATCH("RAID Owner",'RAID Log'!$1:$1,0)),"")))</f>
        <v/>
      </c>
      <c r="N762" s="87" t="str">
        <f>IF($B762="","",IF(IFERROR(INDEX('RAID Log'!$1:$1048576,$B762,MATCH("Date Raised",'RAID Log'!$1:$1,0)),"")="","",IFERROR(INDEX('RAID Log'!$1:$1048576,$B762,MATCH("Date Raised",'RAID Log'!$1:$1,0)),"")))</f>
        <v/>
      </c>
      <c r="O762" s="87" t="str">
        <f>IF($B762="","",IF(IFERROR(INDEX('RAID Log'!$1:$1048576,$B762,MATCH("Closed Date",'RAID Log'!$1:$1,0)),"")="","",IFERROR(INDEX('RAID Log'!$1:$1048576,$B762,MATCH("Closed Date",'RAID Log'!$1:$1,0)),"")))</f>
        <v/>
      </c>
      <c r="P762" s="85" t="str">
        <f>IF($B762="","",IF(IFERROR(INDEX('RAID Log'!$1:$1048576,$B762,MATCH("Mitigation Strategy",'RAID Log'!$1:$1,0)),"")="","",IFERROR(INDEX('RAID Log'!$1:$1048576,$B762,MATCH("Mitigation Strategy",'RAID Log'!$1:$1,0)),"")))</f>
        <v/>
      </c>
      <c r="Q762" s="88" t="str">
        <f>IF($B762="","",IF(IFERROR(INDEX('RAID Log'!$1:$1048576,$B762,MATCH("RAID Response/Plan",'RAID Log'!$1:$1,0)),"")="","",IFERROR(INDEX('RAID Log'!$1:$1048576,$B762,MATCH("RAID Response/Plan",'RAID Log'!$1:$1,0)),"")))</f>
        <v/>
      </c>
    </row>
    <row r="763" spans="1:17" ht="14.25" customHeight="1">
      <c r="A763" s="82" t="str">
        <f>IF($B763="","",IF(IFERROR(INDEX('RAID Log'!$1:$1048576,$B763,MATCH("RAID ID",'RAID Log'!$1:$1,0)),"")="","",IFERROR(INDEX('RAID Log'!$1:$1048576,$B763,MATCH("RAID ID",'RAID Log'!$1:$1,0)),"")))</f>
        <v/>
      </c>
      <c r="B763" s="83" t="str">
        <f>IFERROR(MATCH(ROW()-1,'RAID Log'!$S:$S,0),"")</f>
        <v/>
      </c>
      <c r="C763" s="84" t="str">
        <f>IF($B763="","",IF(IFERROR(INDEX('RAID Log'!$1:$1048576,$B763,MATCH("Description",'RAID Log'!$1:$1,0)),"")="","",IFERROR(INDEX('RAID Log'!$1:$1048576,$B763,MATCH("Description",'RAID Log'!$1:$1,0)),"")))</f>
        <v/>
      </c>
      <c r="D763" s="84" t="str">
        <f>IF($B763="","",IF(IFERROR(INDEX('RAID Log'!$1:$1048576,$B763,MATCH("Impact/Effect of the RAID",'RAID Log'!$1:$1,0)),"")="","",IFERROR(INDEX('RAID Log'!$1:$1048576,$B763,MATCH("Impact/Effect of the RAID",'RAID Log'!$1:$1,0)),"")))</f>
        <v/>
      </c>
      <c r="E763" s="85" t="str">
        <f>IF($B763="","",IF(IFERROR(INDEX('RAID Log'!$1:$1048576,$B763,MATCH("Impact Area",'RAID Log'!$1:$1,0)),"")="","",IFERROR(INDEX('RAID Log'!$1:$1048576,$B763,MATCH("Impact Area",'RAID Log'!$1:$1,0)),"")))</f>
        <v/>
      </c>
      <c r="F763" s="85" t="str">
        <f>IF($B763="","",IF(IFERROR(INDEX('RAID Log'!$1:$1048576,$B763,MATCH("Impact Area",'RAID Log'!$1:$1,0)),"")="","",IFERROR(INDEX('RAID Log'!$1:$1048576,$B763,MATCH("Impact Area",'RAID Log'!$1:$1,0)),"")))</f>
        <v/>
      </c>
      <c r="G763" s="85" t="str">
        <f>IF($B763="","",IF(IFERROR(INDEX('RAID Log'!$1:$1048576,$B763,MATCH("Impact Rating",'RAID Log'!$1:$1,0)),"")="","",IFERROR(INDEX('RAID Log'!$1:$1048576,$B763,MATCH("Impact Rating",'RAID Log'!$1:$1,0)),"")))</f>
        <v/>
      </c>
      <c r="H763" s="85" t="str">
        <f>IF($B763="","",IF(IFERROR(INDEX('RAID Log'!$1:$1048576,$B763,MATCH("Initial Probability",'RAID Log'!$1:$1,0)),"")="","",IFERROR(INDEX('RAID Log'!$1:$1048576,$B763,MATCH("Initial Probability",'RAID Log'!$1:$1,0)),"")))</f>
        <v/>
      </c>
      <c r="I763" s="86" t="str">
        <f t="shared" si="33"/>
        <v/>
      </c>
      <c r="J763" s="85" t="str">
        <f t="shared" si="34"/>
        <v/>
      </c>
      <c r="K763" s="86" t="str">
        <f t="shared" si="35"/>
        <v/>
      </c>
      <c r="L763" s="85" t="str">
        <f>IF($B763="","",IF(IFERROR(INDEX('RAID Log'!$1:$1048576,$B763,MATCH("Status",'RAID Log'!$1:$1,0)),"")="","",IFERROR(INDEX('RAID Log'!$1:$1048576,$B763,MATCH("Status",'RAID Log'!$1:$1,0)),"")))</f>
        <v/>
      </c>
      <c r="M763" s="85" t="str">
        <f>IF($B763="","",IF(IFERROR(INDEX('RAID Log'!$1:$1048576,$B763,MATCH("RAID Owner",'RAID Log'!$1:$1,0)),"")="","",IFERROR(INDEX('RAID Log'!$1:$1048576,$B763,MATCH("RAID Owner",'RAID Log'!$1:$1,0)),"")))</f>
        <v/>
      </c>
      <c r="N763" s="87" t="str">
        <f>IF($B763="","",IF(IFERROR(INDEX('RAID Log'!$1:$1048576,$B763,MATCH("Date Raised",'RAID Log'!$1:$1,0)),"")="","",IFERROR(INDEX('RAID Log'!$1:$1048576,$B763,MATCH("Date Raised",'RAID Log'!$1:$1,0)),"")))</f>
        <v/>
      </c>
      <c r="O763" s="87" t="str">
        <f>IF($B763="","",IF(IFERROR(INDEX('RAID Log'!$1:$1048576,$B763,MATCH("Closed Date",'RAID Log'!$1:$1,0)),"")="","",IFERROR(INDEX('RAID Log'!$1:$1048576,$B763,MATCH("Closed Date",'RAID Log'!$1:$1,0)),"")))</f>
        <v/>
      </c>
      <c r="P763" s="85" t="str">
        <f>IF($B763="","",IF(IFERROR(INDEX('RAID Log'!$1:$1048576,$B763,MATCH("Mitigation Strategy",'RAID Log'!$1:$1,0)),"")="","",IFERROR(INDEX('RAID Log'!$1:$1048576,$B763,MATCH("Mitigation Strategy",'RAID Log'!$1:$1,0)),"")))</f>
        <v/>
      </c>
      <c r="Q763" s="88" t="str">
        <f>IF($B763="","",IF(IFERROR(INDEX('RAID Log'!$1:$1048576,$B763,MATCH("RAID Response/Plan",'RAID Log'!$1:$1,0)),"")="","",IFERROR(INDEX('RAID Log'!$1:$1048576,$B763,MATCH("RAID Response/Plan",'RAID Log'!$1:$1,0)),"")))</f>
        <v/>
      </c>
    </row>
    <row r="764" spans="1:17" ht="14.25" customHeight="1">
      <c r="A764" s="82" t="str">
        <f>IF($B764="","",IF(IFERROR(INDEX('RAID Log'!$1:$1048576,$B764,MATCH("RAID ID",'RAID Log'!$1:$1,0)),"")="","",IFERROR(INDEX('RAID Log'!$1:$1048576,$B764,MATCH("RAID ID",'RAID Log'!$1:$1,0)),"")))</f>
        <v/>
      </c>
      <c r="B764" s="83" t="str">
        <f>IFERROR(MATCH(ROW()-1,'RAID Log'!$S:$S,0),"")</f>
        <v/>
      </c>
      <c r="C764" s="84" t="str">
        <f>IF($B764="","",IF(IFERROR(INDEX('RAID Log'!$1:$1048576,$B764,MATCH("Description",'RAID Log'!$1:$1,0)),"")="","",IFERROR(INDEX('RAID Log'!$1:$1048576,$B764,MATCH("Description",'RAID Log'!$1:$1,0)),"")))</f>
        <v/>
      </c>
      <c r="D764" s="84" t="str">
        <f>IF($B764="","",IF(IFERROR(INDEX('RAID Log'!$1:$1048576,$B764,MATCH("Impact/Effect of the RAID",'RAID Log'!$1:$1,0)),"")="","",IFERROR(INDEX('RAID Log'!$1:$1048576,$B764,MATCH("Impact/Effect of the RAID",'RAID Log'!$1:$1,0)),"")))</f>
        <v/>
      </c>
      <c r="E764" s="85" t="str">
        <f>IF($B764="","",IF(IFERROR(INDEX('RAID Log'!$1:$1048576,$B764,MATCH("Impact Area",'RAID Log'!$1:$1,0)),"")="","",IFERROR(INDEX('RAID Log'!$1:$1048576,$B764,MATCH("Impact Area",'RAID Log'!$1:$1,0)),"")))</f>
        <v/>
      </c>
      <c r="F764" s="85" t="str">
        <f>IF($B764="","",IF(IFERROR(INDEX('RAID Log'!$1:$1048576,$B764,MATCH("Impact Area",'RAID Log'!$1:$1,0)),"")="","",IFERROR(INDEX('RAID Log'!$1:$1048576,$B764,MATCH("Impact Area",'RAID Log'!$1:$1,0)),"")))</f>
        <v/>
      </c>
      <c r="G764" s="85" t="str">
        <f>IF($B764="","",IF(IFERROR(INDEX('RAID Log'!$1:$1048576,$B764,MATCH("Impact Rating",'RAID Log'!$1:$1,0)),"")="","",IFERROR(INDEX('RAID Log'!$1:$1048576,$B764,MATCH("Impact Rating",'RAID Log'!$1:$1,0)),"")))</f>
        <v/>
      </c>
      <c r="H764" s="85" t="str">
        <f>IF($B764="","",IF(IFERROR(INDEX('RAID Log'!$1:$1048576,$B764,MATCH("Initial Probability",'RAID Log'!$1:$1,0)),"")="","",IFERROR(INDEX('RAID Log'!$1:$1048576,$B764,MATCH("Initial Probability",'RAID Log'!$1:$1,0)),"")))</f>
        <v/>
      </c>
      <c r="I764" s="86" t="str">
        <f t="shared" si="33"/>
        <v/>
      </c>
      <c r="J764" s="85" t="str">
        <f t="shared" si="34"/>
        <v/>
      </c>
      <c r="K764" s="86" t="str">
        <f t="shared" si="35"/>
        <v/>
      </c>
      <c r="L764" s="85" t="str">
        <f>IF($B764="","",IF(IFERROR(INDEX('RAID Log'!$1:$1048576,$B764,MATCH("Status",'RAID Log'!$1:$1,0)),"")="","",IFERROR(INDEX('RAID Log'!$1:$1048576,$B764,MATCH("Status",'RAID Log'!$1:$1,0)),"")))</f>
        <v/>
      </c>
      <c r="M764" s="85" t="str">
        <f>IF($B764="","",IF(IFERROR(INDEX('RAID Log'!$1:$1048576,$B764,MATCH("RAID Owner",'RAID Log'!$1:$1,0)),"")="","",IFERROR(INDEX('RAID Log'!$1:$1048576,$B764,MATCH("RAID Owner",'RAID Log'!$1:$1,0)),"")))</f>
        <v/>
      </c>
      <c r="N764" s="87" t="str">
        <f>IF($B764="","",IF(IFERROR(INDEX('RAID Log'!$1:$1048576,$B764,MATCH("Date Raised",'RAID Log'!$1:$1,0)),"")="","",IFERROR(INDEX('RAID Log'!$1:$1048576,$B764,MATCH("Date Raised",'RAID Log'!$1:$1,0)),"")))</f>
        <v/>
      </c>
      <c r="O764" s="87" t="str">
        <f>IF($B764="","",IF(IFERROR(INDEX('RAID Log'!$1:$1048576,$B764,MATCH("Closed Date",'RAID Log'!$1:$1,0)),"")="","",IFERROR(INDEX('RAID Log'!$1:$1048576,$B764,MATCH("Closed Date",'RAID Log'!$1:$1,0)),"")))</f>
        <v/>
      </c>
      <c r="P764" s="85" t="str">
        <f>IF($B764="","",IF(IFERROR(INDEX('RAID Log'!$1:$1048576,$B764,MATCH("Mitigation Strategy",'RAID Log'!$1:$1,0)),"")="","",IFERROR(INDEX('RAID Log'!$1:$1048576,$B764,MATCH("Mitigation Strategy",'RAID Log'!$1:$1,0)),"")))</f>
        <v/>
      </c>
      <c r="Q764" s="88" t="str">
        <f>IF($B764="","",IF(IFERROR(INDEX('RAID Log'!$1:$1048576,$B764,MATCH("RAID Response/Plan",'RAID Log'!$1:$1,0)),"")="","",IFERROR(INDEX('RAID Log'!$1:$1048576,$B764,MATCH("RAID Response/Plan",'RAID Log'!$1:$1,0)),"")))</f>
        <v/>
      </c>
    </row>
    <row r="765" spans="1:17" ht="14.25" customHeight="1">
      <c r="A765" s="82" t="str">
        <f>IF($B765="","",IF(IFERROR(INDEX('RAID Log'!$1:$1048576,$B765,MATCH("RAID ID",'RAID Log'!$1:$1,0)),"")="","",IFERROR(INDEX('RAID Log'!$1:$1048576,$B765,MATCH("RAID ID",'RAID Log'!$1:$1,0)),"")))</f>
        <v/>
      </c>
      <c r="B765" s="83" t="str">
        <f>IFERROR(MATCH(ROW()-1,'RAID Log'!$S:$S,0),"")</f>
        <v/>
      </c>
      <c r="C765" s="84" t="str">
        <f>IF($B765="","",IF(IFERROR(INDEX('RAID Log'!$1:$1048576,$B765,MATCH("Description",'RAID Log'!$1:$1,0)),"")="","",IFERROR(INDEX('RAID Log'!$1:$1048576,$B765,MATCH("Description",'RAID Log'!$1:$1,0)),"")))</f>
        <v/>
      </c>
      <c r="D765" s="84" t="str">
        <f>IF($B765="","",IF(IFERROR(INDEX('RAID Log'!$1:$1048576,$B765,MATCH("Impact/Effect of the RAID",'RAID Log'!$1:$1,0)),"")="","",IFERROR(INDEX('RAID Log'!$1:$1048576,$B765,MATCH("Impact/Effect of the RAID",'RAID Log'!$1:$1,0)),"")))</f>
        <v/>
      </c>
      <c r="E765" s="85" t="str">
        <f>IF($B765="","",IF(IFERROR(INDEX('RAID Log'!$1:$1048576,$B765,MATCH("Impact Area",'RAID Log'!$1:$1,0)),"")="","",IFERROR(INDEX('RAID Log'!$1:$1048576,$B765,MATCH("Impact Area",'RAID Log'!$1:$1,0)),"")))</f>
        <v/>
      </c>
      <c r="F765" s="85" t="str">
        <f>IF($B765="","",IF(IFERROR(INDEX('RAID Log'!$1:$1048576,$B765,MATCH("Impact Area",'RAID Log'!$1:$1,0)),"")="","",IFERROR(INDEX('RAID Log'!$1:$1048576,$B765,MATCH("Impact Area",'RAID Log'!$1:$1,0)),"")))</f>
        <v/>
      </c>
      <c r="G765" s="85" t="str">
        <f>IF($B765="","",IF(IFERROR(INDEX('RAID Log'!$1:$1048576,$B765,MATCH("Impact Rating",'RAID Log'!$1:$1,0)),"")="","",IFERROR(INDEX('RAID Log'!$1:$1048576,$B765,MATCH("Impact Rating",'RAID Log'!$1:$1,0)),"")))</f>
        <v/>
      </c>
      <c r="H765" s="85" t="str">
        <f>IF($B765="","",IF(IFERROR(INDEX('RAID Log'!$1:$1048576,$B765,MATCH("Initial Probability",'RAID Log'!$1:$1,0)),"")="","",IFERROR(INDEX('RAID Log'!$1:$1048576,$B765,MATCH("Initial Probability",'RAID Log'!$1:$1,0)),"")))</f>
        <v/>
      </c>
      <c r="I765" s="86" t="str">
        <f t="shared" si="33"/>
        <v/>
      </c>
      <c r="J765" s="85" t="str">
        <f t="shared" si="34"/>
        <v/>
      </c>
      <c r="K765" s="86" t="str">
        <f t="shared" si="35"/>
        <v/>
      </c>
      <c r="L765" s="85" t="str">
        <f>IF($B765="","",IF(IFERROR(INDEX('RAID Log'!$1:$1048576,$B765,MATCH("Status",'RAID Log'!$1:$1,0)),"")="","",IFERROR(INDEX('RAID Log'!$1:$1048576,$B765,MATCH("Status",'RAID Log'!$1:$1,0)),"")))</f>
        <v/>
      </c>
      <c r="M765" s="85" t="str">
        <f>IF($B765="","",IF(IFERROR(INDEX('RAID Log'!$1:$1048576,$B765,MATCH("RAID Owner",'RAID Log'!$1:$1,0)),"")="","",IFERROR(INDEX('RAID Log'!$1:$1048576,$B765,MATCH("RAID Owner",'RAID Log'!$1:$1,0)),"")))</f>
        <v/>
      </c>
      <c r="N765" s="87" t="str">
        <f>IF($B765="","",IF(IFERROR(INDEX('RAID Log'!$1:$1048576,$B765,MATCH("Date Raised",'RAID Log'!$1:$1,0)),"")="","",IFERROR(INDEX('RAID Log'!$1:$1048576,$B765,MATCH("Date Raised",'RAID Log'!$1:$1,0)),"")))</f>
        <v/>
      </c>
      <c r="O765" s="87" t="str">
        <f>IF($B765="","",IF(IFERROR(INDEX('RAID Log'!$1:$1048576,$B765,MATCH("Closed Date",'RAID Log'!$1:$1,0)),"")="","",IFERROR(INDEX('RAID Log'!$1:$1048576,$B765,MATCH("Closed Date",'RAID Log'!$1:$1,0)),"")))</f>
        <v/>
      </c>
      <c r="P765" s="85" t="str">
        <f>IF($B765="","",IF(IFERROR(INDEX('RAID Log'!$1:$1048576,$B765,MATCH("Mitigation Strategy",'RAID Log'!$1:$1,0)),"")="","",IFERROR(INDEX('RAID Log'!$1:$1048576,$B765,MATCH("Mitigation Strategy",'RAID Log'!$1:$1,0)),"")))</f>
        <v/>
      </c>
      <c r="Q765" s="88" t="str">
        <f>IF($B765="","",IF(IFERROR(INDEX('RAID Log'!$1:$1048576,$B765,MATCH("RAID Response/Plan",'RAID Log'!$1:$1,0)),"")="","",IFERROR(INDEX('RAID Log'!$1:$1048576,$B765,MATCH("RAID Response/Plan",'RAID Log'!$1:$1,0)),"")))</f>
        <v/>
      </c>
    </row>
    <row r="766" spans="1:17" ht="14.25" customHeight="1">
      <c r="A766" s="82" t="str">
        <f>IF($B766="","",IF(IFERROR(INDEX('RAID Log'!$1:$1048576,$B766,MATCH("RAID ID",'RAID Log'!$1:$1,0)),"")="","",IFERROR(INDEX('RAID Log'!$1:$1048576,$B766,MATCH("RAID ID",'RAID Log'!$1:$1,0)),"")))</f>
        <v/>
      </c>
      <c r="B766" s="83" t="str">
        <f>IFERROR(MATCH(ROW()-1,'RAID Log'!$S:$S,0),"")</f>
        <v/>
      </c>
      <c r="C766" s="84" t="str">
        <f>IF($B766="","",IF(IFERROR(INDEX('RAID Log'!$1:$1048576,$B766,MATCH("Description",'RAID Log'!$1:$1,0)),"")="","",IFERROR(INDEX('RAID Log'!$1:$1048576,$B766,MATCH("Description",'RAID Log'!$1:$1,0)),"")))</f>
        <v/>
      </c>
      <c r="D766" s="84" t="str">
        <f>IF($B766="","",IF(IFERROR(INDEX('RAID Log'!$1:$1048576,$B766,MATCH("Impact/Effect of the RAID",'RAID Log'!$1:$1,0)),"")="","",IFERROR(INDEX('RAID Log'!$1:$1048576,$B766,MATCH("Impact/Effect of the RAID",'RAID Log'!$1:$1,0)),"")))</f>
        <v/>
      </c>
      <c r="E766" s="85" t="str">
        <f>IF($B766="","",IF(IFERROR(INDEX('RAID Log'!$1:$1048576,$B766,MATCH("Impact Area",'RAID Log'!$1:$1,0)),"")="","",IFERROR(INDEX('RAID Log'!$1:$1048576,$B766,MATCH("Impact Area",'RAID Log'!$1:$1,0)),"")))</f>
        <v/>
      </c>
      <c r="F766" s="85" t="str">
        <f>IF($B766="","",IF(IFERROR(INDEX('RAID Log'!$1:$1048576,$B766,MATCH("Impact Area",'RAID Log'!$1:$1,0)),"")="","",IFERROR(INDEX('RAID Log'!$1:$1048576,$B766,MATCH("Impact Area",'RAID Log'!$1:$1,0)),"")))</f>
        <v/>
      </c>
      <c r="G766" s="85" t="str">
        <f>IF($B766="","",IF(IFERROR(INDEX('RAID Log'!$1:$1048576,$B766,MATCH("Impact Rating",'RAID Log'!$1:$1,0)),"")="","",IFERROR(INDEX('RAID Log'!$1:$1048576,$B766,MATCH("Impact Rating",'RAID Log'!$1:$1,0)),"")))</f>
        <v/>
      </c>
      <c r="H766" s="85" t="str">
        <f>IF($B766="","",IF(IFERROR(INDEX('RAID Log'!$1:$1048576,$B766,MATCH("Initial Probability",'RAID Log'!$1:$1,0)),"")="","",IFERROR(INDEX('RAID Log'!$1:$1048576,$B766,MATCH("Initial Probability",'RAID Log'!$1:$1,0)),"")))</f>
        <v/>
      </c>
      <c r="I766" s="86" t="str">
        <f t="shared" si="33"/>
        <v/>
      </c>
      <c r="J766" s="85" t="str">
        <f t="shared" si="34"/>
        <v/>
      </c>
      <c r="K766" s="86" t="str">
        <f t="shared" si="35"/>
        <v/>
      </c>
      <c r="L766" s="85" t="str">
        <f>IF($B766="","",IF(IFERROR(INDEX('RAID Log'!$1:$1048576,$B766,MATCH("Status",'RAID Log'!$1:$1,0)),"")="","",IFERROR(INDEX('RAID Log'!$1:$1048576,$B766,MATCH("Status",'RAID Log'!$1:$1,0)),"")))</f>
        <v/>
      </c>
      <c r="M766" s="85" t="str">
        <f>IF($B766="","",IF(IFERROR(INDEX('RAID Log'!$1:$1048576,$B766,MATCH("RAID Owner",'RAID Log'!$1:$1,0)),"")="","",IFERROR(INDEX('RAID Log'!$1:$1048576,$B766,MATCH("RAID Owner",'RAID Log'!$1:$1,0)),"")))</f>
        <v/>
      </c>
      <c r="N766" s="87" t="str">
        <f>IF($B766="","",IF(IFERROR(INDEX('RAID Log'!$1:$1048576,$B766,MATCH("Date Raised",'RAID Log'!$1:$1,0)),"")="","",IFERROR(INDEX('RAID Log'!$1:$1048576,$B766,MATCH("Date Raised",'RAID Log'!$1:$1,0)),"")))</f>
        <v/>
      </c>
      <c r="O766" s="87" t="str">
        <f>IF($B766="","",IF(IFERROR(INDEX('RAID Log'!$1:$1048576,$B766,MATCH("Closed Date",'RAID Log'!$1:$1,0)),"")="","",IFERROR(INDEX('RAID Log'!$1:$1048576,$B766,MATCH("Closed Date",'RAID Log'!$1:$1,0)),"")))</f>
        <v/>
      </c>
      <c r="P766" s="85" t="str">
        <f>IF($B766="","",IF(IFERROR(INDEX('RAID Log'!$1:$1048576,$B766,MATCH("Mitigation Strategy",'RAID Log'!$1:$1,0)),"")="","",IFERROR(INDEX('RAID Log'!$1:$1048576,$B766,MATCH("Mitigation Strategy",'RAID Log'!$1:$1,0)),"")))</f>
        <v/>
      </c>
      <c r="Q766" s="88" t="str">
        <f>IF($B766="","",IF(IFERROR(INDEX('RAID Log'!$1:$1048576,$B766,MATCH("RAID Response/Plan",'RAID Log'!$1:$1,0)),"")="","",IFERROR(INDEX('RAID Log'!$1:$1048576,$B766,MATCH("RAID Response/Plan",'RAID Log'!$1:$1,0)),"")))</f>
        <v/>
      </c>
    </row>
    <row r="767" spans="1:17" ht="14.25" customHeight="1">
      <c r="A767" s="82" t="str">
        <f>IF($B767="","",IF(IFERROR(INDEX('RAID Log'!$1:$1048576,$B767,MATCH("RAID ID",'RAID Log'!$1:$1,0)),"")="","",IFERROR(INDEX('RAID Log'!$1:$1048576,$B767,MATCH("RAID ID",'RAID Log'!$1:$1,0)),"")))</f>
        <v/>
      </c>
      <c r="B767" s="83" t="str">
        <f>IFERROR(MATCH(ROW()-1,'RAID Log'!$S:$S,0),"")</f>
        <v/>
      </c>
      <c r="C767" s="84" t="str">
        <f>IF($B767="","",IF(IFERROR(INDEX('RAID Log'!$1:$1048576,$B767,MATCH("Description",'RAID Log'!$1:$1,0)),"")="","",IFERROR(INDEX('RAID Log'!$1:$1048576,$B767,MATCH("Description",'RAID Log'!$1:$1,0)),"")))</f>
        <v/>
      </c>
      <c r="D767" s="84" t="str">
        <f>IF($B767="","",IF(IFERROR(INDEX('RAID Log'!$1:$1048576,$B767,MATCH("Impact/Effect of the RAID",'RAID Log'!$1:$1,0)),"")="","",IFERROR(INDEX('RAID Log'!$1:$1048576,$B767,MATCH("Impact/Effect of the RAID",'RAID Log'!$1:$1,0)),"")))</f>
        <v/>
      </c>
      <c r="E767" s="85" t="str">
        <f>IF($B767="","",IF(IFERROR(INDEX('RAID Log'!$1:$1048576,$B767,MATCH("Impact Area",'RAID Log'!$1:$1,0)),"")="","",IFERROR(INDEX('RAID Log'!$1:$1048576,$B767,MATCH("Impact Area",'RAID Log'!$1:$1,0)),"")))</f>
        <v/>
      </c>
      <c r="F767" s="85" t="str">
        <f>IF($B767="","",IF(IFERROR(INDEX('RAID Log'!$1:$1048576,$B767,MATCH("Impact Area",'RAID Log'!$1:$1,0)),"")="","",IFERROR(INDEX('RAID Log'!$1:$1048576,$B767,MATCH("Impact Area",'RAID Log'!$1:$1,0)),"")))</f>
        <v/>
      </c>
      <c r="G767" s="85" t="str">
        <f>IF($B767="","",IF(IFERROR(INDEX('RAID Log'!$1:$1048576,$B767,MATCH("Impact Rating",'RAID Log'!$1:$1,0)),"")="","",IFERROR(INDEX('RAID Log'!$1:$1048576,$B767,MATCH("Impact Rating",'RAID Log'!$1:$1,0)),"")))</f>
        <v/>
      </c>
      <c r="H767" s="85" t="str">
        <f>IF($B767="","",IF(IFERROR(INDEX('RAID Log'!$1:$1048576,$B767,MATCH("Initial Probability",'RAID Log'!$1:$1,0)),"")="","",IFERROR(INDEX('RAID Log'!$1:$1048576,$B767,MATCH("Initial Probability",'RAID Log'!$1:$1,0)),"")))</f>
        <v/>
      </c>
      <c r="I767" s="86" t="str">
        <f t="shared" si="33"/>
        <v/>
      </c>
      <c r="J767" s="85" t="str">
        <f t="shared" si="34"/>
        <v/>
      </c>
      <c r="K767" s="86" t="str">
        <f t="shared" si="35"/>
        <v/>
      </c>
      <c r="L767" s="85" t="str">
        <f>IF($B767="","",IF(IFERROR(INDEX('RAID Log'!$1:$1048576,$B767,MATCH("Status",'RAID Log'!$1:$1,0)),"")="","",IFERROR(INDEX('RAID Log'!$1:$1048576,$B767,MATCH("Status",'RAID Log'!$1:$1,0)),"")))</f>
        <v/>
      </c>
      <c r="M767" s="85" t="str">
        <f>IF($B767="","",IF(IFERROR(INDEX('RAID Log'!$1:$1048576,$B767,MATCH("RAID Owner",'RAID Log'!$1:$1,0)),"")="","",IFERROR(INDEX('RAID Log'!$1:$1048576,$B767,MATCH("RAID Owner",'RAID Log'!$1:$1,0)),"")))</f>
        <v/>
      </c>
      <c r="N767" s="87" t="str">
        <f>IF($B767="","",IF(IFERROR(INDEX('RAID Log'!$1:$1048576,$B767,MATCH("Date Raised",'RAID Log'!$1:$1,0)),"")="","",IFERROR(INDEX('RAID Log'!$1:$1048576,$B767,MATCH("Date Raised",'RAID Log'!$1:$1,0)),"")))</f>
        <v/>
      </c>
      <c r="O767" s="87" t="str">
        <f>IF($B767="","",IF(IFERROR(INDEX('RAID Log'!$1:$1048576,$B767,MATCH("Closed Date",'RAID Log'!$1:$1,0)),"")="","",IFERROR(INDEX('RAID Log'!$1:$1048576,$B767,MATCH("Closed Date",'RAID Log'!$1:$1,0)),"")))</f>
        <v/>
      </c>
      <c r="P767" s="85" t="str">
        <f>IF($B767="","",IF(IFERROR(INDEX('RAID Log'!$1:$1048576,$B767,MATCH("Mitigation Strategy",'RAID Log'!$1:$1,0)),"")="","",IFERROR(INDEX('RAID Log'!$1:$1048576,$B767,MATCH("Mitigation Strategy",'RAID Log'!$1:$1,0)),"")))</f>
        <v/>
      </c>
      <c r="Q767" s="88" t="str">
        <f>IF($B767="","",IF(IFERROR(INDEX('RAID Log'!$1:$1048576,$B767,MATCH("RAID Response/Plan",'RAID Log'!$1:$1,0)),"")="","",IFERROR(INDEX('RAID Log'!$1:$1048576,$B767,MATCH("RAID Response/Plan",'RAID Log'!$1:$1,0)),"")))</f>
        <v/>
      </c>
    </row>
    <row r="768" spans="1:17" ht="14.25" customHeight="1">
      <c r="A768" s="82" t="str">
        <f>IF($B768="","",IF(IFERROR(INDEX('RAID Log'!$1:$1048576,$B768,MATCH("RAID ID",'RAID Log'!$1:$1,0)),"")="","",IFERROR(INDEX('RAID Log'!$1:$1048576,$B768,MATCH("RAID ID",'RAID Log'!$1:$1,0)),"")))</f>
        <v/>
      </c>
      <c r="B768" s="83" t="str">
        <f>IFERROR(MATCH(ROW()-1,'RAID Log'!$S:$S,0),"")</f>
        <v/>
      </c>
      <c r="C768" s="84" t="str">
        <f>IF($B768="","",IF(IFERROR(INDEX('RAID Log'!$1:$1048576,$B768,MATCH("Description",'RAID Log'!$1:$1,0)),"")="","",IFERROR(INDEX('RAID Log'!$1:$1048576,$B768,MATCH("Description",'RAID Log'!$1:$1,0)),"")))</f>
        <v/>
      </c>
      <c r="D768" s="84" t="str">
        <f>IF($B768="","",IF(IFERROR(INDEX('RAID Log'!$1:$1048576,$B768,MATCH("Impact/Effect of the RAID",'RAID Log'!$1:$1,0)),"")="","",IFERROR(INDEX('RAID Log'!$1:$1048576,$B768,MATCH("Impact/Effect of the RAID",'RAID Log'!$1:$1,0)),"")))</f>
        <v/>
      </c>
      <c r="E768" s="85" t="str">
        <f>IF($B768="","",IF(IFERROR(INDEX('RAID Log'!$1:$1048576,$B768,MATCH("Impact Area",'RAID Log'!$1:$1,0)),"")="","",IFERROR(INDEX('RAID Log'!$1:$1048576,$B768,MATCH("Impact Area",'RAID Log'!$1:$1,0)),"")))</f>
        <v/>
      </c>
      <c r="F768" s="85" t="str">
        <f>IF($B768="","",IF(IFERROR(INDEX('RAID Log'!$1:$1048576,$B768,MATCH("Impact Area",'RAID Log'!$1:$1,0)),"")="","",IFERROR(INDEX('RAID Log'!$1:$1048576,$B768,MATCH("Impact Area",'RAID Log'!$1:$1,0)),"")))</f>
        <v/>
      </c>
      <c r="G768" s="85" t="str">
        <f>IF($B768="","",IF(IFERROR(INDEX('RAID Log'!$1:$1048576,$B768,MATCH("Impact Rating",'RAID Log'!$1:$1,0)),"")="","",IFERROR(INDEX('RAID Log'!$1:$1048576,$B768,MATCH("Impact Rating",'RAID Log'!$1:$1,0)),"")))</f>
        <v/>
      </c>
      <c r="H768" s="85" t="str">
        <f>IF($B768="","",IF(IFERROR(INDEX('RAID Log'!$1:$1048576,$B768,MATCH("Initial Probability",'RAID Log'!$1:$1,0)),"")="","",IFERROR(INDEX('RAID Log'!$1:$1048576,$B768,MATCH("Initial Probability",'RAID Log'!$1:$1,0)),"")))</f>
        <v/>
      </c>
      <c r="I768" s="86" t="str">
        <f t="shared" si="33"/>
        <v/>
      </c>
      <c r="J768" s="85" t="str">
        <f t="shared" si="34"/>
        <v/>
      </c>
      <c r="K768" s="86" t="str">
        <f t="shared" si="35"/>
        <v/>
      </c>
      <c r="L768" s="85" t="str">
        <f>IF($B768="","",IF(IFERROR(INDEX('RAID Log'!$1:$1048576,$B768,MATCH("Status",'RAID Log'!$1:$1,0)),"")="","",IFERROR(INDEX('RAID Log'!$1:$1048576,$B768,MATCH("Status",'RAID Log'!$1:$1,0)),"")))</f>
        <v/>
      </c>
      <c r="M768" s="85" t="str">
        <f>IF($B768="","",IF(IFERROR(INDEX('RAID Log'!$1:$1048576,$B768,MATCH("RAID Owner",'RAID Log'!$1:$1,0)),"")="","",IFERROR(INDEX('RAID Log'!$1:$1048576,$B768,MATCH("RAID Owner",'RAID Log'!$1:$1,0)),"")))</f>
        <v/>
      </c>
      <c r="N768" s="87" t="str">
        <f>IF($B768="","",IF(IFERROR(INDEX('RAID Log'!$1:$1048576,$B768,MATCH("Date Raised",'RAID Log'!$1:$1,0)),"")="","",IFERROR(INDEX('RAID Log'!$1:$1048576,$B768,MATCH("Date Raised",'RAID Log'!$1:$1,0)),"")))</f>
        <v/>
      </c>
      <c r="O768" s="87" t="str">
        <f>IF($B768="","",IF(IFERROR(INDEX('RAID Log'!$1:$1048576,$B768,MATCH("Closed Date",'RAID Log'!$1:$1,0)),"")="","",IFERROR(INDEX('RAID Log'!$1:$1048576,$B768,MATCH("Closed Date",'RAID Log'!$1:$1,0)),"")))</f>
        <v/>
      </c>
      <c r="P768" s="85" t="str">
        <f>IF($B768="","",IF(IFERROR(INDEX('RAID Log'!$1:$1048576,$B768,MATCH("Mitigation Strategy",'RAID Log'!$1:$1,0)),"")="","",IFERROR(INDEX('RAID Log'!$1:$1048576,$B768,MATCH("Mitigation Strategy",'RAID Log'!$1:$1,0)),"")))</f>
        <v/>
      </c>
      <c r="Q768" s="88" t="str">
        <f>IF($B768="","",IF(IFERROR(INDEX('RAID Log'!$1:$1048576,$B768,MATCH("RAID Response/Plan",'RAID Log'!$1:$1,0)),"")="","",IFERROR(INDEX('RAID Log'!$1:$1048576,$B768,MATCH("RAID Response/Plan",'RAID Log'!$1:$1,0)),"")))</f>
        <v/>
      </c>
    </row>
    <row r="769" spans="1:17" ht="14.25" customHeight="1">
      <c r="A769" s="82" t="str">
        <f>IF($B769="","",IF(IFERROR(INDEX('RAID Log'!$1:$1048576,$B769,MATCH("RAID ID",'RAID Log'!$1:$1,0)),"")="","",IFERROR(INDEX('RAID Log'!$1:$1048576,$B769,MATCH("RAID ID",'RAID Log'!$1:$1,0)),"")))</f>
        <v/>
      </c>
      <c r="B769" s="83" t="str">
        <f>IFERROR(MATCH(ROW()-1,'RAID Log'!$S:$S,0),"")</f>
        <v/>
      </c>
      <c r="C769" s="84" t="str">
        <f>IF($B769="","",IF(IFERROR(INDEX('RAID Log'!$1:$1048576,$B769,MATCH("Description",'RAID Log'!$1:$1,0)),"")="","",IFERROR(INDEX('RAID Log'!$1:$1048576,$B769,MATCH("Description",'RAID Log'!$1:$1,0)),"")))</f>
        <v/>
      </c>
      <c r="D769" s="84" t="str">
        <f>IF($B769="","",IF(IFERROR(INDEX('RAID Log'!$1:$1048576,$B769,MATCH("Impact/Effect of the RAID",'RAID Log'!$1:$1,0)),"")="","",IFERROR(INDEX('RAID Log'!$1:$1048576,$B769,MATCH("Impact/Effect of the RAID",'RAID Log'!$1:$1,0)),"")))</f>
        <v/>
      </c>
      <c r="E769" s="85" t="str">
        <f>IF($B769="","",IF(IFERROR(INDEX('RAID Log'!$1:$1048576,$B769,MATCH("Impact Area",'RAID Log'!$1:$1,0)),"")="","",IFERROR(INDEX('RAID Log'!$1:$1048576,$B769,MATCH("Impact Area",'RAID Log'!$1:$1,0)),"")))</f>
        <v/>
      </c>
      <c r="F769" s="85" t="str">
        <f>IF($B769="","",IF(IFERROR(INDEX('RAID Log'!$1:$1048576,$B769,MATCH("Impact Area",'RAID Log'!$1:$1,0)),"")="","",IFERROR(INDEX('RAID Log'!$1:$1048576,$B769,MATCH("Impact Area",'RAID Log'!$1:$1,0)),"")))</f>
        <v/>
      </c>
      <c r="G769" s="85" t="str">
        <f>IF($B769="","",IF(IFERROR(INDEX('RAID Log'!$1:$1048576,$B769,MATCH("Impact Rating",'RAID Log'!$1:$1,0)),"")="","",IFERROR(INDEX('RAID Log'!$1:$1048576,$B769,MATCH("Impact Rating",'RAID Log'!$1:$1,0)),"")))</f>
        <v/>
      </c>
      <c r="H769" s="85" t="str">
        <f>IF($B769="","",IF(IFERROR(INDEX('RAID Log'!$1:$1048576,$B769,MATCH("Initial Probability",'RAID Log'!$1:$1,0)),"")="","",IFERROR(INDEX('RAID Log'!$1:$1048576,$B769,MATCH("Initial Probability",'RAID Log'!$1:$1,0)),"")))</f>
        <v/>
      </c>
      <c r="I769" s="86" t="str">
        <f t="shared" si="33"/>
        <v/>
      </c>
      <c r="J769" s="85" t="str">
        <f t="shared" si="34"/>
        <v/>
      </c>
      <c r="K769" s="86" t="str">
        <f t="shared" si="35"/>
        <v/>
      </c>
      <c r="L769" s="85" t="str">
        <f>IF($B769="","",IF(IFERROR(INDEX('RAID Log'!$1:$1048576,$B769,MATCH("Status",'RAID Log'!$1:$1,0)),"")="","",IFERROR(INDEX('RAID Log'!$1:$1048576,$B769,MATCH("Status",'RAID Log'!$1:$1,0)),"")))</f>
        <v/>
      </c>
      <c r="M769" s="85" t="str">
        <f>IF($B769="","",IF(IFERROR(INDEX('RAID Log'!$1:$1048576,$B769,MATCH("RAID Owner",'RAID Log'!$1:$1,0)),"")="","",IFERROR(INDEX('RAID Log'!$1:$1048576,$B769,MATCH("RAID Owner",'RAID Log'!$1:$1,0)),"")))</f>
        <v/>
      </c>
      <c r="N769" s="87" t="str">
        <f>IF($B769="","",IF(IFERROR(INDEX('RAID Log'!$1:$1048576,$B769,MATCH("Date Raised",'RAID Log'!$1:$1,0)),"")="","",IFERROR(INDEX('RAID Log'!$1:$1048576,$B769,MATCH("Date Raised",'RAID Log'!$1:$1,0)),"")))</f>
        <v/>
      </c>
      <c r="O769" s="87" t="str">
        <f>IF($B769="","",IF(IFERROR(INDEX('RAID Log'!$1:$1048576,$B769,MATCH("Closed Date",'RAID Log'!$1:$1,0)),"")="","",IFERROR(INDEX('RAID Log'!$1:$1048576,$B769,MATCH("Closed Date",'RAID Log'!$1:$1,0)),"")))</f>
        <v/>
      </c>
      <c r="P769" s="85" t="str">
        <f>IF($B769="","",IF(IFERROR(INDEX('RAID Log'!$1:$1048576,$B769,MATCH("Mitigation Strategy",'RAID Log'!$1:$1,0)),"")="","",IFERROR(INDEX('RAID Log'!$1:$1048576,$B769,MATCH("Mitigation Strategy",'RAID Log'!$1:$1,0)),"")))</f>
        <v/>
      </c>
      <c r="Q769" s="88" t="str">
        <f>IF($B769="","",IF(IFERROR(INDEX('RAID Log'!$1:$1048576,$B769,MATCH("RAID Response/Plan",'RAID Log'!$1:$1,0)),"")="","",IFERROR(INDEX('RAID Log'!$1:$1048576,$B769,MATCH("RAID Response/Plan",'RAID Log'!$1:$1,0)),"")))</f>
        <v/>
      </c>
    </row>
    <row r="770" spans="1:17" ht="14.25" customHeight="1">
      <c r="A770" s="82" t="str">
        <f>IF($B770="","",IF(IFERROR(INDEX('RAID Log'!$1:$1048576,$B770,MATCH("RAID ID",'RAID Log'!$1:$1,0)),"")="","",IFERROR(INDEX('RAID Log'!$1:$1048576,$B770,MATCH("RAID ID",'RAID Log'!$1:$1,0)),"")))</f>
        <v/>
      </c>
      <c r="B770" s="83" t="str">
        <f>IFERROR(MATCH(ROW()-1,'RAID Log'!$S:$S,0),"")</f>
        <v/>
      </c>
      <c r="C770" s="84" t="str">
        <f>IF($B770="","",IF(IFERROR(INDEX('RAID Log'!$1:$1048576,$B770,MATCH("Description",'RAID Log'!$1:$1,0)),"")="","",IFERROR(INDEX('RAID Log'!$1:$1048576,$B770,MATCH("Description",'RAID Log'!$1:$1,0)),"")))</f>
        <v/>
      </c>
      <c r="D770" s="84" t="str">
        <f>IF($B770="","",IF(IFERROR(INDEX('RAID Log'!$1:$1048576,$B770,MATCH("Impact/Effect of the RAID",'RAID Log'!$1:$1,0)),"")="","",IFERROR(INDEX('RAID Log'!$1:$1048576,$B770,MATCH("Impact/Effect of the RAID",'RAID Log'!$1:$1,0)),"")))</f>
        <v/>
      </c>
      <c r="E770" s="85" t="str">
        <f>IF($B770="","",IF(IFERROR(INDEX('RAID Log'!$1:$1048576,$B770,MATCH("Impact Area",'RAID Log'!$1:$1,0)),"")="","",IFERROR(INDEX('RAID Log'!$1:$1048576,$B770,MATCH("Impact Area",'RAID Log'!$1:$1,0)),"")))</f>
        <v/>
      </c>
      <c r="F770" s="85" t="str">
        <f>IF($B770="","",IF(IFERROR(INDEX('RAID Log'!$1:$1048576,$B770,MATCH("Impact Area",'RAID Log'!$1:$1,0)),"")="","",IFERROR(INDEX('RAID Log'!$1:$1048576,$B770,MATCH("Impact Area",'RAID Log'!$1:$1,0)),"")))</f>
        <v/>
      </c>
      <c r="G770" s="85" t="str">
        <f>IF($B770="","",IF(IFERROR(INDEX('RAID Log'!$1:$1048576,$B770,MATCH("Impact Rating",'RAID Log'!$1:$1,0)),"")="","",IFERROR(INDEX('RAID Log'!$1:$1048576,$B770,MATCH("Impact Rating",'RAID Log'!$1:$1,0)),"")))</f>
        <v/>
      </c>
      <c r="H770" s="85" t="str">
        <f>IF($B770="","",IF(IFERROR(INDEX('RAID Log'!$1:$1048576,$B770,MATCH("Initial Probability",'RAID Log'!$1:$1,0)),"")="","",IFERROR(INDEX('RAID Log'!$1:$1048576,$B770,MATCH("Initial Probability",'RAID Log'!$1:$1,0)),"")))</f>
        <v/>
      </c>
      <c r="I770" s="86" t="str">
        <f t="shared" ref="I770:I833" si="36">IF($B770="","",(IF($G770="Severe",25,IF($G770="Major",20,IF($G770="Moderate",15,IF($G770="Minor",10,IF($G770="Insignificant",5,0))))))*IF($H770="Very High",1,IF($H770="High",0.8,IF($H770="Average",0.6,IF($H770="Low",0.4,IF($H770="Very Low",0.2,0))))))</f>
        <v/>
      </c>
      <c r="J770" s="85" t="str">
        <f t="shared" ref="J770:J833" si="37">IF($B770="","",IF($I770&gt;20,"Critical",IF($I770&gt;15,"High",IF($I770&gt;8,"Moderate",IF($I770&gt;3,"Tolerable","Negligible")))))</f>
        <v/>
      </c>
      <c r="K770" s="86" t="str">
        <f t="shared" ref="K770:K833" si="38">IF(OR($B770="",UPPER($L770)="CLOSED"),"",COUNTIFS($L$2:$L$880,"&lt;&gt;Closed",$I$2:$I$880,"&gt;"&amp;$I770)+COUNTIFS($L$2:$L$880,"&lt;&gt;Closed",$I$2:$I$880,$I770,$N$2:$N$880,"&lt;"&amp;$N770)+COUNTIFS($L$2:$L$880,"&lt;&gt;Closed",$I$2:$I$880,$I770,$N$2:$N$880,$N770,$B$2:$B$880,"&lt;"&amp;$B770)+1)</f>
        <v/>
      </c>
      <c r="L770" s="85" t="str">
        <f>IF($B770="","",IF(IFERROR(INDEX('RAID Log'!$1:$1048576,$B770,MATCH("Status",'RAID Log'!$1:$1,0)),"")="","",IFERROR(INDEX('RAID Log'!$1:$1048576,$B770,MATCH("Status",'RAID Log'!$1:$1,0)),"")))</f>
        <v/>
      </c>
      <c r="M770" s="85" t="str">
        <f>IF($B770="","",IF(IFERROR(INDEX('RAID Log'!$1:$1048576,$B770,MATCH("RAID Owner",'RAID Log'!$1:$1,0)),"")="","",IFERROR(INDEX('RAID Log'!$1:$1048576,$B770,MATCH("RAID Owner",'RAID Log'!$1:$1,0)),"")))</f>
        <v/>
      </c>
      <c r="N770" s="87" t="str">
        <f>IF($B770="","",IF(IFERROR(INDEX('RAID Log'!$1:$1048576,$B770,MATCH("Date Raised",'RAID Log'!$1:$1,0)),"")="","",IFERROR(INDEX('RAID Log'!$1:$1048576,$B770,MATCH("Date Raised",'RAID Log'!$1:$1,0)),"")))</f>
        <v/>
      </c>
      <c r="O770" s="87" t="str">
        <f>IF($B770="","",IF(IFERROR(INDEX('RAID Log'!$1:$1048576,$B770,MATCH("Closed Date",'RAID Log'!$1:$1,0)),"")="","",IFERROR(INDEX('RAID Log'!$1:$1048576,$B770,MATCH("Closed Date",'RAID Log'!$1:$1,0)),"")))</f>
        <v/>
      </c>
      <c r="P770" s="85" t="str">
        <f>IF($B770="","",IF(IFERROR(INDEX('RAID Log'!$1:$1048576,$B770,MATCH("Mitigation Strategy",'RAID Log'!$1:$1,0)),"")="","",IFERROR(INDEX('RAID Log'!$1:$1048576,$B770,MATCH("Mitigation Strategy",'RAID Log'!$1:$1,0)),"")))</f>
        <v/>
      </c>
      <c r="Q770" s="88" t="str">
        <f>IF($B770="","",IF(IFERROR(INDEX('RAID Log'!$1:$1048576,$B770,MATCH("RAID Response/Plan",'RAID Log'!$1:$1,0)),"")="","",IFERROR(INDEX('RAID Log'!$1:$1048576,$B770,MATCH("RAID Response/Plan",'RAID Log'!$1:$1,0)),"")))</f>
        <v/>
      </c>
    </row>
    <row r="771" spans="1:17" ht="14.25" customHeight="1">
      <c r="A771" s="82" t="str">
        <f>IF($B771="","",IF(IFERROR(INDEX('RAID Log'!$1:$1048576,$B771,MATCH("RAID ID",'RAID Log'!$1:$1,0)),"")="","",IFERROR(INDEX('RAID Log'!$1:$1048576,$B771,MATCH("RAID ID",'RAID Log'!$1:$1,0)),"")))</f>
        <v/>
      </c>
      <c r="B771" s="83" t="str">
        <f>IFERROR(MATCH(ROW()-1,'RAID Log'!$S:$S,0),"")</f>
        <v/>
      </c>
      <c r="C771" s="84" t="str">
        <f>IF($B771="","",IF(IFERROR(INDEX('RAID Log'!$1:$1048576,$B771,MATCH("Description",'RAID Log'!$1:$1,0)),"")="","",IFERROR(INDEX('RAID Log'!$1:$1048576,$B771,MATCH("Description",'RAID Log'!$1:$1,0)),"")))</f>
        <v/>
      </c>
      <c r="D771" s="84" t="str">
        <f>IF($B771="","",IF(IFERROR(INDEX('RAID Log'!$1:$1048576,$B771,MATCH("Impact/Effect of the RAID",'RAID Log'!$1:$1,0)),"")="","",IFERROR(INDEX('RAID Log'!$1:$1048576,$B771,MATCH("Impact/Effect of the RAID",'RAID Log'!$1:$1,0)),"")))</f>
        <v/>
      </c>
      <c r="E771" s="85" t="str">
        <f>IF($B771="","",IF(IFERROR(INDEX('RAID Log'!$1:$1048576,$B771,MATCH("Impact Area",'RAID Log'!$1:$1,0)),"")="","",IFERROR(INDEX('RAID Log'!$1:$1048576,$B771,MATCH("Impact Area",'RAID Log'!$1:$1,0)),"")))</f>
        <v/>
      </c>
      <c r="F771" s="85" t="str">
        <f>IF($B771="","",IF(IFERROR(INDEX('RAID Log'!$1:$1048576,$B771,MATCH("Impact Area",'RAID Log'!$1:$1,0)),"")="","",IFERROR(INDEX('RAID Log'!$1:$1048576,$B771,MATCH("Impact Area",'RAID Log'!$1:$1,0)),"")))</f>
        <v/>
      </c>
      <c r="G771" s="85" t="str">
        <f>IF($B771="","",IF(IFERROR(INDEX('RAID Log'!$1:$1048576,$B771,MATCH("Impact Rating",'RAID Log'!$1:$1,0)),"")="","",IFERROR(INDEX('RAID Log'!$1:$1048576,$B771,MATCH("Impact Rating",'RAID Log'!$1:$1,0)),"")))</f>
        <v/>
      </c>
      <c r="H771" s="85" t="str">
        <f>IF($B771="","",IF(IFERROR(INDEX('RAID Log'!$1:$1048576,$B771,MATCH("Initial Probability",'RAID Log'!$1:$1,0)),"")="","",IFERROR(INDEX('RAID Log'!$1:$1048576,$B771,MATCH("Initial Probability",'RAID Log'!$1:$1,0)),"")))</f>
        <v/>
      </c>
      <c r="I771" s="86" t="str">
        <f t="shared" si="36"/>
        <v/>
      </c>
      <c r="J771" s="85" t="str">
        <f t="shared" si="37"/>
        <v/>
      </c>
      <c r="K771" s="86" t="str">
        <f t="shared" si="38"/>
        <v/>
      </c>
      <c r="L771" s="85" t="str">
        <f>IF($B771="","",IF(IFERROR(INDEX('RAID Log'!$1:$1048576,$B771,MATCH("Status",'RAID Log'!$1:$1,0)),"")="","",IFERROR(INDEX('RAID Log'!$1:$1048576,$B771,MATCH("Status",'RAID Log'!$1:$1,0)),"")))</f>
        <v/>
      </c>
      <c r="M771" s="85" t="str">
        <f>IF($B771="","",IF(IFERROR(INDEX('RAID Log'!$1:$1048576,$B771,MATCH("RAID Owner",'RAID Log'!$1:$1,0)),"")="","",IFERROR(INDEX('RAID Log'!$1:$1048576,$B771,MATCH("RAID Owner",'RAID Log'!$1:$1,0)),"")))</f>
        <v/>
      </c>
      <c r="N771" s="87" t="str">
        <f>IF($B771="","",IF(IFERROR(INDEX('RAID Log'!$1:$1048576,$B771,MATCH("Date Raised",'RAID Log'!$1:$1,0)),"")="","",IFERROR(INDEX('RAID Log'!$1:$1048576,$B771,MATCH("Date Raised",'RAID Log'!$1:$1,0)),"")))</f>
        <v/>
      </c>
      <c r="O771" s="87" t="str">
        <f>IF($B771="","",IF(IFERROR(INDEX('RAID Log'!$1:$1048576,$B771,MATCH("Closed Date",'RAID Log'!$1:$1,0)),"")="","",IFERROR(INDEX('RAID Log'!$1:$1048576,$B771,MATCH("Closed Date",'RAID Log'!$1:$1,0)),"")))</f>
        <v/>
      </c>
      <c r="P771" s="85" t="str">
        <f>IF($B771="","",IF(IFERROR(INDEX('RAID Log'!$1:$1048576,$B771,MATCH("Mitigation Strategy",'RAID Log'!$1:$1,0)),"")="","",IFERROR(INDEX('RAID Log'!$1:$1048576,$B771,MATCH("Mitigation Strategy",'RAID Log'!$1:$1,0)),"")))</f>
        <v/>
      </c>
      <c r="Q771" s="88" t="str">
        <f>IF($B771="","",IF(IFERROR(INDEX('RAID Log'!$1:$1048576,$B771,MATCH("RAID Response/Plan",'RAID Log'!$1:$1,0)),"")="","",IFERROR(INDEX('RAID Log'!$1:$1048576,$B771,MATCH("RAID Response/Plan",'RAID Log'!$1:$1,0)),"")))</f>
        <v/>
      </c>
    </row>
    <row r="772" spans="1:17" ht="14.25" customHeight="1">
      <c r="A772" s="82" t="str">
        <f>IF($B772="","",IF(IFERROR(INDEX('RAID Log'!$1:$1048576,$B772,MATCH("RAID ID",'RAID Log'!$1:$1,0)),"")="","",IFERROR(INDEX('RAID Log'!$1:$1048576,$B772,MATCH("RAID ID",'RAID Log'!$1:$1,0)),"")))</f>
        <v/>
      </c>
      <c r="B772" s="83" t="str">
        <f>IFERROR(MATCH(ROW()-1,'RAID Log'!$S:$S,0),"")</f>
        <v/>
      </c>
      <c r="C772" s="84" t="str">
        <f>IF($B772="","",IF(IFERROR(INDEX('RAID Log'!$1:$1048576,$B772,MATCH("Description",'RAID Log'!$1:$1,0)),"")="","",IFERROR(INDEX('RAID Log'!$1:$1048576,$B772,MATCH("Description",'RAID Log'!$1:$1,0)),"")))</f>
        <v/>
      </c>
      <c r="D772" s="84" t="str">
        <f>IF($B772="","",IF(IFERROR(INDEX('RAID Log'!$1:$1048576,$B772,MATCH("Impact/Effect of the RAID",'RAID Log'!$1:$1,0)),"")="","",IFERROR(INDEX('RAID Log'!$1:$1048576,$B772,MATCH("Impact/Effect of the RAID",'RAID Log'!$1:$1,0)),"")))</f>
        <v/>
      </c>
      <c r="E772" s="85" t="str">
        <f>IF($B772="","",IF(IFERROR(INDEX('RAID Log'!$1:$1048576,$B772,MATCH("Impact Area",'RAID Log'!$1:$1,0)),"")="","",IFERROR(INDEX('RAID Log'!$1:$1048576,$B772,MATCH("Impact Area",'RAID Log'!$1:$1,0)),"")))</f>
        <v/>
      </c>
      <c r="F772" s="85" t="str">
        <f>IF($B772="","",IF(IFERROR(INDEX('RAID Log'!$1:$1048576,$B772,MATCH("Impact Area",'RAID Log'!$1:$1,0)),"")="","",IFERROR(INDEX('RAID Log'!$1:$1048576,$B772,MATCH("Impact Area",'RAID Log'!$1:$1,0)),"")))</f>
        <v/>
      </c>
      <c r="G772" s="85" t="str">
        <f>IF($B772="","",IF(IFERROR(INDEX('RAID Log'!$1:$1048576,$B772,MATCH("Impact Rating",'RAID Log'!$1:$1,0)),"")="","",IFERROR(INDEX('RAID Log'!$1:$1048576,$B772,MATCH("Impact Rating",'RAID Log'!$1:$1,0)),"")))</f>
        <v/>
      </c>
      <c r="H772" s="85" t="str">
        <f>IF($B772="","",IF(IFERROR(INDEX('RAID Log'!$1:$1048576,$B772,MATCH("Initial Probability",'RAID Log'!$1:$1,0)),"")="","",IFERROR(INDEX('RAID Log'!$1:$1048576,$B772,MATCH("Initial Probability",'RAID Log'!$1:$1,0)),"")))</f>
        <v/>
      </c>
      <c r="I772" s="86" t="str">
        <f t="shared" si="36"/>
        <v/>
      </c>
      <c r="J772" s="85" t="str">
        <f t="shared" si="37"/>
        <v/>
      </c>
      <c r="K772" s="86" t="str">
        <f t="shared" si="38"/>
        <v/>
      </c>
      <c r="L772" s="85" t="str">
        <f>IF($B772="","",IF(IFERROR(INDEX('RAID Log'!$1:$1048576,$B772,MATCH("Status",'RAID Log'!$1:$1,0)),"")="","",IFERROR(INDEX('RAID Log'!$1:$1048576,$B772,MATCH("Status",'RAID Log'!$1:$1,0)),"")))</f>
        <v/>
      </c>
      <c r="M772" s="85" t="str">
        <f>IF($B772="","",IF(IFERROR(INDEX('RAID Log'!$1:$1048576,$B772,MATCH("RAID Owner",'RAID Log'!$1:$1,0)),"")="","",IFERROR(INDEX('RAID Log'!$1:$1048576,$B772,MATCH("RAID Owner",'RAID Log'!$1:$1,0)),"")))</f>
        <v/>
      </c>
      <c r="N772" s="87" t="str">
        <f>IF($B772="","",IF(IFERROR(INDEX('RAID Log'!$1:$1048576,$B772,MATCH("Date Raised",'RAID Log'!$1:$1,0)),"")="","",IFERROR(INDEX('RAID Log'!$1:$1048576,$B772,MATCH("Date Raised",'RAID Log'!$1:$1,0)),"")))</f>
        <v/>
      </c>
      <c r="O772" s="87" t="str">
        <f>IF($B772="","",IF(IFERROR(INDEX('RAID Log'!$1:$1048576,$B772,MATCH("Closed Date",'RAID Log'!$1:$1,0)),"")="","",IFERROR(INDEX('RAID Log'!$1:$1048576,$B772,MATCH("Closed Date",'RAID Log'!$1:$1,0)),"")))</f>
        <v/>
      </c>
      <c r="P772" s="85" t="str">
        <f>IF($B772="","",IF(IFERROR(INDEX('RAID Log'!$1:$1048576,$B772,MATCH("Mitigation Strategy",'RAID Log'!$1:$1,0)),"")="","",IFERROR(INDEX('RAID Log'!$1:$1048576,$B772,MATCH("Mitigation Strategy",'RAID Log'!$1:$1,0)),"")))</f>
        <v/>
      </c>
      <c r="Q772" s="88" t="str">
        <f>IF($B772="","",IF(IFERROR(INDEX('RAID Log'!$1:$1048576,$B772,MATCH("RAID Response/Plan",'RAID Log'!$1:$1,0)),"")="","",IFERROR(INDEX('RAID Log'!$1:$1048576,$B772,MATCH("RAID Response/Plan",'RAID Log'!$1:$1,0)),"")))</f>
        <v/>
      </c>
    </row>
    <row r="773" spans="1:17" ht="14.25" customHeight="1">
      <c r="A773" s="82" t="str">
        <f>IF($B773="","",IF(IFERROR(INDEX('RAID Log'!$1:$1048576,$B773,MATCH("RAID ID",'RAID Log'!$1:$1,0)),"")="","",IFERROR(INDEX('RAID Log'!$1:$1048576,$B773,MATCH("RAID ID",'RAID Log'!$1:$1,0)),"")))</f>
        <v/>
      </c>
      <c r="B773" s="83" t="str">
        <f>IFERROR(MATCH(ROW()-1,'RAID Log'!$S:$S,0),"")</f>
        <v/>
      </c>
      <c r="C773" s="84" t="str">
        <f>IF($B773="","",IF(IFERROR(INDEX('RAID Log'!$1:$1048576,$B773,MATCH("Description",'RAID Log'!$1:$1,0)),"")="","",IFERROR(INDEX('RAID Log'!$1:$1048576,$B773,MATCH("Description",'RAID Log'!$1:$1,0)),"")))</f>
        <v/>
      </c>
      <c r="D773" s="84" t="str">
        <f>IF($B773="","",IF(IFERROR(INDEX('RAID Log'!$1:$1048576,$B773,MATCH("Impact/Effect of the RAID",'RAID Log'!$1:$1,0)),"")="","",IFERROR(INDEX('RAID Log'!$1:$1048576,$B773,MATCH("Impact/Effect of the RAID",'RAID Log'!$1:$1,0)),"")))</f>
        <v/>
      </c>
      <c r="E773" s="85" t="str">
        <f>IF($B773="","",IF(IFERROR(INDEX('RAID Log'!$1:$1048576,$B773,MATCH("Impact Area",'RAID Log'!$1:$1,0)),"")="","",IFERROR(INDEX('RAID Log'!$1:$1048576,$B773,MATCH("Impact Area",'RAID Log'!$1:$1,0)),"")))</f>
        <v/>
      </c>
      <c r="F773" s="85" t="str">
        <f>IF($B773="","",IF(IFERROR(INDEX('RAID Log'!$1:$1048576,$B773,MATCH("Impact Area",'RAID Log'!$1:$1,0)),"")="","",IFERROR(INDEX('RAID Log'!$1:$1048576,$B773,MATCH("Impact Area",'RAID Log'!$1:$1,0)),"")))</f>
        <v/>
      </c>
      <c r="G773" s="85" t="str">
        <f>IF($B773="","",IF(IFERROR(INDEX('RAID Log'!$1:$1048576,$B773,MATCH("Impact Rating",'RAID Log'!$1:$1,0)),"")="","",IFERROR(INDEX('RAID Log'!$1:$1048576,$B773,MATCH("Impact Rating",'RAID Log'!$1:$1,0)),"")))</f>
        <v/>
      </c>
      <c r="H773" s="85" t="str">
        <f>IF($B773="","",IF(IFERROR(INDEX('RAID Log'!$1:$1048576,$B773,MATCH("Initial Probability",'RAID Log'!$1:$1,0)),"")="","",IFERROR(INDEX('RAID Log'!$1:$1048576,$B773,MATCH("Initial Probability",'RAID Log'!$1:$1,0)),"")))</f>
        <v/>
      </c>
      <c r="I773" s="86" t="str">
        <f t="shared" si="36"/>
        <v/>
      </c>
      <c r="J773" s="85" t="str">
        <f t="shared" si="37"/>
        <v/>
      </c>
      <c r="K773" s="86" t="str">
        <f t="shared" si="38"/>
        <v/>
      </c>
      <c r="L773" s="85" t="str">
        <f>IF($B773="","",IF(IFERROR(INDEX('RAID Log'!$1:$1048576,$B773,MATCH("Status",'RAID Log'!$1:$1,0)),"")="","",IFERROR(INDEX('RAID Log'!$1:$1048576,$B773,MATCH("Status",'RAID Log'!$1:$1,0)),"")))</f>
        <v/>
      </c>
      <c r="M773" s="85" t="str">
        <f>IF($B773="","",IF(IFERROR(INDEX('RAID Log'!$1:$1048576,$B773,MATCH("RAID Owner",'RAID Log'!$1:$1,0)),"")="","",IFERROR(INDEX('RAID Log'!$1:$1048576,$B773,MATCH("RAID Owner",'RAID Log'!$1:$1,0)),"")))</f>
        <v/>
      </c>
      <c r="N773" s="87" t="str">
        <f>IF($B773="","",IF(IFERROR(INDEX('RAID Log'!$1:$1048576,$B773,MATCH("Date Raised",'RAID Log'!$1:$1,0)),"")="","",IFERROR(INDEX('RAID Log'!$1:$1048576,$B773,MATCH("Date Raised",'RAID Log'!$1:$1,0)),"")))</f>
        <v/>
      </c>
      <c r="O773" s="87" t="str">
        <f>IF($B773="","",IF(IFERROR(INDEX('RAID Log'!$1:$1048576,$B773,MATCH("Closed Date",'RAID Log'!$1:$1,0)),"")="","",IFERROR(INDEX('RAID Log'!$1:$1048576,$B773,MATCH("Closed Date",'RAID Log'!$1:$1,0)),"")))</f>
        <v/>
      </c>
      <c r="P773" s="85" t="str">
        <f>IF($B773="","",IF(IFERROR(INDEX('RAID Log'!$1:$1048576,$B773,MATCH("Mitigation Strategy",'RAID Log'!$1:$1,0)),"")="","",IFERROR(INDEX('RAID Log'!$1:$1048576,$B773,MATCH("Mitigation Strategy",'RAID Log'!$1:$1,0)),"")))</f>
        <v/>
      </c>
      <c r="Q773" s="88" t="str">
        <f>IF($B773="","",IF(IFERROR(INDEX('RAID Log'!$1:$1048576,$B773,MATCH("RAID Response/Plan",'RAID Log'!$1:$1,0)),"")="","",IFERROR(INDEX('RAID Log'!$1:$1048576,$B773,MATCH("RAID Response/Plan",'RAID Log'!$1:$1,0)),"")))</f>
        <v/>
      </c>
    </row>
    <row r="774" spans="1:17" ht="14.25" customHeight="1">
      <c r="A774" s="82" t="str">
        <f>IF($B774="","",IF(IFERROR(INDEX('RAID Log'!$1:$1048576,$B774,MATCH("RAID ID",'RAID Log'!$1:$1,0)),"")="","",IFERROR(INDEX('RAID Log'!$1:$1048576,$B774,MATCH("RAID ID",'RAID Log'!$1:$1,0)),"")))</f>
        <v/>
      </c>
      <c r="B774" s="83" t="str">
        <f>IFERROR(MATCH(ROW()-1,'RAID Log'!$S:$S,0),"")</f>
        <v/>
      </c>
      <c r="C774" s="84" t="str">
        <f>IF($B774="","",IF(IFERROR(INDEX('RAID Log'!$1:$1048576,$B774,MATCH("Description",'RAID Log'!$1:$1,0)),"")="","",IFERROR(INDEX('RAID Log'!$1:$1048576,$B774,MATCH("Description",'RAID Log'!$1:$1,0)),"")))</f>
        <v/>
      </c>
      <c r="D774" s="84" t="str">
        <f>IF($B774="","",IF(IFERROR(INDEX('RAID Log'!$1:$1048576,$B774,MATCH("Impact/Effect of the RAID",'RAID Log'!$1:$1,0)),"")="","",IFERROR(INDEX('RAID Log'!$1:$1048576,$B774,MATCH("Impact/Effect of the RAID",'RAID Log'!$1:$1,0)),"")))</f>
        <v/>
      </c>
      <c r="E774" s="85" t="str">
        <f>IF($B774="","",IF(IFERROR(INDEX('RAID Log'!$1:$1048576,$B774,MATCH("Impact Area",'RAID Log'!$1:$1,0)),"")="","",IFERROR(INDEX('RAID Log'!$1:$1048576,$B774,MATCH("Impact Area",'RAID Log'!$1:$1,0)),"")))</f>
        <v/>
      </c>
      <c r="F774" s="85" t="str">
        <f>IF($B774="","",IF(IFERROR(INDEX('RAID Log'!$1:$1048576,$B774,MATCH("Impact Area",'RAID Log'!$1:$1,0)),"")="","",IFERROR(INDEX('RAID Log'!$1:$1048576,$B774,MATCH("Impact Area",'RAID Log'!$1:$1,0)),"")))</f>
        <v/>
      </c>
      <c r="G774" s="85" t="str">
        <f>IF($B774="","",IF(IFERROR(INDEX('RAID Log'!$1:$1048576,$B774,MATCH("Impact Rating",'RAID Log'!$1:$1,0)),"")="","",IFERROR(INDEX('RAID Log'!$1:$1048576,$B774,MATCH("Impact Rating",'RAID Log'!$1:$1,0)),"")))</f>
        <v/>
      </c>
      <c r="H774" s="85" t="str">
        <f>IF($B774="","",IF(IFERROR(INDEX('RAID Log'!$1:$1048576,$B774,MATCH("Initial Probability",'RAID Log'!$1:$1,0)),"")="","",IFERROR(INDEX('RAID Log'!$1:$1048576,$B774,MATCH("Initial Probability",'RAID Log'!$1:$1,0)),"")))</f>
        <v/>
      </c>
      <c r="I774" s="86" t="str">
        <f t="shared" si="36"/>
        <v/>
      </c>
      <c r="J774" s="85" t="str">
        <f t="shared" si="37"/>
        <v/>
      </c>
      <c r="K774" s="86" t="str">
        <f t="shared" si="38"/>
        <v/>
      </c>
      <c r="L774" s="85" t="str">
        <f>IF($B774="","",IF(IFERROR(INDEX('RAID Log'!$1:$1048576,$B774,MATCH("Status",'RAID Log'!$1:$1,0)),"")="","",IFERROR(INDEX('RAID Log'!$1:$1048576,$B774,MATCH("Status",'RAID Log'!$1:$1,0)),"")))</f>
        <v/>
      </c>
      <c r="M774" s="85" t="str">
        <f>IF($B774="","",IF(IFERROR(INDEX('RAID Log'!$1:$1048576,$B774,MATCH("RAID Owner",'RAID Log'!$1:$1,0)),"")="","",IFERROR(INDEX('RAID Log'!$1:$1048576,$B774,MATCH("RAID Owner",'RAID Log'!$1:$1,0)),"")))</f>
        <v/>
      </c>
      <c r="N774" s="87" t="str">
        <f>IF($B774="","",IF(IFERROR(INDEX('RAID Log'!$1:$1048576,$B774,MATCH("Date Raised",'RAID Log'!$1:$1,0)),"")="","",IFERROR(INDEX('RAID Log'!$1:$1048576,$B774,MATCH("Date Raised",'RAID Log'!$1:$1,0)),"")))</f>
        <v/>
      </c>
      <c r="O774" s="87" t="str">
        <f>IF($B774="","",IF(IFERROR(INDEX('RAID Log'!$1:$1048576,$B774,MATCH("Closed Date",'RAID Log'!$1:$1,0)),"")="","",IFERROR(INDEX('RAID Log'!$1:$1048576,$B774,MATCH("Closed Date",'RAID Log'!$1:$1,0)),"")))</f>
        <v/>
      </c>
      <c r="P774" s="85" t="str">
        <f>IF($B774="","",IF(IFERROR(INDEX('RAID Log'!$1:$1048576,$B774,MATCH("Mitigation Strategy",'RAID Log'!$1:$1,0)),"")="","",IFERROR(INDEX('RAID Log'!$1:$1048576,$B774,MATCH("Mitigation Strategy",'RAID Log'!$1:$1,0)),"")))</f>
        <v/>
      </c>
      <c r="Q774" s="88" t="str">
        <f>IF($B774="","",IF(IFERROR(INDEX('RAID Log'!$1:$1048576,$B774,MATCH("RAID Response/Plan",'RAID Log'!$1:$1,0)),"")="","",IFERROR(INDEX('RAID Log'!$1:$1048576,$B774,MATCH("RAID Response/Plan",'RAID Log'!$1:$1,0)),"")))</f>
        <v/>
      </c>
    </row>
    <row r="775" spans="1:17" ht="14.25" customHeight="1">
      <c r="A775" s="82" t="str">
        <f>IF($B775="","",IF(IFERROR(INDEX('RAID Log'!$1:$1048576,$B775,MATCH("RAID ID",'RAID Log'!$1:$1,0)),"")="","",IFERROR(INDEX('RAID Log'!$1:$1048576,$B775,MATCH("RAID ID",'RAID Log'!$1:$1,0)),"")))</f>
        <v/>
      </c>
      <c r="B775" s="83" t="str">
        <f>IFERROR(MATCH(ROW()-1,'RAID Log'!$S:$S,0),"")</f>
        <v/>
      </c>
      <c r="C775" s="84" t="str">
        <f>IF($B775="","",IF(IFERROR(INDEX('RAID Log'!$1:$1048576,$B775,MATCH("Description",'RAID Log'!$1:$1,0)),"")="","",IFERROR(INDEX('RAID Log'!$1:$1048576,$B775,MATCH("Description",'RAID Log'!$1:$1,0)),"")))</f>
        <v/>
      </c>
      <c r="D775" s="84" t="str">
        <f>IF($B775="","",IF(IFERROR(INDEX('RAID Log'!$1:$1048576,$B775,MATCH("Impact/Effect of the RAID",'RAID Log'!$1:$1,0)),"")="","",IFERROR(INDEX('RAID Log'!$1:$1048576,$B775,MATCH("Impact/Effect of the RAID",'RAID Log'!$1:$1,0)),"")))</f>
        <v/>
      </c>
      <c r="E775" s="85" t="str">
        <f>IF($B775="","",IF(IFERROR(INDEX('RAID Log'!$1:$1048576,$B775,MATCH("Impact Area",'RAID Log'!$1:$1,0)),"")="","",IFERROR(INDEX('RAID Log'!$1:$1048576,$B775,MATCH("Impact Area",'RAID Log'!$1:$1,0)),"")))</f>
        <v/>
      </c>
      <c r="F775" s="85" t="str">
        <f>IF($B775="","",IF(IFERROR(INDEX('RAID Log'!$1:$1048576,$B775,MATCH("Impact Area",'RAID Log'!$1:$1,0)),"")="","",IFERROR(INDEX('RAID Log'!$1:$1048576,$B775,MATCH("Impact Area",'RAID Log'!$1:$1,0)),"")))</f>
        <v/>
      </c>
      <c r="G775" s="85" t="str">
        <f>IF($B775="","",IF(IFERROR(INDEX('RAID Log'!$1:$1048576,$B775,MATCH("Impact Rating",'RAID Log'!$1:$1,0)),"")="","",IFERROR(INDEX('RAID Log'!$1:$1048576,$B775,MATCH("Impact Rating",'RAID Log'!$1:$1,0)),"")))</f>
        <v/>
      </c>
      <c r="H775" s="85" t="str">
        <f>IF($B775="","",IF(IFERROR(INDEX('RAID Log'!$1:$1048576,$B775,MATCH("Initial Probability",'RAID Log'!$1:$1,0)),"")="","",IFERROR(INDEX('RAID Log'!$1:$1048576,$B775,MATCH("Initial Probability",'RAID Log'!$1:$1,0)),"")))</f>
        <v/>
      </c>
      <c r="I775" s="86" t="str">
        <f t="shared" si="36"/>
        <v/>
      </c>
      <c r="J775" s="85" t="str">
        <f t="shared" si="37"/>
        <v/>
      </c>
      <c r="K775" s="86" t="str">
        <f t="shared" si="38"/>
        <v/>
      </c>
      <c r="L775" s="85" t="str">
        <f>IF($B775="","",IF(IFERROR(INDEX('RAID Log'!$1:$1048576,$B775,MATCH("Status",'RAID Log'!$1:$1,0)),"")="","",IFERROR(INDEX('RAID Log'!$1:$1048576,$B775,MATCH("Status",'RAID Log'!$1:$1,0)),"")))</f>
        <v/>
      </c>
      <c r="M775" s="85" t="str">
        <f>IF($B775="","",IF(IFERROR(INDEX('RAID Log'!$1:$1048576,$B775,MATCH("RAID Owner",'RAID Log'!$1:$1,0)),"")="","",IFERROR(INDEX('RAID Log'!$1:$1048576,$B775,MATCH("RAID Owner",'RAID Log'!$1:$1,0)),"")))</f>
        <v/>
      </c>
      <c r="N775" s="87" t="str">
        <f>IF($B775="","",IF(IFERROR(INDEX('RAID Log'!$1:$1048576,$B775,MATCH("Date Raised",'RAID Log'!$1:$1,0)),"")="","",IFERROR(INDEX('RAID Log'!$1:$1048576,$B775,MATCH("Date Raised",'RAID Log'!$1:$1,0)),"")))</f>
        <v/>
      </c>
      <c r="O775" s="87" t="str">
        <f>IF($B775="","",IF(IFERROR(INDEX('RAID Log'!$1:$1048576,$B775,MATCH("Closed Date",'RAID Log'!$1:$1,0)),"")="","",IFERROR(INDEX('RAID Log'!$1:$1048576,$B775,MATCH("Closed Date",'RAID Log'!$1:$1,0)),"")))</f>
        <v/>
      </c>
      <c r="P775" s="85" t="str">
        <f>IF($B775="","",IF(IFERROR(INDEX('RAID Log'!$1:$1048576,$B775,MATCH("Mitigation Strategy",'RAID Log'!$1:$1,0)),"")="","",IFERROR(INDEX('RAID Log'!$1:$1048576,$B775,MATCH("Mitigation Strategy",'RAID Log'!$1:$1,0)),"")))</f>
        <v/>
      </c>
      <c r="Q775" s="88" t="str">
        <f>IF($B775="","",IF(IFERROR(INDEX('RAID Log'!$1:$1048576,$B775,MATCH("RAID Response/Plan",'RAID Log'!$1:$1,0)),"")="","",IFERROR(INDEX('RAID Log'!$1:$1048576,$B775,MATCH("RAID Response/Plan",'RAID Log'!$1:$1,0)),"")))</f>
        <v/>
      </c>
    </row>
    <row r="776" spans="1:17" ht="14.25" customHeight="1">
      <c r="A776" s="82" t="str">
        <f>IF($B776="","",IF(IFERROR(INDEX('RAID Log'!$1:$1048576,$B776,MATCH("RAID ID",'RAID Log'!$1:$1,0)),"")="","",IFERROR(INDEX('RAID Log'!$1:$1048576,$B776,MATCH("RAID ID",'RAID Log'!$1:$1,0)),"")))</f>
        <v/>
      </c>
      <c r="B776" s="83" t="str">
        <f>IFERROR(MATCH(ROW()-1,'RAID Log'!$S:$S,0),"")</f>
        <v/>
      </c>
      <c r="C776" s="84" t="str">
        <f>IF($B776="","",IF(IFERROR(INDEX('RAID Log'!$1:$1048576,$B776,MATCH("Description",'RAID Log'!$1:$1,0)),"")="","",IFERROR(INDEX('RAID Log'!$1:$1048576,$B776,MATCH("Description",'RAID Log'!$1:$1,0)),"")))</f>
        <v/>
      </c>
      <c r="D776" s="84" t="str">
        <f>IF($B776="","",IF(IFERROR(INDEX('RAID Log'!$1:$1048576,$B776,MATCH("Impact/Effect of the RAID",'RAID Log'!$1:$1,0)),"")="","",IFERROR(INDEX('RAID Log'!$1:$1048576,$B776,MATCH("Impact/Effect of the RAID",'RAID Log'!$1:$1,0)),"")))</f>
        <v/>
      </c>
      <c r="E776" s="85" t="str">
        <f>IF($B776="","",IF(IFERROR(INDEX('RAID Log'!$1:$1048576,$B776,MATCH("Impact Area",'RAID Log'!$1:$1,0)),"")="","",IFERROR(INDEX('RAID Log'!$1:$1048576,$B776,MATCH("Impact Area",'RAID Log'!$1:$1,0)),"")))</f>
        <v/>
      </c>
      <c r="F776" s="85" t="str">
        <f>IF($B776="","",IF(IFERROR(INDEX('RAID Log'!$1:$1048576,$B776,MATCH("Impact Area",'RAID Log'!$1:$1,0)),"")="","",IFERROR(INDEX('RAID Log'!$1:$1048576,$B776,MATCH("Impact Area",'RAID Log'!$1:$1,0)),"")))</f>
        <v/>
      </c>
      <c r="G776" s="85" t="str">
        <f>IF($B776="","",IF(IFERROR(INDEX('RAID Log'!$1:$1048576,$B776,MATCH("Impact Rating",'RAID Log'!$1:$1,0)),"")="","",IFERROR(INDEX('RAID Log'!$1:$1048576,$B776,MATCH("Impact Rating",'RAID Log'!$1:$1,0)),"")))</f>
        <v/>
      </c>
      <c r="H776" s="85" t="str">
        <f>IF($B776="","",IF(IFERROR(INDEX('RAID Log'!$1:$1048576,$B776,MATCH("Initial Probability",'RAID Log'!$1:$1,0)),"")="","",IFERROR(INDEX('RAID Log'!$1:$1048576,$B776,MATCH("Initial Probability",'RAID Log'!$1:$1,0)),"")))</f>
        <v/>
      </c>
      <c r="I776" s="86" t="str">
        <f t="shared" si="36"/>
        <v/>
      </c>
      <c r="J776" s="85" t="str">
        <f t="shared" si="37"/>
        <v/>
      </c>
      <c r="K776" s="86" t="str">
        <f t="shared" si="38"/>
        <v/>
      </c>
      <c r="L776" s="85" t="str">
        <f>IF($B776="","",IF(IFERROR(INDEX('RAID Log'!$1:$1048576,$B776,MATCH("Status",'RAID Log'!$1:$1,0)),"")="","",IFERROR(INDEX('RAID Log'!$1:$1048576,$B776,MATCH("Status",'RAID Log'!$1:$1,0)),"")))</f>
        <v/>
      </c>
      <c r="M776" s="85" t="str">
        <f>IF($B776="","",IF(IFERROR(INDEX('RAID Log'!$1:$1048576,$B776,MATCH("RAID Owner",'RAID Log'!$1:$1,0)),"")="","",IFERROR(INDEX('RAID Log'!$1:$1048576,$B776,MATCH("RAID Owner",'RAID Log'!$1:$1,0)),"")))</f>
        <v/>
      </c>
      <c r="N776" s="87" t="str">
        <f>IF($B776="","",IF(IFERROR(INDEX('RAID Log'!$1:$1048576,$B776,MATCH("Date Raised",'RAID Log'!$1:$1,0)),"")="","",IFERROR(INDEX('RAID Log'!$1:$1048576,$B776,MATCH("Date Raised",'RAID Log'!$1:$1,0)),"")))</f>
        <v/>
      </c>
      <c r="O776" s="87" t="str">
        <f>IF($B776="","",IF(IFERROR(INDEX('RAID Log'!$1:$1048576,$B776,MATCH("Closed Date",'RAID Log'!$1:$1,0)),"")="","",IFERROR(INDEX('RAID Log'!$1:$1048576,$B776,MATCH("Closed Date",'RAID Log'!$1:$1,0)),"")))</f>
        <v/>
      </c>
      <c r="P776" s="85" t="str">
        <f>IF($B776="","",IF(IFERROR(INDEX('RAID Log'!$1:$1048576,$B776,MATCH("Mitigation Strategy",'RAID Log'!$1:$1,0)),"")="","",IFERROR(INDEX('RAID Log'!$1:$1048576,$B776,MATCH("Mitigation Strategy",'RAID Log'!$1:$1,0)),"")))</f>
        <v/>
      </c>
      <c r="Q776" s="88" t="str">
        <f>IF($B776="","",IF(IFERROR(INDEX('RAID Log'!$1:$1048576,$B776,MATCH("RAID Response/Plan",'RAID Log'!$1:$1,0)),"")="","",IFERROR(INDEX('RAID Log'!$1:$1048576,$B776,MATCH("RAID Response/Plan",'RAID Log'!$1:$1,0)),"")))</f>
        <v/>
      </c>
    </row>
    <row r="777" spans="1:17" ht="14.25" customHeight="1">
      <c r="A777" s="82" t="str">
        <f>IF($B777="","",IF(IFERROR(INDEX('RAID Log'!$1:$1048576,$B777,MATCH("RAID ID",'RAID Log'!$1:$1,0)),"")="","",IFERROR(INDEX('RAID Log'!$1:$1048576,$B777,MATCH("RAID ID",'RAID Log'!$1:$1,0)),"")))</f>
        <v/>
      </c>
      <c r="B777" s="83" t="str">
        <f>IFERROR(MATCH(ROW()-1,'RAID Log'!$S:$S,0),"")</f>
        <v/>
      </c>
      <c r="C777" s="84" t="str">
        <f>IF($B777="","",IF(IFERROR(INDEX('RAID Log'!$1:$1048576,$B777,MATCH("Description",'RAID Log'!$1:$1,0)),"")="","",IFERROR(INDEX('RAID Log'!$1:$1048576,$B777,MATCH("Description",'RAID Log'!$1:$1,0)),"")))</f>
        <v/>
      </c>
      <c r="D777" s="84" t="str">
        <f>IF($B777="","",IF(IFERROR(INDEX('RAID Log'!$1:$1048576,$B777,MATCH("Impact/Effect of the RAID",'RAID Log'!$1:$1,0)),"")="","",IFERROR(INDEX('RAID Log'!$1:$1048576,$B777,MATCH("Impact/Effect of the RAID",'RAID Log'!$1:$1,0)),"")))</f>
        <v/>
      </c>
      <c r="E777" s="85" t="str">
        <f>IF($B777="","",IF(IFERROR(INDEX('RAID Log'!$1:$1048576,$B777,MATCH("Impact Area",'RAID Log'!$1:$1,0)),"")="","",IFERROR(INDEX('RAID Log'!$1:$1048576,$B777,MATCH("Impact Area",'RAID Log'!$1:$1,0)),"")))</f>
        <v/>
      </c>
      <c r="F777" s="85" t="str">
        <f>IF($B777="","",IF(IFERROR(INDEX('RAID Log'!$1:$1048576,$B777,MATCH("Impact Area",'RAID Log'!$1:$1,0)),"")="","",IFERROR(INDEX('RAID Log'!$1:$1048576,$B777,MATCH("Impact Area",'RAID Log'!$1:$1,0)),"")))</f>
        <v/>
      </c>
      <c r="G777" s="85" t="str">
        <f>IF($B777="","",IF(IFERROR(INDEX('RAID Log'!$1:$1048576,$B777,MATCH("Impact Rating",'RAID Log'!$1:$1,0)),"")="","",IFERROR(INDEX('RAID Log'!$1:$1048576,$B777,MATCH("Impact Rating",'RAID Log'!$1:$1,0)),"")))</f>
        <v/>
      </c>
      <c r="H777" s="85" t="str">
        <f>IF($B777="","",IF(IFERROR(INDEX('RAID Log'!$1:$1048576,$B777,MATCH("Initial Probability",'RAID Log'!$1:$1,0)),"")="","",IFERROR(INDEX('RAID Log'!$1:$1048576,$B777,MATCH("Initial Probability",'RAID Log'!$1:$1,0)),"")))</f>
        <v/>
      </c>
      <c r="I777" s="86" t="str">
        <f t="shared" si="36"/>
        <v/>
      </c>
      <c r="J777" s="85" t="str">
        <f t="shared" si="37"/>
        <v/>
      </c>
      <c r="K777" s="86" t="str">
        <f t="shared" si="38"/>
        <v/>
      </c>
      <c r="L777" s="85" t="str">
        <f>IF($B777="","",IF(IFERROR(INDEX('RAID Log'!$1:$1048576,$B777,MATCH("Status",'RAID Log'!$1:$1,0)),"")="","",IFERROR(INDEX('RAID Log'!$1:$1048576,$B777,MATCH("Status",'RAID Log'!$1:$1,0)),"")))</f>
        <v/>
      </c>
      <c r="M777" s="85" t="str">
        <f>IF($B777="","",IF(IFERROR(INDEX('RAID Log'!$1:$1048576,$B777,MATCH("RAID Owner",'RAID Log'!$1:$1,0)),"")="","",IFERROR(INDEX('RAID Log'!$1:$1048576,$B777,MATCH("RAID Owner",'RAID Log'!$1:$1,0)),"")))</f>
        <v/>
      </c>
      <c r="N777" s="87" t="str">
        <f>IF($B777="","",IF(IFERROR(INDEX('RAID Log'!$1:$1048576,$B777,MATCH("Date Raised",'RAID Log'!$1:$1,0)),"")="","",IFERROR(INDEX('RAID Log'!$1:$1048576,$B777,MATCH("Date Raised",'RAID Log'!$1:$1,0)),"")))</f>
        <v/>
      </c>
      <c r="O777" s="87" t="str">
        <f>IF($B777="","",IF(IFERROR(INDEX('RAID Log'!$1:$1048576,$B777,MATCH("Closed Date",'RAID Log'!$1:$1,0)),"")="","",IFERROR(INDEX('RAID Log'!$1:$1048576,$B777,MATCH("Closed Date",'RAID Log'!$1:$1,0)),"")))</f>
        <v/>
      </c>
      <c r="P777" s="85" t="str">
        <f>IF($B777="","",IF(IFERROR(INDEX('RAID Log'!$1:$1048576,$B777,MATCH("Mitigation Strategy",'RAID Log'!$1:$1,0)),"")="","",IFERROR(INDEX('RAID Log'!$1:$1048576,$B777,MATCH("Mitigation Strategy",'RAID Log'!$1:$1,0)),"")))</f>
        <v/>
      </c>
      <c r="Q777" s="88" t="str">
        <f>IF($B777="","",IF(IFERROR(INDEX('RAID Log'!$1:$1048576,$B777,MATCH("RAID Response/Plan",'RAID Log'!$1:$1,0)),"")="","",IFERROR(INDEX('RAID Log'!$1:$1048576,$B777,MATCH("RAID Response/Plan",'RAID Log'!$1:$1,0)),"")))</f>
        <v/>
      </c>
    </row>
    <row r="778" spans="1:17" ht="14.25" customHeight="1">
      <c r="A778" s="82" t="str">
        <f>IF($B778="","",IF(IFERROR(INDEX('RAID Log'!$1:$1048576,$B778,MATCH("RAID ID",'RAID Log'!$1:$1,0)),"")="","",IFERROR(INDEX('RAID Log'!$1:$1048576,$B778,MATCH("RAID ID",'RAID Log'!$1:$1,0)),"")))</f>
        <v/>
      </c>
      <c r="B778" s="83" t="str">
        <f>IFERROR(MATCH(ROW()-1,'RAID Log'!$S:$S,0),"")</f>
        <v/>
      </c>
      <c r="C778" s="84" t="str">
        <f>IF($B778="","",IF(IFERROR(INDEX('RAID Log'!$1:$1048576,$B778,MATCH("Description",'RAID Log'!$1:$1,0)),"")="","",IFERROR(INDEX('RAID Log'!$1:$1048576,$B778,MATCH("Description",'RAID Log'!$1:$1,0)),"")))</f>
        <v/>
      </c>
      <c r="D778" s="84" t="str">
        <f>IF($B778="","",IF(IFERROR(INDEX('RAID Log'!$1:$1048576,$B778,MATCH("Impact/Effect of the RAID",'RAID Log'!$1:$1,0)),"")="","",IFERROR(INDEX('RAID Log'!$1:$1048576,$B778,MATCH("Impact/Effect of the RAID",'RAID Log'!$1:$1,0)),"")))</f>
        <v/>
      </c>
      <c r="E778" s="85" t="str">
        <f>IF($B778="","",IF(IFERROR(INDEX('RAID Log'!$1:$1048576,$B778,MATCH("Impact Area",'RAID Log'!$1:$1,0)),"")="","",IFERROR(INDEX('RAID Log'!$1:$1048576,$B778,MATCH("Impact Area",'RAID Log'!$1:$1,0)),"")))</f>
        <v/>
      </c>
      <c r="F778" s="85" t="str">
        <f>IF($B778="","",IF(IFERROR(INDEX('RAID Log'!$1:$1048576,$B778,MATCH("Impact Area",'RAID Log'!$1:$1,0)),"")="","",IFERROR(INDEX('RAID Log'!$1:$1048576,$B778,MATCH("Impact Area",'RAID Log'!$1:$1,0)),"")))</f>
        <v/>
      </c>
      <c r="G778" s="85" t="str">
        <f>IF($B778="","",IF(IFERROR(INDEX('RAID Log'!$1:$1048576,$B778,MATCH("Impact Rating",'RAID Log'!$1:$1,0)),"")="","",IFERROR(INDEX('RAID Log'!$1:$1048576,$B778,MATCH("Impact Rating",'RAID Log'!$1:$1,0)),"")))</f>
        <v/>
      </c>
      <c r="H778" s="85" t="str">
        <f>IF($B778="","",IF(IFERROR(INDEX('RAID Log'!$1:$1048576,$B778,MATCH("Initial Probability",'RAID Log'!$1:$1,0)),"")="","",IFERROR(INDEX('RAID Log'!$1:$1048576,$B778,MATCH("Initial Probability",'RAID Log'!$1:$1,0)),"")))</f>
        <v/>
      </c>
      <c r="I778" s="86" t="str">
        <f t="shared" si="36"/>
        <v/>
      </c>
      <c r="J778" s="85" t="str">
        <f t="shared" si="37"/>
        <v/>
      </c>
      <c r="K778" s="86" t="str">
        <f t="shared" si="38"/>
        <v/>
      </c>
      <c r="L778" s="85" t="str">
        <f>IF($B778="","",IF(IFERROR(INDEX('RAID Log'!$1:$1048576,$B778,MATCH("Status",'RAID Log'!$1:$1,0)),"")="","",IFERROR(INDEX('RAID Log'!$1:$1048576,$B778,MATCH("Status",'RAID Log'!$1:$1,0)),"")))</f>
        <v/>
      </c>
      <c r="M778" s="85" t="str">
        <f>IF($B778="","",IF(IFERROR(INDEX('RAID Log'!$1:$1048576,$B778,MATCH("RAID Owner",'RAID Log'!$1:$1,0)),"")="","",IFERROR(INDEX('RAID Log'!$1:$1048576,$B778,MATCH("RAID Owner",'RAID Log'!$1:$1,0)),"")))</f>
        <v/>
      </c>
      <c r="N778" s="87" t="str">
        <f>IF($B778="","",IF(IFERROR(INDEX('RAID Log'!$1:$1048576,$B778,MATCH("Date Raised",'RAID Log'!$1:$1,0)),"")="","",IFERROR(INDEX('RAID Log'!$1:$1048576,$B778,MATCH("Date Raised",'RAID Log'!$1:$1,0)),"")))</f>
        <v/>
      </c>
      <c r="O778" s="87" t="str">
        <f>IF($B778="","",IF(IFERROR(INDEX('RAID Log'!$1:$1048576,$B778,MATCH("Closed Date",'RAID Log'!$1:$1,0)),"")="","",IFERROR(INDEX('RAID Log'!$1:$1048576,$B778,MATCH("Closed Date",'RAID Log'!$1:$1,0)),"")))</f>
        <v/>
      </c>
      <c r="P778" s="85" t="str">
        <f>IF($B778="","",IF(IFERROR(INDEX('RAID Log'!$1:$1048576,$B778,MATCH("Mitigation Strategy",'RAID Log'!$1:$1,0)),"")="","",IFERROR(INDEX('RAID Log'!$1:$1048576,$B778,MATCH("Mitigation Strategy",'RAID Log'!$1:$1,0)),"")))</f>
        <v/>
      </c>
      <c r="Q778" s="88" t="str">
        <f>IF($B778="","",IF(IFERROR(INDEX('RAID Log'!$1:$1048576,$B778,MATCH("RAID Response/Plan",'RAID Log'!$1:$1,0)),"")="","",IFERROR(INDEX('RAID Log'!$1:$1048576,$B778,MATCH("RAID Response/Plan",'RAID Log'!$1:$1,0)),"")))</f>
        <v/>
      </c>
    </row>
    <row r="779" spans="1:17" ht="14.25" customHeight="1">
      <c r="A779" s="82" t="str">
        <f>IF($B779="","",IF(IFERROR(INDEX('RAID Log'!$1:$1048576,$B779,MATCH("RAID ID",'RAID Log'!$1:$1,0)),"")="","",IFERROR(INDEX('RAID Log'!$1:$1048576,$B779,MATCH("RAID ID",'RAID Log'!$1:$1,0)),"")))</f>
        <v/>
      </c>
      <c r="B779" s="83" t="str">
        <f>IFERROR(MATCH(ROW()-1,'RAID Log'!$S:$S,0),"")</f>
        <v/>
      </c>
      <c r="C779" s="84" t="str">
        <f>IF($B779="","",IF(IFERROR(INDEX('RAID Log'!$1:$1048576,$B779,MATCH("Description",'RAID Log'!$1:$1,0)),"")="","",IFERROR(INDEX('RAID Log'!$1:$1048576,$B779,MATCH("Description",'RAID Log'!$1:$1,0)),"")))</f>
        <v/>
      </c>
      <c r="D779" s="84" t="str">
        <f>IF($B779="","",IF(IFERROR(INDEX('RAID Log'!$1:$1048576,$B779,MATCH("Impact/Effect of the RAID",'RAID Log'!$1:$1,0)),"")="","",IFERROR(INDEX('RAID Log'!$1:$1048576,$B779,MATCH("Impact/Effect of the RAID",'RAID Log'!$1:$1,0)),"")))</f>
        <v/>
      </c>
      <c r="E779" s="85" t="str">
        <f>IF($B779="","",IF(IFERROR(INDEX('RAID Log'!$1:$1048576,$B779,MATCH("Impact Area",'RAID Log'!$1:$1,0)),"")="","",IFERROR(INDEX('RAID Log'!$1:$1048576,$B779,MATCH("Impact Area",'RAID Log'!$1:$1,0)),"")))</f>
        <v/>
      </c>
      <c r="F779" s="85" t="str">
        <f>IF($B779="","",IF(IFERROR(INDEX('RAID Log'!$1:$1048576,$B779,MATCH("Impact Area",'RAID Log'!$1:$1,0)),"")="","",IFERROR(INDEX('RAID Log'!$1:$1048576,$B779,MATCH("Impact Area",'RAID Log'!$1:$1,0)),"")))</f>
        <v/>
      </c>
      <c r="G779" s="85" t="str">
        <f>IF($B779="","",IF(IFERROR(INDEX('RAID Log'!$1:$1048576,$B779,MATCH("Impact Rating",'RAID Log'!$1:$1,0)),"")="","",IFERROR(INDEX('RAID Log'!$1:$1048576,$B779,MATCH("Impact Rating",'RAID Log'!$1:$1,0)),"")))</f>
        <v/>
      </c>
      <c r="H779" s="85" t="str">
        <f>IF($B779="","",IF(IFERROR(INDEX('RAID Log'!$1:$1048576,$B779,MATCH("Initial Probability",'RAID Log'!$1:$1,0)),"")="","",IFERROR(INDEX('RAID Log'!$1:$1048576,$B779,MATCH("Initial Probability",'RAID Log'!$1:$1,0)),"")))</f>
        <v/>
      </c>
      <c r="I779" s="86" t="str">
        <f t="shared" si="36"/>
        <v/>
      </c>
      <c r="J779" s="85" t="str">
        <f t="shared" si="37"/>
        <v/>
      </c>
      <c r="K779" s="86" t="str">
        <f t="shared" si="38"/>
        <v/>
      </c>
      <c r="L779" s="85" t="str">
        <f>IF($B779="","",IF(IFERROR(INDEX('RAID Log'!$1:$1048576,$B779,MATCH("Status",'RAID Log'!$1:$1,0)),"")="","",IFERROR(INDEX('RAID Log'!$1:$1048576,$B779,MATCH("Status",'RAID Log'!$1:$1,0)),"")))</f>
        <v/>
      </c>
      <c r="M779" s="85" t="str">
        <f>IF($B779="","",IF(IFERROR(INDEX('RAID Log'!$1:$1048576,$B779,MATCH("RAID Owner",'RAID Log'!$1:$1,0)),"")="","",IFERROR(INDEX('RAID Log'!$1:$1048576,$B779,MATCH("RAID Owner",'RAID Log'!$1:$1,0)),"")))</f>
        <v/>
      </c>
      <c r="N779" s="87" t="str">
        <f>IF($B779="","",IF(IFERROR(INDEX('RAID Log'!$1:$1048576,$B779,MATCH("Date Raised",'RAID Log'!$1:$1,0)),"")="","",IFERROR(INDEX('RAID Log'!$1:$1048576,$B779,MATCH("Date Raised",'RAID Log'!$1:$1,0)),"")))</f>
        <v/>
      </c>
      <c r="O779" s="87" t="str">
        <f>IF($B779="","",IF(IFERROR(INDEX('RAID Log'!$1:$1048576,$B779,MATCH("Closed Date",'RAID Log'!$1:$1,0)),"")="","",IFERROR(INDEX('RAID Log'!$1:$1048576,$B779,MATCH("Closed Date",'RAID Log'!$1:$1,0)),"")))</f>
        <v/>
      </c>
      <c r="P779" s="85" t="str">
        <f>IF($B779="","",IF(IFERROR(INDEX('RAID Log'!$1:$1048576,$B779,MATCH("Mitigation Strategy",'RAID Log'!$1:$1,0)),"")="","",IFERROR(INDEX('RAID Log'!$1:$1048576,$B779,MATCH("Mitigation Strategy",'RAID Log'!$1:$1,0)),"")))</f>
        <v/>
      </c>
      <c r="Q779" s="88" t="str">
        <f>IF($B779="","",IF(IFERROR(INDEX('RAID Log'!$1:$1048576,$B779,MATCH("RAID Response/Plan",'RAID Log'!$1:$1,0)),"")="","",IFERROR(INDEX('RAID Log'!$1:$1048576,$B779,MATCH("RAID Response/Plan",'RAID Log'!$1:$1,0)),"")))</f>
        <v/>
      </c>
    </row>
    <row r="780" spans="1:17" ht="14.25" customHeight="1">
      <c r="A780" s="82" t="str">
        <f>IF($B780="","",IF(IFERROR(INDEX('RAID Log'!$1:$1048576,$B780,MATCH("RAID ID",'RAID Log'!$1:$1,0)),"")="","",IFERROR(INDEX('RAID Log'!$1:$1048576,$B780,MATCH("RAID ID",'RAID Log'!$1:$1,0)),"")))</f>
        <v/>
      </c>
      <c r="B780" s="83" t="str">
        <f>IFERROR(MATCH(ROW()-1,'RAID Log'!$S:$S,0),"")</f>
        <v/>
      </c>
      <c r="C780" s="84" t="str">
        <f>IF($B780="","",IF(IFERROR(INDEX('RAID Log'!$1:$1048576,$B780,MATCH("Description",'RAID Log'!$1:$1,0)),"")="","",IFERROR(INDEX('RAID Log'!$1:$1048576,$B780,MATCH("Description",'RAID Log'!$1:$1,0)),"")))</f>
        <v/>
      </c>
      <c r="D780" s="84" t="str">
        <f>IF($B780="","",IF(IFERROR(INDEX('RAID Log'!$1:$1048576,$B780,MATCH("Impact/Effect of the RAID",'RAID Log'!$1:$1,0)),"")="","",IFERROR(INDEX('RAID Log'!$1:$1048576,$B780,MATCH("Impact/Effect of the RAID",'RAID Log'!$1:$1,0)),"")))</f>
        <v/>
      </c>
      <c r="E780" s="85" t="str">
        <f>IF($B780="","",IF(IFERROR(INDEX('RAID Log'!$1:$1048576,$B780,MATCH("Impact Area",'RAID Log'!$1:$1,0)),"")="","",IFERROR(INDEX('RAID Log'!$1:$1048576,$B780,MATCH("Impact Area",'RAID Log'!$1:$1,0)),"")))</f>
        <v/>
      </c>
      <c r="F780" s="85" t="str">
        <f>IF($B780="","",IF(IFERROR(INDEX('RAID Log'!$1:$1048576,$B780,MATCH("Impact Area",'RAID Log'!$1:$1,0)),"")="","",IFERROR(INDEX('RAID Log'!$1:$1048576,$B780,MATCH("Impact Area",'RAID Log'!$1:$1,0)),"")))</f>
        <v/>
      </c>
      <c r="G780" s="85" t="str">
        <f>IF($B780="","",IF(IFERROR(INDEX('RAID Log'!$1:$1048576,$B780,MATCH("Impact Rating",'RAID Log'!$1:$1,0)),"")="","",IFERROR(INDEX('RAID Log'!$1:$1048576,$B780,MATCH("Impact Rating",'RAID Log'!$1:$1,0)),"")))</f>
        <v/>
      </c>
      <c r="H780" s="85" t="str">
        <f>IF($B780="","",IF(IFERROR(INDEX('RAID Log'!$1:$1048576,$B780,MATCH("Initial Probability",'RAID Log'!$1:$1,0)),"")="","",IFERROR(INDEX('RAID Log'!$1:$1048576,$B780,MATCH("Initial Probability",'RAID Log'!$1:$1,0)),"")))</f>
        <v/>
      </c>
      <c r="I780" s="86" t="str">
        <f t="shared" si="36"/>
        <v/>
      </c>
      <c r="J780" s="85" t="str">
        <f t="shared" si="37"/>
        <v/>
      </c>
      <c r="K780" s="86" t="str">
        <f t="shared" si="38"/>
        <v/>
      </c>
      <c r="L780" s="85" t="str">
        <f>IF($B780="","",IF(IFERROR(INDEX('RAID Log'!$1:$1048576,$B780,MATCH("Status",'RAID Log'!$1:$1,0)),"")="","",IFERROR(INDEX('RAID Log'!$1:$1048576,$B780,MATCH("Status",'RAID Log'!$1:$1,0)),"")))</f>
        <v/>
      </c>
      <c r="M780" s="85" t="str">
        <f>IF($B780="","",IF(IFERROR(INDEX('RAID Log'!$1:$1048576,$B780,MATCH("RAID Owner",'RAID Log'!$1:$1,0)),"")="","",IFERROR(INDEX('RAID Log'!$1:$1048576,$B780,MATCH("RAID Owner",'RAID Log'!$1:$1,0)),"")))</f>
        <v/>
      </c>
      <c r="N780" s="87" t="str">
        <f>IF($B780="","",IF(IFERROR(INDEX('RAID Log'!$1:$1048576,$B780,MATCH("Date Raised",'RAID Log'!$1:$1,0)),"")="","",IFERROR(INDEX('RAID Log'!$1:$1048576,$B780,MATCH("Date Raised",'RAID Log'!$1:$1,0)),"")))</f>
        <v/>
      </c>
      <c r="O780" s="87" t="str">
        <f>IF($B780="","",IF(IFERROR(INDEX('RAID Log'!$1:$1048576,$B780,MATCH("Closed Date",'RAID Log'!$1:$1,0)),"")="","",IFERROR(INDEX('RAID Log'!$1:$1048576,$B780,MATCH("Closed Date",'RAID Log'!$1:$1,0)),"")))</f>
        <v/>
      </c>
      <c r="P780" s="85" t="str">
        <f>IF($B780="","",IF(IFERROR(INDEX('RAID Log'!$1:$1048576,$B780,MATCH("Mitigation Strategy",'RAID Log'!$1:$1,0)),"")="","",IFERROR(INDEX('RAID Log'!$1:$1048576,$B780,MATCH("Mitigation Strategy",'RAID Log'!$1:$1,0)),"")))</f>
        <v/>
      </c>
      <c r="Q780" s="88" t="str">
        <f>IF($B780="","",IF(IFERROR(INDEX('RAID Log'!$1:$1048576,$B780,MATCH("RAID Response/Plan",'RAID Log'!$1:$1,0)),"")="","",IFERROR(INDEX('RAID Log'!$1:$1048576,$B780,MATCH("RAID Response/Plan",'RAID Log'!$1:$1,0)),"")))</f>
        <v/>
      </c>
    </row>
    <row r="781" spans="1:17" ht="14.25" customHeight="1">
      <c r="A781" s="82" t="str">
        <f>IF($B781="","",IF(IFERROR(INDEX('RAID Log'!$1:$1048576,$B781,MATCH("RAID ID",'RAID Log'!$1:$1,0)),"")="","",IFERROR(INDEX('RAID Log'!$1:$1048576,$B781,MATCH("RAID ID",'RAID Log'!$1:$1,0)),"")))</f>
        <v/>
      </c>
      <c r="B781" s="83" t="str">
        <f>IFERROR(MATCH(ROW()-1,'RAID Log'!$S:$S,0),"")</f>
        <v/>
      </c>
      <c r="C781" s="84" t="str">
        <f>IF($B781="","",IF(IFERROR(INDEX('RAID Log'!$1:$1048576,$B781,MATCH("Description",'RAID Log'!$1:$1,0)),"")="","",IFERROR(INDEX('RAID Log'!$1:$1048576,$B781,MATCH("Description",'RAID Log'!$1:$1,0)),"")))</f>
        <v/>
      </c>
      <c r="D781" s="84" t="str">
        <f>IF($B781="","",IF(IFERROR(INDEX('RAID Log'!$1:$1048576,$B781,MATCH("Impact/Effect of the RAID",'RAID Log'!$1:$1,0)),"")="","",IFERROR(INDEX('RAID Log'!$1:$1048576,$B781,MATCH("Impact/Effect of the RAID",'RAID Log'!$1:$1,0)),"")))</f>
        <v/>
      </c>
      <c r="E781" s="85" t="str">
        <f>IF($B781="","",IF(IFERROR(INDEX('RAID Log'!$1:$1048576,$B781,MATCH("Impact Area",'RAID Log'!$1:$1,0)),"")="","",IFERROR(INDEX('RAID Log'!$1:$1048576,$B781,MATCH("Impact Area",'RAID Log'!$1:$1,0)),"")))</f>
        <v/>
      </c>
      <c r="F781" s="85" t="str">
        <f>IF($B781="","",IF(IFERROR(INDEX('RAID Log'!$1:$1048576,$B781,MATCH("Impact Area",'RAID Log'!$1:$1,0)),"")="","",IFERROR(INDEX('RAID Log'!$1:$1048576,$B781,MATCH("Impact Area",'RAID Log'!$1:$1,0)),"")))</f>
        <v/>
      </c>
      <c r="G781" s="85" t="str">
        <f>IF($B781="","",IF(IFERROR(INDEX('RAID Log'!$1:$1048576,$B781,MATCH("Impact Rating",'RAID Log'!$1:$1,0)),"")="","",IFERROR(INDEX('RAID Log'!$1:$1048576,$B781,MATCH("Impact Rating",'RAID Log'!$1:$1,0)),"")))</f>
        <v/>
      </c>
      <c r="H781" s="85" t="str">
        <f>IF($B781="","",IF(IFERROR(INDEX('RAID Log'!$1:$1048576,$B781,MATCH("Initial Probability",'RAID Log'!$1:$1,0)),"")="","",IFERROR(INDEX('RAID Log'!$1:$1048576,$B781,MATCH("Initial Probability",'RAID Log'!$1:$1,0)),"")))</f>
        <v/>
      </c>
      <c r="I781" s="86" t="str">
        <f t="shared" si="36"/>
        <v/>
      </c>
      <c r="J781" s="85" t="str">
        <f t="shared" si="37"/>
        <v/>
      </c>
      <c r="K781" s="86" t="str">
        <f t="shared" si="38"/>
        <v/>
      </c>
      <c r="L781" s="85" t="str">
        <f>IF($B781="","",IF(IFERROR(INDEX('RAID Log'!$1:$1048576,$B781,MATCH("Status",'RAID Log'!$1:$1,0)),"")="","",IFERROR(INDEX('RAID Log'!$1:$1048576,$B781,MATCH("Status",'RAID Log'!$1:$1,0)),"")))</f>
        <v/>
      </c>
      <c r="M781" s="85" t="str">
        <f>IF($B781="","",IF(IFERROR(INDEX('RAID Log'!$1:$1048576,$B781,MATCH("RAID Owner",'RAID Log'!$1:$1,0)),"")="","",IFERROR(INDEX('RAID Log'!$1:$1048576,$B781,MATCH("RAID Owner",'RAID Log'!$1:$1,0)),"")))</f>
        <v/>
      </c>
      <c r="N781" s="87" t="str">
        <f>IF($B781="","",IF(IFERROR(INDEX('RAID Log'!$1:$1048576,$B781,MATCH("Date Raised",'RAID Log'!$1:$1,0)),"")="","",IFERROR(INDEX('RAID Log'!$1:$1048576,$B781,MATCH("Date Raised",'RAID Log'!$1:$1,0)),"")))</f>
        <v/>
      </c>
      <c r="O781" s="87" t="str">
        <f>IF($B781="","",IF(IFERROR(INDEX('RAID Log'!$1:$1048576,$B781,MATCH("Closed Date",'RAID Log'!$1:$1,0)),"")="","",IFERROR(INDEX('RAID Log'!$1:$1048576,$B781,MATCH("Closed Date",'RAID Log'!$1:$1,0)),"")))</f>
        <v/>
      </c>
      <c r="P781" s="85" t="str">
        <f>IF($B781="","",IF(IFERROR(INDEX('RAID Log'!$1:$1048576,$B781,MATCH("Mitigation Strategy",'RAID Log'!$1:$1,0)),"")="","",IFERROR(INDEX('RAID Log'!$1:$1048576,$B781,MATCH("Mitigation Strategy",'RAID Log'!$1:$1,0)),"")))</f>
        <v/>
      </c>
      <c r="Q781" s="88" t="str">
        <f>IF($B781="","",IF(IFERROR(INDEX('RAID Log'!$1:$1048576,$B781,MATCH("RAID Response/Plan",'RAID Log'!$1:$1,0)),"")="","",IFERROR(INDEX('RAID Log'!$1:$1048576,$B781,MATCH("RAID Response/Plan",'RAID Log'!$1:$1,0)),"")))</f>
        <v/>
      </c>
    </row>
    <row r="782" spans="1:17" ht="14.25" customHeight="1">
      <c r="A782" s="82" t="str">
        <f>IF($B782="","",IF(IFERROR(INDEX('RAID Log'!$1:$1048576,$B782,MATCH("RAID ID",'RAID Log'!$1:$1,0)),"")="","",IFERROR(INDEX('RAID Log'!$1:$1048576,$B782,MATCH("RAID ID",'RAID Log'!$1:$1,0)),"")))</f>
        <v/>
      </c>
      <c r="B782" s="83" t="str">
        <f>IFERROR(MATCH(ROW()-1,'RAID Log'!$S:$S,0),"")</f>
        <v/>
      </c>
      <c r="C782" s="84" t="str">
        <f>IF($B782="","",IF(IFERROR(INDEX('RAID Log'!$1:$1048576,$B782,MATCH("Description",'RAID Log'!$1:$1,0)),"")="","",IFERROR(INDEX('RAID Log'!$1:$1048576,$B782,MATCH("Description",'RAID Log'!$1:$1,0)),"")))</f>
        <v/>
      </c>
      <c r="D782" s="84" t="str">
        <f>IF($B782="","",IF(IFERROR(INDEX('RAID Log'!$1:$1048576,$B782,MATCH("Impact/Effect of the RAID",'RAID Log'!$1:$1,0)),"")="","",IFERROR(INDEX('RAID Log'!$1:$1048576,$B782,MATCH("Impact/Effect of the RAID",'RAID Log'!$1:$1,0)),"")))</f>
        <v/>
      </c>
      <c r="E782" s="85" t="str">
        <f>IF($B782="","",IF(IFERROR(INDEX('RAID Log'!$1:$1048576,$B782,MATCH("Impact Area",'RAID Log'!$1:$1,0)),"")="","",IFERROR(INDEX('RAID Log'!$1:$1048576,$B782,MATCH("Impact Area",'RAID Log'!$1:$1,0)),"")))</f>
        <v/>
      </c>
      <c r="F782" s="85" t="str">
        <f>IF($B782="","",IF(IFERROR(INDEX('RAID Log'!$1:$1048576,$B782,MATCH("Impact Area",'RAID Log'!$1:$1,0)),"")="","",IFERROR(INDEX('RAID Log'!$1:$1048576,$B782,MATCH("Impact Area",'RAID Log'!$1:$1,0)),"")))</f>
        <v/>
      </c>
      <c r="G782" s="85" t="str">
        <f>IF($B782="","",IF(IFERROR(INDEX('RAID Log'!$1:$1048576,$B782,MATCH("Impact Rating",'RAID Log'!$1:$1,0)),"")="","",IFERROR(INDEX('RAID Log'!$1:$1048576,$B782,MATCH("Impact Rating",'RAID Log'!$1:$1,0)),"")))</f>
        <v/>
      </c>
      <c r="H782" s="85" t="str">
        <f>IF($B782="","",IF(IFERROR(INDEX('RAID Log'!$1:$1048576,$B782,MATCH("Initial Probability",'RAID Log'!$1:$1,0)),"")="","",IFERROR(INDEX('RAID Log'!$1:$1048576,$B782,MATCH("Initial Probability",'RAID Log'!$1:$1,0)),"")))</f>
        <v/>
      </c>
      <c r="I782" s="86" t="str">
        <f t="shared" si="36"/>
        <v/>
      </c>
      <c r="J782" s="85" t="str">
        <f t="shared" si="37"/>
        <v/>
      </c>
      <c r="K782" s="86" t="str">
        <f t="shared" si="38"/>
        <v/>
      </c>
      <c r="L782" s="85" t="str">
        <f>IF($B782="","",IF(IFERROR(INDEX('RAID Log'!$1:$1048576,$B782,MATCH("Status",'RAID Log'!$1:$1,0)),"")="","",IFERROR(INDEX('RAID Log'!$1:$1048576,$B782,MATCH("Status",'RAID Log'!$1:$1,0)),"")))</f>
        <v/>
      </c>
      <c r="M782" s="85" t="str">
        <f>IF($B782="","",IF(IFERROR(INDEX('RAID Log'!$1:$1048576,$B782,MATCH("RAID Owner",'RAID Log'!$1:$1,0)),"")="","",IFERROR(INDEX('RAID Log'!$1:$1048576,$B782,MATCH("RAID Owner",'RAID Log'!$1:$1,0)),"")))</f>
        <v/>
      </c>
      <c r="N782" s="87" t="str">
        <f>IF($B782="","",IF(IFERROR(INDEX('RAID Log'!$1:$1048576,$B782,MATCH("Date Raised",'RAID Log'!$1:$1,0)),"")="","",IFERROR(INDEX('RAID Log'!$1:$1048576,$B782,MATCH("Date Raised",'RAID Log'!$1:$1,0)),"")))</f>
        <v/>
      </c>
      <c r="O782" s="87" t="str">
        <f>IF($B782="","",IF(IFERROR(INDEX('RAID Log'!$1:$1048576,$B782,MATCH("Closed Date",'RAID Log'!$1:$1,0)),"")="","",IFERROR(INDEX('RAID Log'!$1:$1048576,$B782,MATCH("Closed Date",'RAID Log'!$1:$1,0)),"")))</f>
        <v/>
      </c>
      <c r="P782" s="85" t="str">
        <f>IF($B782="","",IF(IFERROR(INDEX('RAID Log'!$1:$1048576,$B782,MATCH("Mitigation Strategy",'RAID Log'!$1:$1,0)),"")="","",IFERROR(INDEX('RAID Log'!$1:$1048576,$B782,MATCH("Mitigation Strategy",'RAID Log'!$1:$1,0)),"")))</f>
        <v/>
      </c>
      <c r="Q782" s="88" t="str">
        <f>IF($B782="","",IF(IFERROR(INDEX('RAID Log'!$1:$1048576,$B782,MATCH("RAID Response/Plan",'RAID Log'!$1:$1,0)),"")="","",IFERROR(INDEX('RAID Log'!$1:$1048576,$B782,MATCH("RAID Response/Plan",'RAID Log'!$1:$1,0)),"")))</f>
        <v/>
      </c>
    </row>
    <row r="783" spans="1:17" ht="14.25" customHeight="1">
      <c r="A783" s="82" t="str">
        <f>IF($B783="","",IF(IFERROR(INDEX('RAID Log'!$1:$1048576,$B783,MATCH("RAID ID",'RAID Log'!$1:$1,0)),"")="","",IFERROR(INDEX('RAID Log'!$1:$1048576,$B783,MATCH("RAID ID",'RAID Log'!$1:$1,0)),"")))</f>
        <v/>
      </c>
      <c r="B783" s="83" t="str">
        <f>IFERROR(MATCH(ROW()-1,'RAID Log'!$S:$S,0),"")</f>
        <v/>
      </c>
      <c r="C783" s="84" t="str">
        <f>IF($B783="","",IF(IFERROR(INDEX('RAID Log'!$1:$1048576,$B783,MATCH("Description",'RAID Log'!$1:$1,0)),"")="","",IFERROR(INDEX('RAID Log'!$1:$1048576,$B783,MATCH("Description",'RAID Log'!$1:$1,0)),"")))</f>
        <v/>
      </c>
      <c r="D783" s="84" t="str">
        <f>IF($B783="","",IF(IFERROR(INDEX('RAID Log'!$1:$1048576,$B783,MATCH("Impact/Effect of the RAID",'RAID Log'!$1:$1,0)),"")="","",IFERROR(INDEX('RAID Log'!$1:$1048576,$B783,MATCH("Impact/Effect of the RAID",'RAID Log'!$1:$1,0)),"")))</f>
        <v/>
      </c>
      <c r="E783" s="85" t="str">
        <f>IF($B783="","",IF(IFERROR(INDEX('RAID Log'!$1:$1048576,$B783,MATCH("Impact Area",'RAID Log'!$1:$1,0)),"")="","",IFERROR(INDEX('RAID Log'!$1:$1048576,$B783,MATCH("Impact Area",'RAID Log'!$1:$1,0)),"")))</f>
        <v/>
      </c>
      <c r="F783" s="85" t="str">
        <f>IF($B783="","",IF(IFERROR(INDEX('RAID Log'!$1:$1048576,$B783,MATCH("Impact Area",'RAID Log'!$1:$1,0)),"")="","",IFERROR(INDEX('RAID Log'!$1:$1048576,$B783,MATCH("Impact Area",'RAID Log'!$1:$1,0)),"")))</f>
        <v/>
      </c>
      <c r="G783" s="85" t="str">
        <f>IF($B783="","",IF(IFERROR(INDEX('RAID Log'!$1:$1048576,$B783,MATCH("Impact Rating",'RAID Log'!$1:$1,0)),"")="","",IFERROR(INDEX('RAID Log'!$1:$1048576,$B783,MATCH("Impact Rating",'RAID Log'!$1:$1,0)),"")))</f>
        <v/>
      </c>
      <c r="H783" s="85" t="str">
        <f>IF($B783="","",IF(IFERROR(INDEX('RAID Log'!$1:$1048576,$B783,MATCH("Initial Probability",'RAID Log'!$1:$1,0)),"")="","",IFERROR(INDEX('RAID Log'!$1:$1048576,$B783,MATCH("Initial Probability",'RAID Log'!$1:$1,0)),"")))</f>
        <v/>
      </c>
      <c r="I783" s="86" t="str">
        <f t="shared" si="36"/>
        <v/>
      </c>
      <c r="J783" s="85" t="str">
        <f t="shared" si="37"/>
        <v/>
      </c>
      <c r="K783" s="86" t="str">
        <f t="shared" si="38"/>
        <v/>
      </c>
      <c r="L783" s="85" t="str">
        <f>IF($B783="","",IF(IFERROR(INDEX('RAID Log'!$1:$1048576,$B783,MATCH("Status",'RAID Log'!$1:$1,0)),"")="","",IFERROR(INDEX('RAID Log'!$1:$1048576,$B783,MATCH("Status",'RAID Log'!$1:$1,0)),"")))</f>
        <v/>
      </c>
      <c r="M783" s="85" t="str">
        <f>IF($B783="","",IF(IFERROR(INDEX('RAID Log'!$1:$1048576,$B783,MATCH("RAID Owner",'RAID Log'!$1:$1,0)),"")="","",IFERROR(INDEX('RAID Log'!$1:$1048576,$B783,MATCH("RAID Owner",'RAID Log'!$1:$1,0)),"")))</f>
        <v/>
      </c>
      <c r="N783" s="87" t="str">
        <f>IF($B783="","",IF(IFERROR(INDEX('RAID Log'!$1:$1048576,$B783,MATCH("Date Raised",'RAID Log'!$1:$1,0)),"")="","",IFERROR(INDEX('RAID Log'!$1:$1048576,$B783,MATCH("Date Raised",'RAID Log'!$1:$1,0)),"")))</f>
        <v/>
      </c>
      <c r="O783" s="87" t="str">
        <f>IF($B783="","",IF(IFERROR(INDEX('RAID Log'!$1:$1048576,$B783,MATCH("Closed Date",'RAID Log'!$1:$1,0)),"")="","",IFERROR(INDEX('RAID Log'!$1:$1048576,$B783,MATCH("Closed Date",'RAID Log'!$1:$1,0)),"")))</f>
        <v/>
      </c>
      <c r="P783" s="85" t="str">
        <f>IF($B783="","",IF(IFERROR(INDEX('RAID Log'!$1:$1048576,$B783,MATCH("Mitigation Strategy",'RAID Log'!$1:$1,0)),"")="","",IFERROR(INDEX('RAID Log'!$1:$1048576,$B783,MATCH("Mitigation Strategy",'RAID Log'!$1:$1,0)),"")))</f>
        <v/>
      </c>
      <c r="Q783" s="88" t="str">
        <f>IF($B783="","",IF(IFERROR(INDEX('RAID Log'!$1:$1048576,$B783,MATCH("RAID Response/Plan",'RAID Log'!$1:$1,0)),"")="","",IFERROR(INDEX('RAID Log'!$1:$1048576,$B783,MATCH("RAID Response/Plan",'RAID Log'!$1:$1,0)),"")))</f>
        <v/>
      </c>
    </row>
    <row r="784" spans="1:17" ht="14.25" customHeight="1">
      <c r="A784" s="82" t="str">
        <f>IF($B784="","",IF(IFERROR(INDEX('RAID Log'!$1:$1048576,$B784,MATCH("RAID ID",'RAID Log'!$1:$1,0)),"")="","",IFERROR(INDEX('RAID Log'!$1:$1048576,$B784,MATCH("RAID ID",'RAID Log'!$1:$1,0)),"")))</f>
        <v/>
      </c>
      <c r="B784" s="83" t="str">
        <f>IFERROR(MATCH(ROW()-1,'RAID Log'!$S:$S,0),"")</f>
        <v/>
      </c>
      <c r="C784" s="84" t="str">
        <f>IF($B784="","",IF(IFERROR(INDEX('RAID Log'!$1:$1048576,$B784,MATCH("Description",'RAID Log'!$1:$1,0)),"")="","",IFERROR(INDEX('RAID Log'!$1:$1048576,$B784,MATCH("Description",'RAID Log'!$1:$1,0)),"")))</f>
        <v/>
      </c>
      <c r="D784" s="84" t="str">
        <f>IF($B784="","",IF(IFERROR(INDEX('RAID Log'!$1:$1048576,$B784,MATCH("Impact/Effect of the RAID",'RAID Log'!$1:$1,0)),"")="","",IFERROR(INDEX('RAID Log'!$1:$1048576,$B784,MATCH("Impact/Effect of the RAID",'RAID Log'!$1:$1,0)),"")))</f>
        <v/>
      </c>
      <c r="E784" s="85" t="str">
        <f>IF($B784="","",IF(IFERROR(INDEX('RAID Log'!$1:$1048576,$B784,MATCH("Impact Area",'RAID Log'!$1:$1,0)),"")="","",IFERROR(INDEX('RAID Log'!$1:$1048576,$B784,MATCH("Impact Area",'RAID Log'!$1:$1,0)),"")))</f>
        <v/>
      </c>
      <c r="F784" s="85" t="str">
        <f>IF($B784="","",IF(IFERROR(INDEX('RAID Log'!$1:$1048576,$B784,MATCH("Impact Area",'RAID Log'!$1:$1,0)),"")="","",IFERROR(INDEX('RAID Log'!$1:$1048576,$B784,MATCH("Impact Area",'RAID Log'!$1:$1,0)),"")))</f>
        <v/>
      </c>
      <c r="G784" s="85" t="str">
        <f>IF($B784="","",IF(IFERROR(INDEX('RAID Log'!$1:$1048576,$B784,MATCH("Impact Rating",'RAID Log'!$1:$1,0)),"")="","",IFERROR(INDEX('RAID Log'!$1:$1048576,$B784,MATCH("Impact Rating",'RAID Log'!$1:$1,0)),"")))</f>
        <v/>
      </c>
      <c r="H784" s="85" t="str">
        <f>IF($B784="","",IF(IFERROR(INDEX('RAID Log'!$1:$1048576,$B784,MATCH("Initial Probability",'RAID Log'!$1:$1,0)),"")="","",IFERROR(INDEX('RAID Log'!$1:$1048576,$B784,MATCH("Initial Probability",'RAID Log'!$1:$1,0)),"")))</f>
        <v/>
      </c>
      <c r="I784" s="86" t="str">
        <f t="shared" si="36"/>
        <v/>
      </c>
      <c r="J784" s="85" t="str">
        <f t="shared" si="37"/>
        <v/>
      </c>
      <c r="K784" s="86" t="str">
        <f t="shared" si="38"/>
        <v/>
      </c>
      <c r="L784" s="85" t="str">
        <f>IF($B784="","",IF(IFERROR(INDEX('RAID Log'!$1:$1048576,$B784,MATCH("Status",'RAID Log'!$1:$1,0)),"")="","",IFERROR(INDEX('RAID Log'!$1:$1048576,$B784,MATCH("Status",'RAID Log'!$1:$1,0)),"")))</f>
        <v/>
      </c>
      <c r="M784" s="85" t="str">
        <f>IF($B784="","",IF(IFERROR(INDEX('RAID Log'!$1:$1048576,$B784,MATCH("RAID Owner",'RAID Log'!$1:$1,0)),"")="","",IFERROR(INDEX('RAID Log'!$1:$1048576,$B784,MATCH("RAID Owner",'RAID Log'!$1:$1,0)),"")))</f>
        <v/>
      </c>
      <c r="N784" s="87" t="str">
        <f>IF($B784="","",IF(IFERROR(INDEX('RAID Log'!$1:$1048576,$B784,MATCH("Date Raised",'RAID Log'!$1:$1,0)),"")="","",IFERROR(INDEX('RAID Log'!$1:$1048576,$B784,MATCH("Date Raised",'RAID Log'!$1:$1,0)),"")))</f>
        <v/>
      </c>
      <c r="O784" s="87" t="str">
        <f>IF($B784="","",IF(IFERROR(INDEX('RAID Log'!$1:$1048576,$B784,MATCH("Closed Date",'RAID Log'!$1:$1,0)),"")="","",IFERROR(INDEX('RAID Log'!$1:$1048576,$B784,MATCH("Closed Date",'RAID Log'!$1:$1,0)),"")))</f>
        <v/>
      </c>
      <c r="P784" s="85" t="str">
        <f>IF($B784="","",IF(IFERROR(INDEX('RAID Log'!$1:$1048576,$B784,MATCH("Mitigation Strategy",'RAID Log'!$1:$1,0)),"")="","",IFERROR(INDEX('RAID Log'!$1:$1048576,$B784,MATCH("Mitigation Strategy",'RAID Log'!$1:$1,0)),"")))</f>
        <v/>
      </c>
      <c r="Q784" s="88" t="str">
        <f>IF($B784="","",IF(IFERROR(INDEX('RAID Log'!$1:$1048576,$B784,MATCH("RAID Response/Plan",'RAID Log'!$1:$1,0)),"")="","",IFERROR(INDEX('RAID Log'!$1:$1048576,$B784,MATCH("RAID Response/Plan",'RAID Log'!$1:$1,0)),"")))</f>
        <v/>
      </c>
    </row>
    <row r="785" spans="1:17" ht="14.25" customHeight="1">
      <c r="A785" s="82" t="str">
        <f>IF($B785="","",IF(IFERROR(INDEX('RAID Log'!$1:$1048576,$B785,MATCH("RAID ID",'RAID Log'!$1:$1,0)),"")="","",IFERROR(INDEX('RAID Log'!$1:$1048576,$B785,MATCH("RAID ID",'RAID Log'!$1:$1,0)),"")))</f>
        <v/>
      </c>
      <c r="B785" s="83" t="str">
        <f>IFERROR(MATCH(ROW()-1,'RAID Log'!$S:$S,0),"")</f>
        <v/>
      </c>
      <c r="C785" s="84" t="str">
        <f>IF($B785="","",IF(IFERROR(INDEX('RAID Log'!$1:$1048576,$B785,MATCH("Description",'RAID Log'!$1:$1,0)),"")="","",IFERROR(INDEX('RAID Log'!$1:$1048576,$B785,MATCH("Description",'RAID Log'!$1:$1,0)),"")))</f>
        <v/>
      </c>
      <c r="D785" s="84" t="str">
        <f>IF($B785="","",IF(IFERROR(INDEX('RAID Log'!$1:$1048576,$B785,MATCH("Impact/Effect of the RAID",'RAID Log'!$1:$1,0)),"")="","",IFERROR(INDEX('RAID Log'!$1:$1048576,$B785,MATCH("Impact/Effect of the RAID",'RAID Log'!$1:$1,0)),"")))</f>
        <v/>
      </c>
      <c r="E785" s="85" t="str">
        <f>IF($B785="","",IF(IFERROR(INDEX('RAID Log'!$1:$1048576,$B785,MATCH("Impact Area",'RAID Log'!$1:$1,0)),"")="","",IFERROR(INDEX('RAID Log'!$1:$1048576,$B785,MATCH("Impact Area",'RAID Log'!$1:$1,0)),"")))</f>
        <v/>
      </c>
      <c r="F785" s="85" t="str">
        <f>IF($B785="","",IF(IFERROR(INDEX('RAID Log'!$1:$1048576,$B785,MATCH("Impact Area",'RAID Log'!$1:$1,0)),"")="","",IFERROR(INDEX('RAID Log'!$1:$1048576,$B785,MATCH("Impact Area",'RAID Log'!$1:$1,0)),"")))</f>
        <v/>
      </c>
      <c r="G785" s="85" t="str">
        <f>IF($B785="","",IF(IFERROR(INDEX('RAID Log'!$1:$1048576,$B785,MATCH("Impact Rating",'RAID Log'!$1:$1,0)),"")="","",IFERROR(INDEX('RAID Log'!$1:$1048576,$B785,MATCH("Impact Rating",'RAID Log'!$1:$1,0)),"")))</f>
        <v/>
      </c>
      <c r="H785" s="85" t="str">
        <f>IF($B785="","",IF(IFERROR(INDEX('RAID Log'!$1:$1048576,$B785,MATCH("Initial Probability",'RAID Log'!$1:$1,0)),"")="","",IFERROR(INDEX('RAID Log'!$1:$1048576,$B785,MATCH("Initial Probability",'RAID Log'!$1:$1,0)),"")))</f>
        <v/>
      </c>
      <c r="I785" s="86" t="str">
        <f t="shared" si="36"/>
        <v/>
      </c>
      <c r="J785" s="85" t="str">
        <f t="shared" si="37"/>
        <v/>
      </c>
      <c r="K785" s="86" t="str">
        <f t="shared" si="38"/>
        <v/>
      </c>
      <c r="L785" s="85" t="str">
        <f>IF($B785="","",IF(IFERROR(INDEX('RAID Log'!$1:$1048576,$B785,MATCH("Status",'RAID Log'!$1:$1,0)),"")="","",IFERROR(INDEX('RAID Log'!$1:$1048576,$B785,MATCH("Status",'RAID Log'!$1:$1,0)),"")))</f>
        <v/>
      </c>
      <c r="M785" s="85" t="str">
        <f>IF($B785="","",IF(IFERROR(INDEX('RAID Log'!$1:$1048576,$B785,MATCH("RAID Owner",'RAID Log'!$1:$1,0)),"")="","",IFERROR(INDEX('RAID Log'!$1:$1048576,$B785,MATCH("RAID Owner",'RAID Log'!$1:$1,0)),"")))</f>
        <v/>
      </c>
      <c r="N785" s="87" t="str">
        <f>IF($B785="","",IF(IFERROR(INDEX('RAID Log'!$1:$1048576,$B785,MATCH("Date Raised",'RAID Log'!$1:$1,0)),"")="","",IFERROR(INDEX('RAID Log'!$1:$1048576,$B785,MATCH("Date Raised",'RAID Log'!$1:$1,0)),"")))</f>
        <v/>
      </c>
      <c r="O785" s="87" t="str">
        <f>IF($B785="","",IF(IFERROR(INDEX('RAID Log'!$1:$1048576,$B785,MATCH("Closed Date",'RAID Log'!$1:$1,0)),"")="","",IFERROR(INDEX('RAID Log'!$1:$1048576,$B785,MATCH("Closed Date",'RAID Log'!$1:$1,0)),"")))</f>
        <v/>
      </c>
      <c r="P785" s="85" t="str">
        <f>IF($B785="","",IF(IFERROR(INDEX('RAID Log'!$1:$1048576,$B785,MATCH("Mitigation Strategy",'RAID Log'!$1:$1,0)),"")="","",IFERROR(INDEX('RAID Log'!$1:$1048576,$B785,MATCH("Mitigation Strategy",'RAID Log'!$1:$1,0)),"")))</f>
        <v/>
      </c>
      <c r="Q785" s="88" t="str">
        <f>IF($B785="","",IF(IFERROR(INDEX('RAID Log'!$1:$1048576,$B785,MATCH("RAID Response/Plan",'RAID Log'!$1:$1,0)),"")="","",IFERROR(INDEX('RAID Log'!$1:$1048576,$B785,MATCH("RAID Response/Plan",'RAID Log'!$1:$1,0)),"")))</f>
        <v/>
      </c>
    </row>
    <row r="786" spans="1:17" ht="14.25" customHeight="1">
      <c r="A786" s="82" t="str">
        <f>IF($B786="","",IF(IFERROR(INDEX('RAID Log'!$1:$1048576,$B786,MATCH("RAID ID",'RAID Log'!$1:$1,0)),"")="","",IFERROR(INDEX('RAID Log'!$1:$1048576,$B786,MATCH("RAID ID",'RAID Log'!$1:$1,0)),"")))</f>
        <v/>
      </c>
      <c r="B786" s="83" t="str">
        <f>IFERROR(MATCH(ROW()-1,'RAID Log'!$S:$S,0),"")</f>
        <v/>
      </c>
      <c r="C786" s="84" t="str">
        <f>IF($B786="","",IF(IFERROR(INDEX('RAID Log'!$1:$1048576,$B786,MATCH("Description",'RAID Log'!$1:$1,0)),"")="","",IFERROR(INDEX('RAID Log'!$1:$1048576,$B786,MATCH("Description",'RAID Log'!$1:$1,0)),"")))</f>
        <v/>
      </c>
      <c r="D786" s="84" t="str">
        <f>IF($B786="","",IF(IFERROR(INDEX('RAID Log'!$1:$1048576,$B786,MATCH("Impact/Effect of the RAID",'RAID Log'!$1:$1,0)),"")="","",IFERROR(INDEX('RAID Log'!$1:$1048576,$B786,MATCH("Impact/Effect of the RAID",'RAID Log'!$1:$1,0)),"")))</f>
        <v/>
      </c>
      <c r="E786" s="85" t="str">
        <f>IF($B786="","",IF(IFERROR(INDEX('RAID Log'!$1:$1048576,$B786,MATCH("Impact Area",'RAID Log'!$1:$1,0)),"")="","",IFERROR(INDEX('RAID Log'!$1:$1048576,$B786,MATCH("Impact Area",'RAID Log'!$1:$1,0)),"")))</f>
        <v/>
      </c>
      <c r="F786" s="85" t="str">
        <f>IF($B786="","",IF(IFERROR(INDEX('RAID Log'!$1:$1048576,$B786,MATCH("Impact Area",'RAID Log'!$1:$1,0)),"")="","",IFERROR(INDEX('RAID Log'!$1:$1048576,$B786,MATCH("Impact Area",'RAID Log'!$1:$1,0)),"")))</f>
        <v/>
      </c>
      <c r="G786" s="85" t="str">
        <f>IF($B786="","",IF(IFERROR(INDEX('RAID Log'!$1:$1048576,$B786,MATCH("Impact Rating",'RAID Log'!$1:$1,0)),"")="","",IFERROR(INDEX('RAID Log'!$1:$1048576,$B786,MATCH("Impact Rating",'RAID Log'!$1:$1,0)),"")))</f>
        <v/>
      </c>
      <c r="H786" s="85" t="str">
        <f>IF($B786="","",IF(IFERROR(INDEX('RAID Log'!$1:$1048576,$B786,MATCH("Initial Probability",'RAID Log'!$1:$1,0)),"")="","",IFERROR(INDEX('RAID Log'!$1:$1048576,$B786,MATCH("Initial Probability",'RAID Log'!$1:$1,0)),"")))</f>
        <v/>
      </c>
      <c r="I786" s="86" t="str">
        <f t="shared" si="36"/>
        <v/>
      </c>
      <c r="J786" s="85" t="str">
        <f t="shared" si="37"/>
        <v/>
      </c>
      <c r="K786" s="86" t="str">
        <f t="shared" si="38"/>
        <v/>
      </c>
      <c r="L786" s="85" t="str">
        <f>IF($B786="","",IF(IFERROR(INDEX('RAID Log'!$1:$1048576,$B786,MATCH("Status",'RAID Log'!$1:$1,0)),"")="","",IFERROR(INDEX('RAID Log'!$1:$1048576,$B786,MATCH("Status",'RAID Log'!$1:$1,0)),"")))</f>
        <v/>
      </c>
      <c r="M786" s="85" t="str">
        <f>IF($B786="","",IF(IFERROR(INDEX('RAID Log'!$1:$1048576,$B786,MATCH("RAID Owner",'RAID Log'!$1:$1,0)),"")="","",IFERROR(INDEX('RAID Log'!$1:$1048576,$B786,MATCH("RAID Owner",'RAID Log'!$1:$1,0)),"")))</f>
        <v/>
      </c>
      <c r="N786" s="87" t="str">
        <f>IF($B786="","",IF(IFERROR(INDEX('RAID Log'!$1:$1048576,$B786,MATCH("Date Raised",'RAID Log'!$1:$1,0)),"")="","",IFERROR(INDEX('RAID Log'!$1:$1048576,$B786,MATCH("Date Raised",'RAID Log'!$1:$1,0)),"")))</f>
        <v/>
      </c>
      <c r="O786" s="87" t="str">
        <f>IF($B786="","",IF(IFERROR(INDEX('RAID Log'!$1:$1048576,$B786,MATCH("Closed Date",'RAID Log'!$1:$1,0)),"")="","",IFERROR(INDEX('RAID Log'!$1:$1048576,$B786,MATCH("Closed Date",'RAID Log'!$1:$1,0)),"")))</f>
        <v/>
      </c>
      <c r="P786" s="85" t="str">
        <f>IF($B786="","",IF(IFERROR(INDEX('RAID Log'!$1:$1048576,$B786,MATCH("Mitigation Strategy",'RAID Log'!$1:$1,0)),"")="","",IFERROR(INDEX('RAID Log'!$1:$1048576,$B786,MATCH("Mitigation Strategy",'RAID Log'!$1:$1,0)),"")))</f>
        <v/>
      </c>
      <c r="Q786" s="88" t="str">
        <f>IF($B786="","",IF(IFERROR(INDEX('RAID Log'!$1:$1048576,$B786,MATCH("RAID Response/Plan",'RAID Log'!$1:$1,0)),"")="","",IFERROR(INDEX('RAID Log'!$1:$1048576,$B786,MATCH("RAID Response/Plan",'RAID Log'!$1:$1,0)),"")))</f>
        <v/>
      </c>
    </row>
    <row r="787" spans="1:17" ht="14.25" customHeight="1">
      <c r="A787" s="82" t="str">
        <f>IF($B787="","",IF(IFERROR(INDEX('RAID Log'!$1:$1048576,$B787,MATCH("RAID ID",'RAID Log'!$1:$1,0)),"")="","",IFERROR(INDEX('RAID Log'!$1:$1048576,$B787,MATCH("RAID ID",'RAID Log'!$1:$1,0)),"")))</f>
        <v/>
      </c>
      <c r="B787" s="83" t="str">
        <f>IFERROR(MATCH(ROW()-1,'RAID Log'!$S:$S,0),"")</f>
        <v/>
      </c>
      <c r="C787" s="84" t="str">
        <f>IF($B787="","",IF(IFERROR(INDEX('RAID Log'!$1:$1048576,$B787,MATCH("Description",'RAID Log'!$1:$1,0)),"")="","",IFERROR(INDEX('RAID Log'!$1:$1048576,$B787,MATCH("Description",'RAID Log'!$1:$1,0)),"")))</f>
        <v/>
      </c>
      <c r="D787" s="84" t="str">
        <f>IF($B787="","",IF(IFERROR(INDEX('RAID Log'!$1:$1048576,$B787,MATCH("Impact/Effect of the RAID",'RAID Log'!$1:$1,0)),"")="","",IFERROR(INDEX('RAID Log'!$1:$1048576,$B787,MATCH("Impact/Effect of the RAID",'RAID Log'!$1:$1,0)),"")))</f>
        <v/>
      </c>
      <c r="E787" s="85" t="str">
        <f>IF($B787="","",IF(IFERROR(INDEX('RAID Log'!$1:$1048576,$B787,MATCH("Impact Area",'RAID Log'!$1:$1,0)),"")="","",IFERROR(INDEX('RAID Log'!$1:$1048576,$B787,MATCH("Impact Area",'RAID Log'!$1:$1,0)),"")))</f>
        <v/>
      </c>
      <c r="F787" s="85" t="str">
        <f>IF($B787="","",IF(IFERROR(INDEX('RAID Log'!$1:$1048576,$B787,MATCH("Impact Area",'RAID Log'!$1:$1,0)),"")="","",IFERROR(INDEX('RAID Log'!$1:$1048576,$B787,MATCH("Impact Area",'RAID Log'!$1:$1,0)),"")))</f>
        <v/>
      </c>
      <c r="G787" s="85" t="str">
        <f>IF($B787="","",IF(IFERROR(INDEX('RAID Log'!$1:$1048576,$B787,MATCH("Impact Rating",'RAID Log'!$1:$1,0)),"")="","",IFERROR(INDEX('RAID Log'!$1:$1048576,$B787,MATCH("Impact Rating",'RAID Log'!$1:$1,0)),"")))</f>
        <v/>
      </c>
      <c r="H787" s="85" t="str">
        <f>IF($B787="","",IF(IFERROR(INDEX('RAID Log'!$1:$1048576,$B787,MATCH("Initial Probability",'RAID Log'!$1:$1,0)),"")="","",IFERROR(INDEX('RAID Log'!$1:$1048576,$B787,MATCH("Initial Probability",'RAID Log'!$1:$1,0)),"")))</f>
        <v/>
      </c>
      <c r="I787" s="86" t="str">
        <f t="shared" si="36"/>
        <v/>
      </c>
      <c r="J787" s="85" t="str">
        <f t="shared" si="37"/>
        <v/>
      </c>
      <c r="K787" s="86" t="str">
        <f t="shared" si="38"/>
        <v/>
      </c>
      <c r="L787" s="85" t="str">
        <f>IF($B787="","",IF(IFERROR(INDEX('RAID Log'!$1:$1048576,$B787,MATCH("Status",'RAID Log'!$1:$1,0)),"")="","",IFERROR(INDEX('RAID Log'!$1:$1048576,$B787,MATCH("Status",'RAID Log'!$1:$1,0)),"")))</f>
        <v/>
      </c>
      <c r="M787" s="85" t="str">
        <f>IF($B787="","",IF(IFERROR(INDEX('RAID Log'!$1:$1048576,$B787,MATCH("RAID Owner",'RAID Log'!$1:$1,0)),"")="","",IFERROR(INDEX('RAID Log'!$1:$1048576,$B787,MATCH("RAID Owner",'RAID Log'!$1:$1,0)),"")))</f>
        <v/>
      </c>
      <c r="N787" s="87" t="str">
        <f>IF($B787="","",IF(IFERROR(INDEX('RAID Log'!$1:$1048576,$B787,MATCH("Date Raised",'RAID Log'!$1:$1,0)),"")="","",IFERROR(INDEX('RAID Log'!$1:$1048576,$B787,MATCH("Date Raised",'RAID Log'!$1:$1,0)),"")))</f>
        <v/>
      </c>
      <c r="O787" s="87" t="str">
        <f>IF($B787="","",IF(IFERROR(INDEX('RAID Log'!$1:$1048576,$B787,MATCH("Closed Date",'RAID Log'!$1:$1,0)),"")="","",IFERROR(INDEX('RAID Log'!$1:$1048576,$B787,MATCH("Closed Date",'RAID Log'!$1:$1,0)),"")))</f>
        <v/>
      </c>
      <c r="P787" s="85" t="str">
        <f>IF($B787="","",IF(IFERROR(INDEX('RAID Log'!$1:$1048576,$B787,MATCH("Mitigation Strategy",'RAID Log'!$1:$1,0)),"")="","",IFERROR(INDEX('RAID Log'!$1:$1048576,$B787,MATCH("Mitigation Strategy",'RAID Log'!$1:$1,0)),"")))</f>
        <v/>
      </c>
      <c r="Q787" s="88" t="str">
        <f>IF($B787="","",IF(IFERROR(INDEX('RAID Log'!$1:$1048576,$B787,MATCH("RAID Response/Plan",'RAID Log'!$1:$1,0)),"")="","",IFERROR(INDEX('RAID Log'!$1:$1048576,$B787,MATCH("RAID Response/Plan",'RAID Log'!$1:$1,0)),"")))</f>
        <v/>
      </c>
    </row>
    <row r="788" spans="1:17" ht="14.25" customHeight="1">
      <c r="A788" s="82" t="str">
        <f>IF($B788="","",IF(IFERROR(INDEX('RAID Log'!$1:$1048576,$B788,MATCH("RAID ID",'RAID Log'!$1:$1,0)),"")="","",IFERROR(INDEX('RAID Log'!$1:$1048576,$B788,MATCH("RAID ID",'RAID Log'!$1:$1,0)),"")))</f>
        <v/>
      </c>
      <c r="B788" s="83" t="str">
        <f>IFERROR(MATCH(ROW()-1,'RAID Log'!$S:$S,0),"")</f>
        <v/>
      </c>
      <c r="C788" s="84" t="str">
        <f>IF($B788="","",IF(IFERROR(INDEX('RAID Log'!$1:$1048576,$B788,MATCH("Description",'RAID Log'!$1:$1,0)),"")="","",IFERROR(INDEX('RAID Log'!$1:$1048576,$B788,MATCH("Description",'RAID Log'!$1:$1,0)),"")))</f>
        <v/>
      </c>
      <c r="D788" s="84" t="str">
        <f>IF($B788="","",IF(IFERROR(INDEX('RAID Log'!$1:$1048576,$B788,MATCH("Impact/Effect of the RAID",'RAID Log'!$1:$1,0)),"")="","",IFERROR(INDEX('RAID Log'!$1:$1048576,$B788,MATCH("Impact/Effect of the RAID",'RAID Log'!$1:$1,0)),"")))</f>
        <v/>
      </c>
      <c r="E788" s="85" t="str">
        <f>IF($B788="","",IF(IFERROR(INDEX('RAID Log'!$1:$1048576,$B788,MATCH("Impact Area",'RAID Log'!$1:$1,0)),"")="","",IFERROR(INDEX('RAID Log'!$1:$1048576,$B788,MATCH("Impact Area",'RAID Log'!$1:$1,0)),"")))</f>
        <v/>
      </c>
      <c r="F788" s="85" t="str">
        <f>IF($B788="","",IF(IFERROR(INDEX('RAID Log'!$1:$1048576,$B788,MATCH("Impact Area",'RAID Log'!$1:$1,0)),"")="","",IFERROR(INDEX('RAID Log'!$1:$1048576,$B788,MATCH("Impact Area",'RAID Log'!$1:$1,0)),"")))</f>
        <v/>
      </c>
      <c r="G788" s="85" t="str">
        <f>IF($B788="","",IF(IFERROR(INDEX('RAID Log'!$1:$1048576,$B788,MATCH("Impact Rating",'RAID Log'!$1:$1,0)),"")="","",IFERROR(INDEX('RAID Log'!$1:$1048576,$B788,MATCH("Impact Rating",'RAID Log'!$1:$1,0)),"")))</f>
        <v/>
      </c>
      <c r="H788" s="85" t="str">
        <f>IF($B788="","",IF(IFERROR(INDEX('RAID Log'!$1:$1048576,$B788,MATCH("Initial Probability",'RAID Log'!$1:$1,0)),"")="","",IFERROR(INDEX('RAID Log'!$1:$1048576,$B788,MATCH("Initial Probability",'RAID Log'!$1:$1,0)),"")))</f>
        <v/>
      </c>
      <c r="I788" s="86" t="str">
        <f t="shared" si="36"/>
        <v/>
      </c>
      <c r="J788" s="85" t="str">
        <f t="shared" si="37"/>
        <v/>
      </c>
      <c r="K788" s="86" t="str">
        <f t="shared" si="38"/>
        <v/>
      </c>
      <c r="L788" s="85" t="str">
        <f>IF($B788="","",IF(IFERROR(INDEX('RAID Log'!$1:$1048576,$B788,MATCH("Status",'RAID Log'!$1:$1,0)),"")="","",IFERROR(INDEX('RAID Log'!$1:$1048576,$B788,MATCH("Status",'RAID Log'!$1:$1,0)),"")))</f>
        <v/>
      </c>
      <c r="M788" s="85" t="str">
        <f>IF($B788="","",IF(IFERROR(INDEX('RAID Log'!$1:$1048576,$B788,MATCH("RAID Owner",'RAID Log'!$1:$1,0)),"")="","",IFERROR(INDEX('RAID Log'!$1:$1048576,$B788,MATCH("RAID Owner",'RAID Log'!$1:$1,0)),"")))</f>
        <v/>
      </c>
      <c r="N788" s="87" t="str">
        <f>IF($B788="","",IF(IFERROR(INDEX('RAID Log'!$1:$1048576,$B788,MATCH("Date Raised",'RAID Log'!$1:$1,0)),"")="","",IFERROR(INDEX('RAID Log'!$1:$1048576,$B788,MATCH("Date Raised",'RAID Log'!$1:$1,0)),"")))</f>
        <v/>
      </c>
      <c r="O788" s="87" t="str">
        <f>IF($B788="","",IF(IFERROR(INDEX('RAID Log'!$1:$1048576,$B788,MATCH("Closed Date",'RAID Log'!$1:$1,0)),"")="","",IFERROR(INDEX('RAID Log'!$1:$1048576,$B788,MATCH("Closed Date",'RAID Log'!$1:$1,0)),"")))</f>
        <v/>
      </c>
      <c r="P788" s="85" t="str">
        <f>IF($B788="","",IF(IFERROR(INDEX('RAID Log'!$1:$1048576,$B788,MATCH("Mitigation Strategy",'RAID Log'!$1:$1,0)),"")="","",IFERROR(INDEX('RAID Log'!$1:$1048576,$B788,MATCH("Mitigation Strategy",'RAID Log'!$1:$1,0)),"")))</f>
        <v/>
      </c>
      <c r="Q788" s="88" t="str">
        <f>IF($B788="","",IF(IFERROR(INDEX('RAID Log'!$1:$1048576,$B788,MATCH("RAID Response/Plan",'RAID Log'!$1:$1,0)),"")="","",IFERROR(INDEX('RAID Log'!$1:$1048576,$B788,MATCH("RAID Response/Plan",'RAID Log'!$1:$1,0)),"")))</f>
        <v/>
      </c>
    </row>
    <row r="789" spans="1:17" ht="14.25" customHeight="1">
      <c r="A789" s="82" t="str">
        <f>IF($B789="","",IF(IFERROR(INDEX('RAID Log'!$1:$1048576,$B789,MATCH("RAID ID",'RAID Log'!$1:$1,0)),"")="","",IFERROR(INDEX('RAID Log'!$1:$1048576,$B789,MATCH("RAID ID",'RAID Log'!$1:$1,0)),"")))</f>
        <v/>
      </c>
      <c r="B789" s="83" t="str">
        <f>IFERROR(MATCH(ROW()-1,'RAID Log'!$S:$S,0),"")</f>
        <v/>
      </c>
      <c r="C789" s="84" t="str">
        <f>IF($B789="","",IF(IFERROR(INDEX('RAID Log'!$1:$1048576,$B789,MATCH("Description",'RAID Log'!$1:$1,0)),"")="","",IFERROR(INDEX('RAID Log'!$1:$1048576,$B789,MATCH("Description",'RAID Log'!$1:$1,0)),"")))</f>
        <v/>
      </c>
      <c r="D789" s="84" t="str">
        <f>IF($B789="","",IF(IFERROR(INDEX('RAID Log'!$1:$1048576,$B789,MATCH("Impact/Effect of the RAID",'RAID Log'!$1:$1,0)),"")="","",IFERROR(INDEX('RAID Log'!$1:$1048576,$B789,MATCH("Impact/Effect of the RAID",'RAID Log'!$1:$1,0)),"")))</f>
        <v/>
      </c>
      <c r="E789" s="85" t="str">
        <f>IF($B789="","",IF(IFERROR(INDEX('RAID Log'!$1:$1048576,$B789,MATCH("Impact Area",'RAID Log'!$1:$1,0)),"")="","",IFERROR(INDEX('RAID Log'!$1:$1048576,$B789,MATCH("Impact Area",'RAID Log'!$1:$1,0)),"")))</f>
        <v/>
      </c>
      <c r="F789" s="85" t="str">
        <f>IF($B789="","",IF(IFERROR(INDEX('RAID Log'!$1:$1048576,$B789,MATCH("Impact Area",'RAID Log'!$1:$1,0)),"")="","",IFERROR(INDEX('RAID Log'!$1:$1048576,$B789,MATCH("Impact Area",'RAID Log'!$1:$1,0)),"")))</f>
        <v/>
      </c>
      <c r="G789" s="85" t="str">
        <f>IF($B789="","",IF(IFERROR(INDEX('RAID Log'!$1:$1048576,$B789,MATCH("Impact Rating",'RAID Log'!$1:$1,0)),"")="","",IFERROR(INDEX('RAID Log'!$1:$1048576,$B789,MATCH("Impact Rating",'RAID Log'!$1:$1,0)),"")))</f>
        <v/>
      </c>
      <c r="H789" s="85" t="str">
        <f>IF($B789="","",IF(IFERROR(INDEX('RAID Log'!$1:$1048576,$B789,MATCH("Initial Probability",'RAID Log'!$1:$1,0)),"")="","",IFERROR(INDEX('RAID Log'!$1:$1048576,$B789,MATCH("Initial Probability",'RAID Log'!$1:$1,0)),"")))</f>
        <v/>
      </c>
      <c r="I789" s="86" t="str">
        <f t="shared" si="36"/>
        <v/>
      </c>
      <c r="J789" s="85" t="str">
        <f t="shared" si="37"/>
        <v/>
      </c>
      <c r="K789" s="86" t="str">
        <f t="shared" si="38"/>
        <v/>
      </c>
      <c r="L789" s="85" t="str">
        <f>IF($B789="","",IF(IFERROR(INDEX('RAID Log'!$1:$1048576,$B789,MATCH("Status",'RAID Log'!$1:$1,0)),"")="","",IFERROR(INDEX('RAID Log'!$1:$1048576,$B789,MATCH("Status",'RAID Log'!$1:$1,0)),"")))</f>
        <v/>
      </c>
      <c r="M789" s="85" t="str">
        <f>IF($B789="","",IF(IFERROR(INDEX('RAID Log'!$1:$1048576,$B789,MATCH("RAID Owner",'RAID Log'!$1:$1,0)),"")="","",IFERROR(INDEX('RAID Log'!$1:$1048576,$B789,MATCH("RAID Owner",'RAID Log'!$1:$1,0)),"")))</f>
        <v/>
      </c>
      <c r="N789" s="87" t="str">
        <f>IF($B789="","",IF(IFERROR(INDEX('RAID Log'!$1:$1048576,$B789,MATCH("Date Raised",'RAID Log'!$1:$1,0)),"")="","",IFERROR(INDEX('RAID Log'!$1:$1048576,$B789,MATCH("Date Raised",'RAID Log'!$1:$1,0)),"")))</f>
        <v/>
      </c>
      <c r="O789" s="87" t="str">
        <f>IF($B789="","",IF(IFERROR(INDEX('RAID Log'!$1:$1048576,$B789,MATCH("Closed Date",'RAID Log'!$1:$1,0)),"")="","",IFERROR(INDEX('RAID Log'!$1:$1048576,$B789,MATCH("Closed Date",'RAID Log'!$1:$1,0)),"")))</f>
        <v/>
      </c>
      <c r="P789" s="85" t="str">
        <f>IF($B789="","",IF(IFERROR(INDEX('RAID Log'!$1:$1048576,$B789,MATCH("Mitigation Strategy",'RAID Log'!$1:$1,0)),"")="","",IFERROR(INDEX('RAID Log'!$1:$1048576,$B789,MATCH("Mitigation Strategy",'RAID Log'!$1:$1,0)),"")))</f>
        <v/>
      </c>
      <c r="Q789" s="88" t="str">
        <f>IF($B789="","",IF(IFERROR(INDEX('RAID Log'!$1:$1048576,$B789,MATCH("RAID Response/Plan",'RAID Log'!$1:$1,0)),"")="","",IFERROR(INDEX('RAID Log'!$1:$1048576,$B789,MATCH("RAID Response/Plan",'RAID Log'!$1:$1,0)),"")))</f>
        <v/>
      </c>
    </row>
    <row r="790" spans="1:17" ht="14.25" customHeight="1">
      <c r="A790" s="82" t="str">
        <f>IF($B790="","",IF(IFERROR(INDEX('RAID Log'!$1:$1048576,$B790,MATCH("RAID ID",'RAID Log'!$1:$1,0)),"")="","",IFERROR(INDEX('RAID Log'!$1:$1048576,$B790,MATCH("RAID ID",'RAID Log'!$1:$1,0)),"")))</f>
        <v/>
      </c>
      <c r="B790" s="83" t="str">
        <f>IFERROR(MATCH(ROW()-1,'RAID Log'!$S:$S,0),"")</f>
        <v/>
      </c>
      <c r="C790" s="84" t="str">
        <f>IF($B790="","",IF(IFERROR(INDEX('RAID Log'!$1:$1048576,$B790,MATCH("Description",'RAID Log'!$1:$1,0)),"")="","",IFERROR(INDEX('RAID Log'!$1:$1048576,$B790,MATCH("Description",'RAID Log'!$1:$1,0)),"")))</f>
        <v/>
      </c>
      <c r="D790" s="84" t="str">
        <f>IF($B790="","",IF(IFERROR(INDEX('RAID Log'!$1:$1048576,$B790,MATCH("Impact/Effect of the RAID",'RAID Log'!$1:$1,0)),"")="","",IFERROR(INDEX('RAID Log'!$1:$1048576,$B790,MATCH("Impact/Effect of the RAID",'RAID Log'!$1:$1,0)),"")))</f>
        <v/>
      </c>
      <c r="E790" s="85" t="str">
        <f>IF($B790="","",IF(IFERROR(INDEX('RAID Log'!$1:$1048576,$B790,MATCH("Impact Area",'RAID Log'!$1:$1,0)),"")="","",IFERROR(INDEX('RAID Log'!$1:$1048576,$B790,MATCH("Impact Area",'RAID Log'!$1:$1,0)),"")))</f>
        <v/>
      </c>
      <c r="F790" s="85" t="str">
        <f>IF($B790="","",IF(IFERROR(INDEX('RAID Log'!$1:$1048576,$B790,MATCH("Impact Area",'RAID Log'!$1:$1,0)),"")="","",IFERROR(INDEX('RAID Log'!$1:$1048576,$B790,MATCH("Impact Area",'RAID Log'!$1:$1,0)),"")))</f>
        <v/>
      </c>
      <c r="G790" s="85" t="str">
        <f>IF($B790="","",IF(IFERROR(INDEX('RAID Log'!$1:$1048576,$B790,MATCH("Impact Rating",'RAID Log'!$1:$1,0)),"")="","",IFERROR(INDEX('RAID Log'!$1:$1048576,$B790,MATCH("Impact Rating",'RAID Log'!$1:$1,0)),"")))</f>
        <v/>
      </c>
      <c r="H790" s="85" t="str">
        <f>IF($B790="","",IF(IFERROR(INDEX('RAID Log'!$1:$1048576,$B790,MATCH("Initial Probability",'RAID Log'!$1:$1,0)),"")="","",IFERROR(INDEX('RAID Log'!$1:$1048576,$B790,MATCH("Initial Probability",'RAID Log'!$1:$1,0)),"")))</f>
        <v/>
      </c>
      <c r="I790" s="86" t="str">
        <f t="shared" si="36"/>
        <v/>
      </c>
      <c r="J790" s="85" t="str">
        <f t="shared" si="37"/>
        <v/>
      </c>
      <c r="K790" s="86" t="str">
        <f t="shared" si="38"/>
        <v/>
      </c>
      <c r="L790" s="85" t="str">
        <f>IF($B790="","",IF(IFERROR(INDEX('RAID Log'!$1:$1048576,$B790,MATCH("Status",'RAID Log'!$1:$1,0)),"")="","",IFERROR(INDEX('RAID Log'!$1:$1048576,$B790,MATCH("Status",'RAID Log'!$1:$1,0)),"")))</f>
        <v/>
      </c>
      <c r="M790" s="85" t="str">
        <f>IF($B790="","",IF(IFERROR(INDEX('RAID Log'!$1:$1048576,$B790,MATCH("RAID Owner",'RAID Log'!$1:$1,0)),"")="","",IFERROR(INDEX('RAID Log'!$1:$1048576,$B790,MATCH("RAID Owner",'RAID Log'!$1:$1,0)),"")))</f>
        <v/>
      </c>
      <c r="N790" s="87" t="str">
        <f>IF($B790="","",IF(IFERROR(INDEX('RAID Log'!$1:$1048576,$B790,MATCH("Date Raised",'RAID Log'!$1:$1,0)),"")="","",IFERROR(INDEX('RAID Log'!$1:$1048576,$B790,MATCH("Date Raised",'RAID Log'!$1:$1,0)),"")))</f>
        <v/>
      </c>
      <c r="O790" s="87" t="str">
        <f>IF($B790="","",IF(IFERROR(INDEX('RAID Log'!$1:$1048576,$B790,MATCH("Closed Date",'RAID Log'!$1:$1,0)),"")="","",IFERROR(INDEX('RAID Log'!$1:$1048576,$B790,MATCH("Closed Date",'RAID Log'!$1:$1,0)),"")))</f>
        <v/>
      </c>
      <c r="P790" s="85" t="str">
        <f>IF($B790="","",IF(IFERROR(INDEX('RAID Log'!$1:$1048576,$B790,MATCH("Mitigation Strategy",'RAID Log'!$1:$1,0)),"")="","",IFERROR(INDEX('RAID Log'!$1:$1048576,$B790,MATCH("Mitigation Strategy",'RAID Log'!$1:$1,0)),"")))</f>
        <v/>
      </c>
      <c r="Q790" s="88" t="str">
        <f>IF($B790="","",IF(IFERROR(INDEX('RAID Log'!$1:$1048576,$B790,MATCH("RAID Response/Plan",'RAID Log'!$1:$1,0)),"")="","",IFERROR(INDEX('RAID Log'!$1:$1048576,$B790,MATCH("RAID Response/Plan",'RAID Log'!$1:$1,0)),"")))</f>
        <v/>
      </c>
    </row>
    <row r="791" spans="1:17" ht="14.25" customHeight="1">
      <c r="A791" s="82" t="str">
        <f>IF($B791="","",IF(IFERROR(INDEX('RAID Log'!$1:$1048576,$B791,MATCH("RAID ID",'RAID Log'!$1:$1,0)),"")="","",IFERROR(INDEX('RAID Log'!$1:$1048576,$B791,MATCH("RAID ID",'RAID Log'!$1:$1,0)),"")))</f>
        <v/>
      </c>
      <c r="B791" s="83" t="str">
        <f>IFERROR(MATCH(ROW()-1,'RAID Log'!$S:$S,0),"")</f>
        <v/>
      </c>
      <c r="C791" s="84" t="str">
        <f>IF($B791="","",IF(IFERROR(INDEX('RAID Log'!$1:$1048576,$B791,MATCH("Description",'RAID Log'!$1:$1,0)),"")="","",IFERROR(INDEX('RAID Log'!$1:$1048576,$B791,MATCH("Description",'RAID Log'!$1:$1,0)),"")))</f>
        <v/>
      </c>
      <c r="D791" s="84" t="str">
        <f>IF($B791="","",IF(IFERROR(INDEX('RAID Log'!$1:$1048576,$B791,MATCH("Impact/Effect of the RAID",'RAID Log'!$1:$1,0)),"")="","",IFERROR(INDEX('RAID Log'!$1:$1048576,$B791,MATCH("Impact/Effect of the RAID",'RAID Log'!$1:$1,0)),"")))</f>
        <v/>
      </c>
      <c r="E791" s="85" t="str">
        <f>IF($B791="","",IF(IFERROR(INDEX('RAID Log'!$1:$1048576,$B791,MATCH("Impact Area",'RAID Log'!$1:$1,0)),"")="","",IFERROR(INDEX('RAID Log'!$1:$1048576,$B791,MATCH("Impact Area",'RAID Log'!$1:$1,0)),"")))</f>
        <v/>
      </c>
      <c r="F791" s="85" t="str">
        <f>IF($B791="","",IF(IFERROR(INDEX('RAID Log'!$1:$1048576,$B791,MATCH("Impact Area",'RAID Log'!$1:$1,0)),"")="","",IFERROR(INDEX('RAID Log'!$1:$1048576,$B791,MATCH("Impact Area",'RAID Log'!$1:$1,0)),"")))</f>
        <v/>
      </c>
      <c r="G791" s="85" t="str">
        <f>IF($B791="","",IF(IFERROR(INDEX('RAID Log'!$1:$1048576,$B791,MATCH("Impact Rating",'RAID Log'!$1:$1,0)),"")="","",IFERROR(INDEX('RAID Log'!$1:$1048576,$B791,MATCH("Impact Rating",'RAID Log'!$1:$1,0)),"")))</f>
        <v/>
      </c>
      <c r="H791" s="85" t="str">
        <f>IF($B791="","",IF(IFERROR(INDEX('RAID Log'!$1:$1048576,$B791,MATCH("Initial Probability",'RAID Log'!$1:$1,0)),"")="","",IFERROR(INDEX('RAID Log'!$1:$1048576,$B791,MATCH("Initial Probability",'RAID Log'!$1:$1,0)),"")))</f>
        <v/>
      </c>
      <c r="I791" s="86" t="str">
        <f t="shared" si="36"/>
        <v/>
      </c>
      <c r="J791" s="85" t="str">
        <f t="shared" si="37"/>
        <v/>
      </c>
      <c r="K791" s="86" t="str">
        <f t="shared" si="38"/>
        <v/>
      </c>
      <c r="L791" s="85" t="str">
        <f>IF($B791="","",IF(IFERROR(INDEX('RAID Log'!$1:$1048576,$B791,MATCH("Status",'RAID Log'!$1:$1,0)),"")="","",IFERROR(INDEX('RAID Log'!$1:$1048576,$B791,MATCH("Status",'RAID Log'!$1:$1,0)),"")))</f>
        <v/>
      </c>
      <c r="M791" s="85" t="str">
        <f>IF($B791="","",IF(IFERROR(INDEX('RAID Log'!$1:$1048576,$B791,MATCH("RAID Owner",'RAID Log'!$1:$1,0)),"")="","",IFERROR(INDEX('RAID Log'!$1:$1048576,$B791,MATCH("RAID Owner",'RAID Log'!$1:$1,0)),"")))</f>
        <v/>
      </c>
      <c r="N791" s="87" t="str">
        <f>IF($B791="","",IF(IFERROR(INDEX('RAID Log'!$1:$1048576,$B791,MATCH("Date Raised",'RAID Log'!$1:$1,0)),"")="","",IFERROR(INDEX('RAID Log'!$1:$1048576,$B791,MATCH("Date Raised",'RAID Log'!$1:$1,0)),"")))</f>
        <v/>
      </c>
      <c r="O791" s="87" t="str">
        <f>IF($B791="","",IF(IFERROR(INDEX('RAID Log'!$1:$1048576,$B791,MATCH("Closed Date",'RAID Log'!$1:$1,0)),"")="","",IFERROR(INDEX('RAID Log'!$1:$1048576,$B791,MATCH("Closed Date",'RAID Log'!$1:$1,0)),"")))</f>
        <v/>
      </c>
      <c r="P791" s="85" t="str">
        <f>IF($B791="","",IF(IFERROR(INDEX('RAID Log'!$1:$1048576,$B791,MATCH("Mitigation Strategy",'RAID Log'!$1:$1,0)),"")="","",IFERROR(INDEX('RAID Log'!$1:$1048576,$B791,MATCH("Mitigation Strategy",'RAID Log'!$1:$1,0)),"")))</f>
        <v/>
      </c>
      <c r="Q791" s="88" t="str">
        <f>IF($B791="","",IF(IFERROR(INDEX('RAID Log'!$1:$1048576,$B791,MATCH("RAID Response/Plan",'RAID Log'!$1:$1,0)),"")="","",IFERROR(INDEX('RAID Log'!$1:$1048576,$B791,MATCH("RAID Response/Plan",'RAID Log'!$1:$1,0)),"")))</f>
        <v/>
      </c>
    </row>
    <row r="792" spans="1:17" ht="14.25" customHeight="1">
      <c r="A792" s="82" t="str">
        <f>IF($B792="","",IF(IFERROR(INDEX('RAID Log'!$1:$1048576,$B792,MATCH("RAID ID",'RAID Log'!$1:$1,0)),"")="","",IFERROR(INDEX('RAID Log'!$1:$1048576,$B792,MATCH("RAID ID",'RAID Log'!$1:$1,0)),"")))</f>
        <v/>
      </c>
      <c r="B792" s="83" t="str">
        <f>IFERROR(MATCH(ROW()-1,'RAID Log'!$S:$S,0),"")</f>
        <v/>
      </c>
      <c r="C792" s="84" t="str">
        <f>IF($B792="","",IF(IFERROR(INDEX('RAID Log'!$1:$1048576,$B792,MATCH("Description",'RAID Log'!$1:$1,0)),"")="","",IFERROR(INDEX('RAID Log'!$1:$1048576,$B792,MATCH("Description",'RAID Log'!$1:$1,0)),"")))</f>
        <v/>
      </c>
      <c r="D792" s="84" t="str">
        <f>IF($B792="","",IF(IFERROR(INDEX('RAID Log'!$1:$1048576,$B792,MATCH("Impact/Effect of the RAID",'RAID Log'!$1:$1,0)),"")="","",IFERROR(INDEX('RAID Log'!$1:$1048576,$B792,MATCH("Impact/Effect of the RAID",'RAID Log'!$1:$1,0)),"")))</f>
        <v/>
      </c>
      <c r="E792" s="85" t="str">
        <f>IF($B792="","",IF(IFERROR(INDEX('RAID Log'!$1:$1048576,$B792,MATCH("Impact Area",'RAID Log'!$1:$1,0)),"")="","",IFERROR(INDEX('RAID Log'!$1:$1048576,$B792,MATCH("Impact Area",'RAID Log'!$1:$1,0)),"")))</f>
        <v/>
      </c>
      <c r="F792" s="85" t="str">
        <f>IF($B792="","",IF(IFERROR(INDEX('RAID Log'!$1:$1048576,$B792,MATCH("Impact Area",'RAID Log'!$1:$1,0)),"")="","",IFERROR(INDEX('RAID Log'!$1:$1048576,$B792,MATCH("Impact Area",'RAID Log'!$1:$1,0)),"")))</f>
        <v/>
      </c>
      <c r="G792" s="85" t="str">
        <f>IF($B792="","",IF(IFERROR(INDEX('RAID Log'!$1:$1048576,$B792,MATCH("Impact Rating",'RAID Log'!$1:$1,0)),"")="","",IFERROR(INDEX('RAID Log'!$1:$1048576,$B792,MATCH("Impact Rating",'RAID Log'!$1:$1,0)),"")))</f>
        <v/>
      </c>
      <c r="H792" s="85" t="str">
        <f>IF($B792="","",IF(IFERROR(INDEX('RAID Log'!$1:$1048576,$B792,MATCH("Initial Probability",'RAID Log'!$1:$1,0)),"")="","",IFERROR(INDEX('RAID Log'!$1:$1048576,$B792,MATCH("Initial Probability",'RAID Log'!$1:$1,0)),"")))</f>
        <v/>
      </c>
      <c r="I792" s="86" t="str">
        <f t="shared" si="36"/>
        <v/>
      </c>
      <c r="J792" s="85" t="str">
        <f t="shared" si="37"/>
        <v/>
      </c>
      <c r="K792" s="86" t="str">
        <f t="shared" si="38"/>
        <v/>
      </c>
      <c r="L792" s="85" t="str">
        <f>IF($B792="","",IF(IFERROR(INDEX('RAID Log'!$1:$1048576,$B792,MATCH("Status",'RAID Log'!$1:$1,0)),"")="","",IFERROR(INDEX('RAID Log'!$1:$1048576,$B792,MATCH("Status",'RAID Log'!$1:$1,0)),"")))</f>
        <v/>
      </c>
      <c r="M792" s="85" t="str">
        <f>IF($B792="","",IF(IFERROR(INDEX('RAID Log'!$1:$1048576,$B792,MATCH("RAID Owner",'RAID Log'!$1:$1,0)),"")="","",IFERROR(INDEX('RAID Log'!$1:$1048576,$B792,MATCH("RAID Owner",'RAID Log'!$1:$1,0)),"")))</f>
        <v/>
      </c>
      <c r="N792" s="87" t="str">
        <f>IF($B792="","",IF(IFERROR(INDEX('RAID Log'!$1:$1048576,$B792,MATCH("Date Raised",'RAID Log'!$1:$1,0)),"")="","",IFERROR(INDEX('RAID Log'!$1:$1048576,$B792,MATCH("Date Raised",'RAID Log'!$1:$1,0)),"")))</f>
        <v/>
      </c>
      <c r="O792" s="87" t="str">
        <f>IF($B792="","",IF(IFERROR(INDEX('RAID Log'!$1:$1048576,$B792,MATCH("Closed Date",'RAID Log'!$1:$1,0)),"")="","",IFERROR(INDEX('RAID Log'!$1:$1048576,$B792,MATCH("Closed Date",'RAID Log'!$1:$1,0)),"")))</f>
        <v/>
      </c>
      <c r="P792" s="85" t="str">
        <f>IF($B792="","",IF(IFERROR(INDEX('RAID Log'!$1:$1048576,$B792,MATCH("Mitigation Strategy",'RAID Log'!$1:$1,0)),"")="","",IFERROR(INDEX('RAID Log'!$1:$1048576,$B792,MATCH("Mitigation Strategy",'RAID Log'!$1:$1,0)),"")))</f>
        <v/>
      </c>
      <c r="Q792" s="88" t="str">
        <f>IF($B792="","",IF(IFERROR(INDEX('RAID Log'!$1:$1048576,$B792,MATCH("RAID Response/Plan",'RAID Log'!$1:$1,0)),"")="","",IFERROR(INDEX('RAID Log'!$1:$1048576,$B792,MATCH("RAID Response/Plan",'RAID Log'!$1:$1,0)),"")))</f>
        <v/>
      </c>
    </row>
    <row r="793" spans="1:17" ht="14.25" customHeight="1">
      <c r="A793" s="82" t="str">
        <f>IF($B793="","",IF(IFERROR(INDEX('RAID Log'!$1:$1048576,$B793,MATCH("RAID ID",'RAID Log'!$1:$1,0)),"")="","",IFERROR(INDEX('RAID Log'!$1:$1048576,$B793,MATCH("RAID ID",'RAID Log'!$1:$1,0)),"")))</f>
        <v/>
      </c>
      <c r="B793" s="83" t="str">
        <f>IFERROR(MATCH(ROW()-1,'RAID Log'!$S:$S,0),"")</f>
        <v/>
      </c>
      <c r="C793" s="84" t="str">
        <f>IF($B793="","",IF(IFERROR(INDEX('RAID Log'!$1:$1048576,$B793,MATCH("Description",'RAID Log'!$1:$1,0)),"")="","",IFERROR(INDEX('RAID Log'!$1:$1048576,$B793,MATCH("Description",'RAID Log'!$1:$1,0)),"")))</f>
        <v/>
      </c>
      <c r="D793" s="84" t="str">
        <f>IF($B793="","",IF(IFERROR(INDEX('RAID Log'!$1:$1048576,$B793,MATCH("Impact/Effect of the RAID",'RAID Log'!$1:$1,0)),"")="","",IFERROR(INDEX('RAID Log'!$1:$1048576,$B793,MATCH("Impact/Effect of the RAID",'RAID Log'!$1:$1,0)),"")))</f>
        <v/>
      </c>
      <c r="E793" s="85" t="str">
        <f>IF($B793="","",IF(IFERROR(INDEX('RAID Log'!$1:$1048576,$B793,MATCH("Impact Area",'RAID Log'!$1:$1,0)),"")="","",IFERROR(INDEX('RAID Log'!$1:$1048576,$B793,MATCH("Impact Area",'RAID Log'!$1:$1,0)),"")))</f>
        <v/>
      </c>
      <c r="F793" s="85" t="str">
        <f>IF($B793="","",IF(IFERROR(INDEX('RAID Log'!$1:$1048576,$B793,MATCH("Impact Area",'RAID Log'!$1:$1,0)),"")="","",IFERROR(INDEX('RAID Log'!$1:$1048576,$B793,MATCH("Impact Area",'RAID Log'!$1:$1,0)),"")))</f>
        <v/>
      </c>
      <c r="G793" s="85" t="str">
        <f>IF($B793="","",IF(IFERROR(INDEX('RAID Log'!$1:$1048576,$B793,MATCH("Impact Rating",'RAID Log'!$1:$1,0)),"")="","",IFERROR(INDEX('RAID Log'!$1:$1048576,$B793,MATCH("Impact Rating",'RAID Log'!$1:$1,0)),"")))</f>
        <v/>
      </c>
      <c r="H793" s="85" t="str">
        <f>IF($B793="","",IF(IFERROR(INDEX('RAID Log'!$1:$1048576,$B793,MATCH("Initial Probability",'RAID Log'!$1:$1,0)),"")="","",IFERROR(INDEX('RAID Log'!$1:$1048576,$B793,MATCH("Initial Probability",'RAID Log'!$1:$1,0)),"")))</f>
        <v/>
      </c>
      <c r="I793" s="86" t="str">
        <f t="shared" si="36"/>
        <v/>
      </c>
      <c r="J793" s="85" t="str">
        <f t="shared" si="37"/>
        <v/>
      </c>
      <c r="K793" s="86" t="str">
        <f t="shared" si="38"/>
        <v/>
      </c>
      <c r="L793" s="85" t="str">
        <f>IF($B793="","",IF(IFERROR(INDEX('RAID Log'!$1:$1048576,$B793,MATCH("Status",'RAID Log'!$1:$1,0)),"")="","",IFERROR(INDEX('RAID Log'!$1:$1048576,$B793,MATCH("Status",'RAID Log'!$1:$1,0)),"")))</f>
        <v/>
      </c>
      <c r="M793" s="85" t="str">
        <f>IF($B793="","",IF(IFERROR(INDEX('RAID Log'!$1:$1048576,$B793,MATCH("RAID Owner",'RAID Log'!$1:$1,0)),"")="","",IFERROR(INDEX('RAID Log'!$1:$1048576,$B793,MATCH("RAID Owner",'RAID Log'!$1:$1,0)),"")))</f>
        <v/>
      </c>
      <c r="N793" s="87" t="str">
        <f>IF($B793="","",IF(IFERROR(INDEX('RAID Log'!$1:$1048576,$B793,MATCH("Date Raised",'RAID Log'!$1:$1,0)),"")="","",IFERROR(INDEX('RAID Log'!$1:$1048576,$B793,MATCH("Date Raised",'RAID Log'!$1:$1,0)),"")))</f>
        <v/>
      </c>
      <c r="O793" s="87" t="str">
        <f>IF($B793="","",IF(IFERROR(INDEX('RAID Log'!$1:$1048576,$B793,MATCH("Closed Date",'RAID Log'!$1:$1,0)),"")="","",IFERROR(INDEX('RAID Log'!$1:$1048576,$B793,MATCH("Closed Date",'RAID Log'!$1:$1,0)),"")))</f>
        <v/>
      </c>
      <c r="P793" s="85" t="str">
        <f>IF($B793="","",IF(IFERROR(INDEX('RAID Log'!$1:$1048576,$B793,MATCH("Mitigation Strategy",'RAID Log'!$1:$1,0)),"")="","",IFERROR(INDEX('RAID Log'!$1:$1048576,$B793,MATCH("Mitigation Strategy",'RAID Log'!$1:$1,0)),"")))</f>
        <v/>
      </c>
      <c r="Q793" s="88" t="str">
        <f>IF($B793="","",IF(IFERROR(INDEX('RAID Log'!$1:$1048576,$B793,MATCH("RAID Response/Plan",'RAID Log'!$1:$1,0)),"")="","",IFERROR(INDEX('RAID Log'!$1:$1048576,$B793,MATCH("RAID Response/Plan",'RAID Log'!$1:$1,0)),"")))</f>
        <v/>
      </c>
    </row>
    <row r="794" spans="1:17" ht="14.25" customHeight="1">
      <c r="A794" s="82" t="str">
        <f>IF($B794="","",IF(IFERROR(INDEX('RAID Log'!$1:$1048576,$B794,MATCH("RAID ID",'RAID Log'!$1:$1,0)),"")="","",IFERROR(INDEX('RAID Log'!$1:$1048576,$B794,MATCH("RAID ID",'RAID Log'!$1:$1,0)),"")))</f>
        <v/>
      </c>
      <c r="B794" s="83" t="str">
        <f>IFERROR(MATCH(ROW()-1,'RAID Log'!$S:$S,0),"")</f>
        <v/>
      </c>
      <c r="C794" s="84" t="str">
        <f>IF($B794="","",IF(IFERROR(INDEX('RAID Log'!$1:$1048576,$B794,MATCH("Description",'RAID Log'!$1:$1,0)),"")="","",IFERROR(INDEX('RAID Log'!$1:$1048576,$B794,MATCH("Description",'RAID Log'!$1:$1,0)),"")))</f>
        <v/>
      </c>
      <c r="D794" s="84" t="str">
        <f>IF($B794="","",IF(IFERROR(INDEX('RAID Log'!$1:$1048576,$B794,MATCH("Impact/Effect of the RAID",'RAID Log'!$1:$1,0)),"")="","",IFERROR(INDEX('RAID Log'!$1:$1048576,$B794,MATCH("Impact/Effect of the RAID",'RAID Log'!$1:$1,0)),"")))</f>
        <v/>
      </c>
      <c r="E794" s="85" t="str">
        <f>IF($B794="","",IF(IFERROR(INDEX('RAID Log'!$1:$1048576,$B794,MATCH("Impact Area",'RAID Log'!$1:$1,0)),"")="","",IFERROR(INDEX('RAID Log'!$1:$1048576,$B794,MATCH("Impact Area",'RAID Log'!$1:$1,0)),"")))</f>
        <v/>
      </c>
      <c r="F794" s="85" t="str">
        <f>IF($B794="","",IF(IFERROR(INDEX('RAID Log'!$1:$1048576,$B794,MATCH("Impact Area",'RAID Log'!$1:$1,0)),"")="","",IFERROR(INDEX('RAID Log'!$1:$1048576,$B794,MATCH("Impact Area",'RAID Log'!$1:$1,0)),"")))</f>
        <v/>
      </c>
      <c r="G794" s="85" t="str">
        <f>IF($B794="","",IF(IFERROR(INDEX('RAID Log'!$1:$1048576,$B794,MATCH("Impact Rating",'RAID Log'!$1:$1,0)),"")="","",IFERROR(INDEX('RAID Log'!$1:$1048576,$B794,MATCH("Impact Rating",'RAID Log'!$1:$1,0)),"")))</f>
        <v/>
      </c>
      <c r="H794" s="85" t="str">
        <f>IF($B794="","",IF(IFERROR(INDEX('RAID Log'!$1:$1048576,$B794,MATCH("Initial Probability",'RAID Log'!$1:$1,0)),"")="","",IFERROR(INDEX('RAID Log'!$1:$1048576,$B794,MATCH("Initial Probability",'RAID Log'!$1:$1,0)),"")))</f>
        <v/>
      </c>
      <c r="I794" s="86" t="str">
        <f t="shared" si="36"/>
        <v/>
      </c>
      <c r="J794" s="85" t="str">
        <f t="shared" si="37"/>
        <v/>
      </c>
      <c r="K794" s="86" t="str">
        <f t="shared" si="38"/>
        <v/>
      </c>
      <c r="L794" s="85" t="str">
        <f>IF($B794="","",IF(IFERROR(INDEX('RAID Log'!$1:$1048576,$B794,MATCH("Status",'RAID Log'!$1:$1,0)),"")="","",IFERROR(INDEX('RAID Log'!$1:$1048576,$B794,MATCH("Status",'RAID Log'!$1:$1,0)),"")))</f>
        <v/>
      </c>
      <c r="M794" s="85" t="str">
        <f>IF($B794="","",IF(IFERROR(INDEX('RAID Log'!$1:$1048576,$B794,MATCH("RAID Owner",'RAID Log'!$1:$1,0)),"")="","",IFERROR(INDEX('RAID Log'!$1:$1048576,$B794,MATCH("RAID Owner",'RAID Log'!$1:$1,0)),"")))</f>
        <v/>
      </c>
      <c r="N794" s="87" t="str">
        <f>IF($B794="","",IF(IFERROR(INDEX('RAID Log'!$1:$1048576,$B794,MATCH("Date Raised",'RAID Log'!$1:$1,0)),"")="","",IFERROR(INDEX('RAID Log'!$1:$1048576,$B794,MATCH("Date Raised",'RAID Log'!$1:$1,0)),"")))</f>
        <v/>
      </c>
      <c r="O794" s="87" t="str">
        <f>IF($B794="","",IF(IFERROR(INDEX('RAID Log'!$1:$1048576,$B794,MATCH("Closed Date",'RAID Log'!$1:$1,0)),"")="","",IFERROR(INDEX('RAID Log'!$1:$1048576,$B794,MATCH("Closed Date",'RAID Log'!$1:$1,0)),"")))</f>
        <v/>
      </c>
      <c r="P794" s="85" t="str">
        <f>IF($B794="","",IF(IFERROR(INDEX('RAID Log'!$1:$1048576,$B794,MATCH("Mitigation Strategy",'RAID Log'!$1:$1,0)),"")="","",IFERROR(INDEX('RAID Log'!$1:$1048576,$B794,MATCH("Mitigation Strategy",'RAID Log'!$1:$1,0)),"")))</f>
        <v/>
      </c>
      <c r="Q794" s="88" t="str">
        <f>IF($B794="","",IF(IFERROR(INDEX('RAID Log'!$1:$1048576,$B794,MATCH("RAID Response/Plan",'RAID Log'!$1:$1,0)),"")="","",IFERROR(INDEX('RAID Log'!$1:$1048576,$B794,MATCH("RAID Response/Plan",'RAID Log'!$1:$1,0)),"")))</f>
        <v/>
      </c>
    </row>
    <row r="795" spans="1:17" ht="14.25" customHeight="1">
      <c r="A795" s="82" t="str">
        <f>IF($B795="","",IF(IFERROR(INDEX('RAID Log'!$1:$1048576,$B795,MATCH("RAID ID",'RAID Log'!$1:$1,0)),"")="","",IFERROR(INDEX('RAID Log'!$1:$1048576,$B795,MATCH("RAID ID",'RAID Log'!$1:$1,0)),"")))</f>
        <v/>
      </c>
      <c r="B795" s="83" t="str">
        <f>IFERROR(MATCH(ROW()-1,'RAID Log'!$S:$S,0),"")</f>
        <v/>
      </c>
      <c r="C795" s="84" t="str">
        <f>IF($B795="","",IF(IFERROR(INDEX('RAID Log'!$1:$1048576,$B795,MATCH("Description",'RAID Log'!$1:$1,0)),"")="","",IFERROR(INDEX('RAID Log'!$1:$1048576,$B795,MATCH("Description",'RAID Log'!$1:$1,0)),"")))</f>
        <v/>
      </c>
      <c r="D795" s="84" t="str">
        <f>IF($B795="","",IF(IFERROR(INDEX('RAID Log'!$1:$1048576,$B795,MATCH("Impact/Effect of the RAID",'RAID Log'!$1:$1,0)),"")="","",IFERROR(INDEX('RAID Log'!$1:$1048576,$B795,MATCH("Impact/Effect of the RAID",'RAID Log'!$1:$1,0)),"")))</f>
        <v/>
      </c>
      <c r="E795" s="85" t="str">
        <f>IF($B795="","",IF(IFERROR(INDEX('RAID Log'!$1:$1048576,$B795,MATCH("Impact Area",'RAID Log'!$1:$1,0)),"")="","",IFERROR(INDEX('RAID Log'!$1:$1048576,$B795,MATCH("Impact Area",'RAID Log'!$1:$1,0)),"")))</f>
        <v/>
      </c>
      <c r="F795" s="85" t="str">
        <f>IF($B795="","",IF(IFERROR(INDEX('RAID Log'!$1:$1048576,$B795,MATCH("Impact Area",'RAID Log'!$1:$1,0)),"")="","",IFERROR(INDEX('RAID Log'!$1:$1048576,$B795,MATCH("Impact Area",'RAID Log'!$1:$1,0)),"")))</f>
        <v/>
      </c>
      <c r="G795" s="85" t="str">
        <f>IF($B795="","",IF(IFERROR(INDEX('RAID Log'!$1:$1048576,$B795,MATCH("Impact Rating",'RAID Log'!$1:$1,0)),"")="","",IFERROR(INDEX('RAID Log'!$1:$1048576,$B795,MATCH("Impact Rating",'RAID Log'!$1:$1,0)),"")))</f>
        <v/>
      </c>
      <c r="H795" s="85" t="str">
        <f>IF($B795="","",IF(IFERROR(INDEX('RAID Log'!$1:$1048576,$B795,MATCH("Initial Probability",'RAID Log'!$1:$1,0)),"")="","",IFERROR(INDEX('RAID Log'!$1:$1048576,$B795,MATCH("Initial Probability",'RAID Log'!$1:$1,0)),"")))</f>
        <v/>
      </c>
      <c r="I795" s="86" t="str">
        <f t="shared" si="36"/>
        <v/>
      </c>
      <c r="J795" s="85" t="str">
        <f t="shared" si="37"/>
        <v/>
      </c>
      <c r="K795" s="86" t="str">
        <f t="shared" si="38"/>
        <v/>
      </c>
      <c r="L795" s="85" t="str">
        <f>IF($B795="","",IF(IFERROR(INDEX('RAID Log'!$1:$1048576,$B795,MATCH("Status",'RAID Log'!$1:$1,0)),"")="","",IFERROR(INDEX('RAID Log'!$1:$1048576,$B795,MATCH("Status",'RAID Log'!$1:$1,0)),"")))</f>
        <v/>
      </c>
      <c r="M795" s="85" t="str">
        <f>IF($B795="","",IF(IFERROR(INDEX('RAID Log'!$1:$1048576,$B795,MATCH("RAID Owner",'RAID Log'!$1:$1,0)),"")="","",IFERROR(INDEX('RAID Log'!$1:$1048576,$B795,MATCH("RAID Owner",'RAID Log'!$1:$1,0)),"")))</f>
        <v/>
      </c>
      <c r="N795" s="87" t="str">
        <f>IF($B795="","",IF(IFERROR(INDEX('RAID Log'!$1:$1048576,$B795,MATCH("Date Raised",'RAID Log'!$1:$1,0)),"")="","",IFERROR(INDEX('RAID Log'!$1:$1048576,$B795,MATCH("Date Raised",'RAID Log'!$1:$1,0)),"")))</f>
        <v/>
      </c>
      <c r="O795" s="87" t="str">
        <f>IF($B795="","",IF(IFERROR(INDEX('RAID Log'!$1:$1048576,$B795,MATCH("Closed Date",'RAID Log'!$1:$1,0)),"")="","",IFERROR(INDEX('RAID Log'!$1:$1048576,$B795,MATCH("Closed Date",'RAID Log'!$1:$1,0)),"")))</f>
        <v/>
      </c>
      <c r="P795" s="85" t="str">
        <f>IF($B795="","",IF(IFERROR(INDEX('RAID Log'!$1:$1048576,$B795,MATCH("Mitigation Strategy",'RAID Log'!$1:$1,0)),"")="","",IFERROR(INDEX('RAID Log'!$1:$1048576,$B795,MATCH("Mitigation Strategy",'RAID Log'!$1:$1,0)),"")))</f>
        <v/>
      </c>
      <c r="Q795" s="88" t="str">
        <f>IF($B795="","",IF(IFERROR(INDEX('RAID Log'!$1:$1048576,$B795,MATCH("RAID Response/Plan",'RAID Log'!$1:$1,0)),"")="","",IFERROR(INDEX('RAID Log'!$1:$1048576,$B795,MATCH("RAID Response/Plan",'RAID Log'!$1:$1,0)),"")))</f>
        <v/>
      </c>
    </row>
    <row r="796" spans="1:17" ht="14.25" customHeight="1">
      <c r="A796" s="82" t="str">
        <f>IF($B796="","",IF(IFERROR(INDEX('RAID Log'!$1:$1048576,$B796,MATCH("RAID ID",'RAID Log'!$1:$1,0)),"")="","",IFERROR(INDEX('RAID Log'!$1:$1048576,$B796,MATCH("RAID ID",'RAID Log'!$1:$1,0)),"")))</f>
        <v/>
      </c>
      <c r="B796" s="83" t="str">
        <f>IFERROR(MATCH(ROW()-1,'RAID Log'!$S:$S,0),"")</f>
        <v/>
      </c>
      <c r="C796" s="84" t="str">
        <f>IF($B796="","",IF(IFERROR(INDEX('RAID Log'!$1:$1048576,$B796,MATCH("Description",'RAID Log'!$1:$1,0)),"")="","",IFERROR(INDEX('RAID Log'!$1:$1048576,$B796,MATCH("Description",'RAID Log'!$1:$1,0)),"")))</f>
        <v/>
      </c>
      <c r="D796" s="84" t="str">
        <f>IF($B796="","",IF(IFERROR(INDEX('RAID Log'!$1:$1048576,$B796,MATCH("Impact/Effect of the RAID",'RAID Log'!$1:$1,0)),"")="","",IFERROR(INDEX('RAID Log'!$1:$1048576,$B796,MATCH("Impact/Effect of the RAID",'RAID Log'!$1:$1,0)),"")))</f>
        <v/>
      </c>
      <c r="E796" s="85" t="str">
        <f>IF($B796="","",IF(IFERROR(INDEX('RAID Log'!$1:$1048576,$B796,MATCH("Impact Area",'RAID Log'!$1:$1,0)),"")="","",IFERROR(INDEX('RAID Log'!$1:$1048576,$B796,MATCH("Impact Area",'RAID Log'!$1:$1,0)),"")))</f>
        <v/>
      </c>
      <c r="F796" s="85" t="str">
        <f>IF($B796="","",IF(IFERROR(INDEX('RAID Log'!$1:$1048576,$B796,MATCH("Impact Area",'RAID Log'!$1:$1,0)),"")="","",IFERROR(INDEX('RAID Log'!$1:$1048576,$B796,MATCH("Impact Area",'RAID Log'!$1:$1,0)),"")))</f>
        <v/>
      </c>
      <c r="G796" s="85" t="str">
        <f>IF($B796="","",IF(IFERROR(INDEX('RAID Log'!$1:$1048576,$B796,MATCH("Impact Rating",'RAID Log'!$1:$1,0)),"")="","",IFERROR(INDEX('RAID Log'!$1:$1048576,$B796,MATCH("Impact Rating",'RAID Log'!$1:$1,0)),"")))</f>
        <v/>
      </c>
      <c r="H796" s="85" t="str">
        <f>IF($B796="","",IF(IFERROR(INDEX('RAID Log'!$1:$1048576,$B796,MATCH("Initial Probability",'RAID Log'!$1:$1,0)),"")="","",IFERROR(INDEX('RAID Log'!$1:$1048576,$B796,MATCH("Initial Probability",'RAID Log'!$1:$1,0)),"")))</f>
        <v/>
      </c>
      <c r="I796" s="86" t="str">
        <f t="shared" si="36"/>
        <v/>
      </c>
      <c r="J796" s="85" t="str">
        <f t="shared" si="37"/>
        <v/>
      </c>
      <c r="K796" s="86" t="str">
        <f t="shared" si="38"/>
        <v/>
      </c>
      <c r="L796" s="85" t="str">
        <f>IF($B796="","",IF(IFERROR(INDEX('RAID Log'!$1:$1048576,$B796,MATCH("Status",'RAID Log'!$1:$1,0)),"")="","",IFERROR(INDEX('RAID Log'!$1:$1048576,$B796,MATCH("Status",'RAID Log'!$1:$1,0)),"")))</f>
        <v/>
      </c>
      <c r="M796" s="85" t="str">
        <f>IF($B796="","",IF(IFERROR(INDEX('RAID Log'!$1:$1048576,$B796,MATCH("RAID Owner",'RAID Log'!$1:$1,0)),"")="","",IFERROR(INDEX('RAID Log'!$1:$1048576,$B796,MATCH("RAID Owner",'RAID Log'!$1:$1,0)),"")))</f>
        <v/>
      </c>
      <c r="N796" s="87" t="str">
        <f>IF($B796="","",IF(IFERROR(INDEX('RAID Log'!$1:$1048576,$B796,MATCH("Date Raised",'RAID Log'!$1:$1,0)),"")="","",IFERROR(INDEX('RAID Log'!$1:$1048576,$B796,MATCH("Date Raised",'RAID Log'!$1:$1,0)),"")))</f>
        <v/>
      </c>
      <c r="O796" s="87" t="str">
        <f>IF($B796="","",IF(IFERROR(INDEX('RAID Log'!$1:$1048576,$B796,MATCH("Closed Date",'RAID Log'!$1:$1,0)),"")="","",IFERROR(INDEX('RAID Log'!$1:$1048576,$B796,MATCH("Closed Date",'RAID Log'!$1:$1,0)),"")))</f>
        <v/>
      </c>
      <c r="P796" s="85" t="str">
        <f>IF($B796="","",IF(IFERROR(INDEX('RAID Log'!$1:$1048576,$B796,MATCH("Mitigation Strategy",'RAID Log'!$1:$1,0)),"")="","",IFERROR(INDEX('RAID Log'!$1:$1048576,$B796,MATCH("Mitigation Strategy",'RAID Log'!$1:$1,0)),"")))</f>
        <v/>
      </c>
      <c r="Q796" s="88" t="str">
        <f>IF($B796="","",IF(IFERROR(INDEX('RAID Log'!$1:$1048576,$B796,MATCH("RAID Response/Plan",'RAID Log'!$1:$1,0)),"")="","",IFERROR(INDEX('RAID Log'!$1:$1048576,$B796,MATCH("RAID Response/Plan",'RAID Log'!$1:$1,0)),"")))</f>
        <v/>
      </c>
    </row>
    <row r="797" spans="1:17" ht="14.25" customHeight="1">
      <c r="A797" s="82" t="str">
        <f>IF($B797="","",IF(IFERROR(INDEX('RAID Log'!$1:$1048576,$B797,MATCH("RAID ID",'RAID Log'!$1:$1,0)),"")="","",IFERROR(INDEX('RAID Log'!$1:$1048576,$B797,MATCH("RAID ID",'RAID Log'!$1:$1,0)),"")))</f>
        <v/>
      </c>
      <c r="B797" s="83" t="str">
        <f>IFERROR(MATCH(ROW()-1,'RAID Log'!$S:$S,0),"")</f>
        <v/>
      </c>
      <c r="C797" s="84" t="str">
        <f>IF($B797="","",IF(IFERROR(INDEX('RAID Log'!$1:$1048576,$B797,MATCH("Description",'RAID Log'!$1:$1,0)),"")="","",IFERROR(INDEX('RAID Log'!$1:$1048576,$B797,MATCH("Description",'RAID Log'!$1:$1,0)),"")))</f>
        <v/>
      </c>
      <c r="D797" s="84" t="str">
        <f>IF($B797="","",IF(IFERROR(INDEX('RAID Log'!$1:$1048576,$B797,MATCH("Impact/Effect of the RAID",'RAID Log'!$1:$1,0)),"")="","",IFERROR(INDEX('RAID Log'!$1:$1048576,$B797,MATCH("Impact/Effect of the RAID",'RAID Log'!$1:$1,0)),"")))</f>
        <v/>
      </c>
      <c r="E797" s="85" t="str">
        <f>IF($B797="","",IF(IFERROR(INDEX('RAID Log'!$1:$1048576,$B797,MATCH("Impact Area",'RAID Log'!$1:$1,0)),"")="","",IFERROR(INDEX('RAID Log'!$1:$1048576,$B797,MATCH("Impact Area",'RAID Log'!$1:$1,0)),"")))</f>
        <v/>
      </c>
      <c r="F797" s="85" t="str">
        <f>IF($B797="","",IF(IFERROR(INDEX('RAID Log'!$1:$1048576,$B797,MATCH("Impact Area",'RAID Log'!$1:$1,0)),"")="","",IFERROR(INDEX('RAID Log'!$1:$1048576,$B797,MATCH("Impact Area",'RAID Log'!$1:$1,0)),"")))</f>
        <v/>
      </c>
      <c r="G797" s="85" t="str">
        <f>IF($B797="","",IF(IFERROR(INDEX('RAID Log'!$1:$1048576,$B797,MATCH("Impact Rating",'RAID Log'!$1:$1,0)),"")="","",IFERROR(INDEX('RAID Log'!$1:$1048576,$B797,MATCH("Impact Rating",'RAID Log'!$1:$1,0)),"")))</f>
        <v/>
      </c>
      <c r="H797" s="85" t="str">
        <f>IF($B797="","",IF(IFERROR(INDEX('RAID Log'!$1:$1048576,$B797,MATCH("Initial Probability",'RAID Log'!$1:$1,0)),"")="","",IFERROR(INDEX('RAID Log'!$1:$1048576,$B797,MATCH("Initial Probability",'RAID Log'!$1:$1,0)),"")))</f>
        <v/>
      </c>
      <c r="I797" s="86" t="str">
        <f t="shared" si="36"/>
        <v/>
      </c>
      <c r="J797" s="85" t="str">
        <f t="shared" si="37"/>
        <v/>
      </c>
      <c r="K797" s="86" t="str">
        <f t="shared" si="38"/>
        <v/>
      </c>
      <c r="L797" s="85" t="str">
        <f>IF($B797="","",IF(IFERROR(INDEX('RAID Log'!$1:$1048576,$B797,MATCH("Status",'RAID Log'!$1:$1,0)),"")="","",IFERROR(INDEX('RAID Log'!$1:$1048576,$B797,MATCH("Status",'RAID Log'!$1:$1,0)),"")))</f>
        <v/>
      </c>
      <c r="M797" s="85" t="str">
        <f>IF($B797="","",IF(IFERROR(INDEX('RAID Log'!$1:$1048576,$B797,MATCH("RAID Owner",'RAID Log'!$1:$1,0)),"")="","",IFERROR(INDEX('RAID Log'!$1:$1048576,$B797,MATCH("RAID Owner",'RAID Log'!$1:$1,0)),"")))</f>
        <v/>
      </c>
      <c r="N797" s="87" t="str">
        <f>IF($B797="","",IF(IFERROR(INDEX('RAID Log'!$1:$1048576,$B797,MATCH("Date Raised",'RAID Log'!$1:$1,0)),"")="","",IFERROR(INDEX('RAID Log'!$1:$1048576,$B797,MATCH("Date Raised",'RAID Log'!$1:$1,0)),"")))</f>
        <v/>
      </c>
      <c r="O797" s="87" t="str">
        <f>IF($B797="","",IF(IFERROR(INDEX('RAID Log'!$1:$1048576,$B797,MATCH("Closed Date",'RAID Log'!$1:$1,0)),"")="","",IFERROR(INDEX('RAID Log'!$1:$1048576,$B797,MATCH("Closed Date",'RAID Log'!$1:$1,0)),"")))</f>
        <v/>
      </c>
      <c r="P797" s="85" t="str">
        <f>IF($B797="","",IF(IFERROR(INDEX('RAID Log'!$1:$1048576,$B797,MATCH("Mitigation Strategy",'RAID Log'!$1:$1,0)),"")="","",IFERROR(INDEX('RAID Log'!$1:$1048576,$B797,MATCH("Mitigation Strategy",'RAID Log'!$1:$1,0)),"")))</f>
        <v/>
      </c>
      <c r="Q797" s="88" t="str">
        <f>IF($B797="","",IF(IFERROR(INDEX('RAID Log'!$1:$1048576,$B797,MATCH("RAID Response/Plan",'RAID Log'!$1:$1,0)),"")="","",IFERROR(INDEX('RAID Log'!$1:$1048576,$B797,MATCH("RAID Response/Plan",'RAID Log'!$1:$1,0)),"")))</f>
        <v/>
      </c>
    </row>
    <row r="798" spans="1:17" ht="14.25" customHeight="1">
      <c r="A798" s="82" t="str">
        <f>IF($B798="","",IF(IFERROR(INDEX('RAID Log'!$1:$1048576,$B798,MATCH("RAID ID",'RAID Log'!$1:$1,0)),"")="","",IFERROR(INDEX('RAID Log'!$1:$1048576,$B798,MATCH("RAID ID",'RAID Log'!$1:$1,0)),"")))</f>
        <v/>
      </c>
      <c r="B798" s="83" t="str">
        <f>IFERROR(MATCH(ROW()-1,'RAID Log'!$S:$S,0),"")</f>
        <v/>
      </c>
      <c r="C798" s="84" t="str">
        <f>IF($B798="","",IF(IFERROR(INDEX('RAID Log'!$1:$1048576,$B798,MATCH("Description",'RAID Log'!$1:$1,0)),"")="","",IFERROR(INDEX('RAID Log'!$1:$1048576,$B798,MATCH("Description",'RAID Log'!$1:$1,0)),"")))</f>
        <v/>
      </c>
      <c r="D798" s="84" t="str">
        <f>IF($B798="","",IF(IFERROR(INDEX('RAID Log'!$1:$1048576,$B798,MATCH("Impact/Effect of the RAID",'RAID Log'!$1:$1,0)),"")="","",IFERROR(INDEX('RAID Log'!$1:$1048576,$B798,MATCH("Impact/Effect of the RAID",'RAID Log'!$1:$1,0)),"")))</f>
        <v/>
      </c>
      <c r="E798" s="85" t="str">
        <f>IF($B798="","",IF(IFERROR(INDEX('RAID Log'!$1:$1048576,$B798,MATCH("Impact Area",'RAID Log'!$1:$1,0)),"")="","",IFERROR(INDEX('RAID Log'!$1:$1048576,$B798,MATCH("Impact Area",'RAID Log'!$1:$1,0)),"")))</f>
        <v/>
      </c>
      <c r="F798" s="85" t="str">
        <f>IF($B798="","",IF(IFERROR(INDEX('RAID Log'!$1:$1048576,$B798,MATCH("Impact Area",'RAID Log'!$1:$1,0)),"")="","",IFERROR(INDEX('RAID Log'!$1:$1048576,$B798,MATCH("Impact Area",'RAID Log'!$1:$1,0)),"")))</f>
        <v/>
      </c>
      <c r="G798" s="85" t="str">
        <f>IF($B798="","",IF(IFERROR(INDEX('RAID Log'!$1:$1048576,$B798,MATCH("Impact Rating",'RAID Log'!$1:$1,0)),"")="","",IFERROR(INDEX('RAID Log'!$1:$1048576,$B798,MATCH("Impact Rating",'RAID Log'!$1:$1,0)),"")))</f>
        <v/>
      </c>
      <c r="H798" s="85" t="str">
        <f>IF($B798="","",IF(IFERROR(INDEX('RAID Log'!$1:$1048576,$B798,MATCH("Initial Probability",'RAID Log'!$1:$1,0)),"")="","",IFERROR(INDEX('RAID Log'!$1:$1048576,$B798,MATCH("Initial Probability",'RAID Log'!$1:$1,0)),"")))</f>
        <v/>
      </c>
      <c r="I798" s="86" t="str">
        <f t="shared" si="36"/>
        <v/>
      </c>
      <c r="J798" s="85" t="str">
        <f t="shared" si="37"/>
        <v/>
      </c>
      <c r="K798" s="86" t="str">
        <f t="shared" si="38"/>
        <v/>
      </c>
      <c r="L798" s="85" t="str">
        <f>IF($B798="","",IF(IFERROR(INDEX('RAID Log'!$1:$1048576,$B798,MATCH("Status",'RAID Log'!$1:$1,0)),"")="","",IFERROR(INDEX('RAID Log'!$1:$1048576,$B798,MATCH("Status",'RAID Log'!$1:$1,0)),"")))</f>
        <v/>
      </c>
      <c r="M798" s="85" t="str">
        <f>IF($B798="","",IF(IFERROR(INDEX('RAID Log'!$1:$1048576,$B798,MATCH("RAID Owner",'RAID Log'!$1:$1,0)),"")="","",IFERROR(INDEX('RAID Log'!$1:$1048576,$B798,MATCH("RAID Owner",'RAID Log'!$1:$1,0)),"")))</f>
        <v/>
      </c>
      <c r="N798" s="87" t="str">
        <f>IF($B798="","",IF(IFERROR(INDEX('RAID Log'!$1:$1048576,$B798,MATCH("Date Raised",'RAID Log'!$1:$1,0)),"")="","",IFERROR(INDEX('RAID Log'!$1:$1048576,$B798,MATCH("Date Raised",'RAID Log'!$1:$1,0)),"")))</f>
        <v/>
      </c>
      <c r="O798" s="87" t="str">
        <f>IF($B798="","",IF(IFERROR(INDEX('RAID Log'!$1:$1048576,$B798,MATCH("Closed Date",'RAID Log'!$1:$1,0)),"")="","",IFERROR(INDEX('RAID Log'!$1:$1048576,$B798,MATCH("Closed Date",'RAID Log'!$1:$1,0)),"")))</f>
        <v/>
      </c>
      <c r="P798" s="85" t="str">
        <f>IF($B798="","",IF(IFERROR(INDEX('RAID Log'!$1:$1048576,$B798,MATCH("Mitigation Strategy",'RAID Log'!$1:$1,0)),"")="","",IFERROR(INDEX('RAID Log'!$1:$1048576,$B798,MATCH("Mitigation Strategy",'RAID Log'!$1:$1,0)),"")))</f>
        <v/>
      </c>
      <c r="Q798" s="88" t="str">
        <f>IF($B798="","",IF(IFERROR(INDEX('RAID Log'!$1:$1048576,$B798,MATCH("RAID Response/Plan",'RAID Log'!$1:$1,0)),"")="","",IFERROR(INDEX('RAID Log'!$1:$1048576,$B798,MATCH("RAID Response/Plan",'RAID Log'!$1:$1,0)),"")))</f>
        <v/>
      </c>
    </row>
    <row r="799" spans="1:17" ht="14.25" customHeight="1">
      <c r="A799" s="82" t="str">
        <f>IF($B799="","",IF(IFERROR(INDEX('RAID Log'!$1:$1048576,$B799,MATCH("RAID ID",'RAID Log'!$1:$1,0)),"")="","",IFERROR(INDEX('RAID Log'!$1:$1048576,$B799,MATCH("RAID ID",'RAID Log'!$1:$1,0)),"")))</f>
        <v/>
      </c>
      <c r="B799" s="83" t="str">
        <f>IFERROR(MATCH(ROW()-1,'RAID Log'!$S:$S,0),"")</f>
        <v/>
      </c>
      <c r="C799" s="84" t="str">
        <f>IF($B799="","",IF(IFERROR(INDEX('RAID Log'!$1:$1048576,$B799,MATCH("Description",'RAID Log'!$1:$1,0)),"")="","",IFERROR(INDEX('RAID Log'!$1:$1048576,$B799,MATCH("Description",'RAID Log'!$1:$1,0)),"")))</f>
        <v/>
      </c>
      <c r="D799" s="84" t="str">
        <f>IF($B799="","",IF(IFERROR(INDEX('RAID Log'!$1:$1048576,$B799,MATCH("Impact/Effect of the RAID",'RAID Log'!$1:$1,0)),"")="","",IFERROR(INDEX('RAID Log'!$1:$1048576,$B799,MATCH("Impact/Effect of the RAID",'RAID Log'!$1:$1,0)),"")))</f>
        <v/>
      </c>
      <c r="E799" s="85" t="str">
        <f>IF($B799="","",IF(IFERROR(INDEX('RAID Log'!$1:$1048576,$B799,MATCH("Impact Area",'RAID Log'!$1:$1,0)),"")="","",IFERROR(INDEX('RAID Log'!$1:$1048576,$B799,MATCH("Impact Area",'RAID Log'!$1:$1,0)),"")))</f>
        <v/>
      </c>
      <c r="F799" s="85" t="str">
        <f>IF($B799="","",IF(IFERROR(INDEX('RAID Log'!$1:$1048576,$B799,MATCH("Impact Area",'RAID Log'!$1:$1,0)),"")="","",IFERROR(INDEX('RAID Log'!$1:$1048576,$B799,MATCH("Impact Area",'RAID Log'!$1:$1,0)),"")))</f>
        <v/>
      </c>
      <c r="G799" s="85" t="str">
        <f>IF($B799="","",IF(IFERROR(INDEX('RAID Log'!$1:$1048576,$B799,MATCH("Impact Rating",'RAID Log'!$1:$1,0)),"")="","",IFERROR(INDEX('RAID Log'!$1:$1048576,$B799,MATCH("Impact Rating",'RAID Log'!$1:$1,0)),"")))</f>
        <v/>
      </c>
      <c r="H799" s="85" t="str">
        <f>IF($B799="","",IF(IFERROR(INDEX('RAID Log'!$1:$1048576,$B799,MATCH("Initial Probability",'RAID Log'!$1:$1,0)),"")="","",IFERROR(INDEX('RAID Log'!$1:$1048576,$B799,MATCH("Initial Probability",'RAID Log'!$1:$1,0)),"")))</f>
        <v/>
      </c>
      <c r="I799" s="86" t="str">
        <f t="shared" si="36"/>
        <v/>
      </c>
      <c r="J799" s="85" t="str">
        <f t="shared" si="37"/>
        <v/>
      </c>
      <c r="K799" s="86" t="str">
        <f t="shared" si="38"/>
        <v/>
      </c>
      <c r="L799" s="85" t="str">
        <f>IF($B799="","",IF(IFERROR(INDEX('RAID Log'!$1:$1048576,$B799,MATCH("Status",'RAID Log'!$1:$1,0)),"")="","",IFERROR(INDEX('RAID Log'!$1:$1048576,$B799,MATCH("Status",'RAID Log'!$1:$1,0)),"")))</f>
        <v/>
      </c>
      <c r="M799" s="85" t="str">
        <f>IF($B799="","",IF(IFERROR(INDEX('RAID Log'!$1:$1048576,$B799,MATCH("RAID Owner",'RAID Log'!$1:$1,0)),"")="","",IFERROR(INDEX('RAID Log'!$1:$1048576,$B799,MATCH("RAID Owner",'RAID Log'!$1:$1,0)),"")))</f>
        <v/>
      </c>
      <c r="N799" s="87" t="str">
        <f>IF($B799="","",IF(IFERROR(INDEX('RAID Log'!$1:$1048576,$B799,MATCH("Date Raised",'RAID Log'!$1:$1,0)),"")="","",IFERROR(INDEX('RAID Log'!$1:$1048576,$B799,MATCH("Date Raised",'RAID Log'!$1:$1,0)),"")))</f>
        <v/>
      </c>
      <c r="O799" s="87" t="str">
        <f>IF($B799="","",IF(IFERROR(INDEX('RAID Log'!$1:$1048576,$B799,MATCH("Closed Date",'RAID Log'!$1:$1,0)),"")="","",IFERROR(INDEX('RAID Log'!$1:$1048576,$B799,MATCH("Closed Date",'RAID Log'!$1:$1,0)),"")))</f>
        <v/>
      </c>
      <c r="P799" s="85" t="str">
        <f>IF($B799="","",IF(IFERROR(INDEX('RAID Log'!$1:$1048576,$B799,MATCH("Mitigation Strategy",'RAID Log'!$1:$1,0)),"")="","",IFERROR(INDEX('RAID Log'!$1:$1048576,$B799,MATCH("Mitigation Strategy",'RAID Log'!$1:$1,0)),"")))</f>
        <v/>
      </c>
      <c r="Q799" s="88" t="str">
        <f>IF($B799="","",IF(IFERROR(INDEX('RAID Log'!$1:$1048576,$B799,MATCH("RAID Response/Plan",'RAID Log'!$1:$1,0)),"")="","",IFERROR(INDEX('RAID Log'!$1:$1048576,$B799,MATCH("RAID Response/Plan",'RAID Log'!$1:$1,0)),"")))</f>
        <v/>
      </c>
    </row>
    <row r="800" spans="1:17" ht="14.25" customHeight="1">
      <c r="A800" s="82" t="str">
        <f>IF($B800="","",IF(IFERROR(INDEX('RAID Log'!$1:$1048576,$B800,MATCH("RAID ID",'RAID Log'!$1:$1,0)),"")="","",IFERROR(INDEX('RAID Log'!$1:$1048576,$B800,MATCH("RAID ID",'RAID Log'!$1:$1,0)),"")))</f>
        <v/>
      </c>
      <c r="B800" s="83" t="str">
        <f>IFERROR(MATCH(ROW()-1,'RAID Log'!$S:$S,0),"")</f>
        <v/>
      </c>
      <c r="C800" s="84" t="str">
        <f>IF($B800="","",IF(IFERROR(INDEX('RAID Log'!$1:$1048576,$B800,MATCH("Description",'RAID Log'!$1:$1,0)),"")="","",IFERROR(INDEX('RAID Log'!$1:$1048576,$B800,MATCH("Description",'RAID Log'!$1:$1,0)),"")))</f>
        <v/>
      </c>
      <c r="D800" s="84" t="str">
        <f>IF($B800="","",IF(IFERROR(INDEX('RAID Log'!$1:$1048576,$B800,MATCH("Impact/Effect of the RAID",'RAID Log'!$1:$1,0)),"")="","",IFERROR(INDEX('RAID Log'!$1:$1048576,$B800,MATCH("Impact/Effect of the RAID",'RAID Log'!$1:$1,0)),"")))</f>
        <v/>
      </c>
      <c r="E800" s="85" t="str">
        <f>IF($B800="","",IF(IFERROR(INDEX('RAID Log'!$1:$1048576,$B800,MATCH("Impact Area",'RAID Log'!$1:$1,0)),"")="","",IFERROR(INDEX('RAID Log'!$1:$1048576,$B800,MATCH("Impact Area",'RAID Log'!$1:$1,0)),"")))</f>
        <v/>
      </c>
      <c r="F800" s="85" t="str">
        <f>IF($B800="","",IF(IFERROR(INDEX('RAID Log'!$1:$1048576,$B800,MATCH("Impact Area",'RAID Log'!$1:$1,0)),"")="","",IFERROR(INDEX('RAID Log'!$1:$1048576,$B800,MATCH("Impact Area",'RAID Log'!$1:$1,0)),"")))</f>
        <v/>
      </c>
      <c r="G800" s="85" t="str">
        <f>IF($B800="","",IF(IFERROR(INDEX('RAID Log'!$1:$1048576,$B800,MATCH("Impact Rating",'RAID Log'!$1:$1,0)),"")="","",IFERROR(INDEX('RAID Log'!$1:$1048576,$B800,MATCH("Impact Rating",'RAID Log'!$1:$1,0)),"")))</f>
        <v/>
      </c>
      <c r="H800" s="85" t="str">
        <f>IF($B800="","",IF(IFERROR(INDEX('RAID Log'!$1:$1048576,$B800,MATCH("Initial Probability",'RAID Log'!$1:$1,0)),"")="","",IFERROR(INDEX('RAID Log'!$1:$1048576,$B800,MATCH("Initial Probability",'RAID Log'!$1:$1,0)),"")))</f>
        <v/>
      </c>
      <c r="I800" s="86" t="str">
        <f t="shared" si="36"/>
        <v/>
      </c>
      <c r="J800" s="85" t="str">
        <f t="shared" si="37"/>
        <v/>
      </c>
      <c r="K800" s="86" t="str">
        <f t="shared" si="38"/>
        <v/>
      </c>
      <c r="L800" s="85" t="str">
        <f>IF($B800="","",IF(IFERROR(INDEX('RAID Log'!$1:$1048576,$B800,MATCH("Status",'RAID Log'!$1:$1,0)),"")="","",IFERROR(INDEX('RAID Log'!$1:$1048576,$B800,MATCH("Status",'RAID Log'!$1:$1,0)),"")))</f>
        <v/>
      </c>
      <c r="M800" s="85" t="str">
        <f>IF($B800="","",IF(IFERROR(INDEX('RAID Log'!$1:$1048576,$B800,MATCH("RAID Owner",'RAID Log'!$1:$1,0)),"")="","",IFERROR(INDEX('RAID Log'!$1:$1048576,$B800,MATCH("RAID Owner",'RAID Log'!$1:$1,0)),"")))</f>
        <v/>
      </c>
      <c r="N800" s="87" t="str">
        <f>IF($B800="","",IF(IFERROR(INDEX('RAID Log'!$1:$1048576,$B800,MATCH("Date Raised",'RAID Log'!$1:$1,0)),"")="","",IFERROR(INDEX('RAID Log'!$1:$1048576,$B800,MATCH("Date Raised",'RAID Log'!$1:$1,0)),"")))</f>
        <v/>
      </c>
      <c r="O800" s="87" t="str">
        <f>IF($B800="","",IF(IFERROR(INDEX('RAID Log'!$1:$1048576,$B800,MATCH("Closed Date",'RAID Log'!$1:$1,0)),"")="","",IFERROR(INDEX('RAID Log'!$1:$1048576,$B800,MATCH("Closed Date",'RAID Log'!$1:$1,0)),"")))</f>
        <v/>
      </c>
      <c r="P800" s="85" t="str">
        <f>IF($B800="","",IF(IFERROR(INDEX('RAID Log'!$1:$1048576,$B800,MATCH("Mitigation Strategy",'RAID Log'!$1:$1,0)),"")="","",IFERROR(INDEX('RAID Log'!$1:$1048576,$B800,MATCH("Mitigation Strategy",'RAID Log'!$1:$1,0)),"")))</f>
        <v/>
      </c>
      <c r="Q800" s="88" t="str">
        <f>IF($B800="","",IF(IFERROR(INDEX('RAID Log'!$1:$1048576,$B800,MATCH("RAID Response/Plan",'RAID Log'!$1:$1,0)),"")="","",IFERROR(INDEX('RAID Log'!$1:$1048576,$B800,MATCH("RAID Response/Plan",'RAID Log'!$1:$1,0)),"")))</f>
        <v/>
      </c>
    </row>
    <row r="801" spans="1:17" ht="14.25" customHeight="1">
      <c r="A801" s="82" t="str">
        <f>IF($B801="","",IF(IFERROR(INDEX('RAID Log'!$1:$1048576,$B801,MATCH("RAID ID",'RAID Log'!$1:$1,0)),"")="","",IFERROR(INDEX('RAID Log'!$1:$1048576,$B801,MATCH("RAID ID",'RAID Log'!$1:$1,0)),"")))</f>
        <v/>
      </c>
      <c r="B801" s="83" t="str">
        <f>IFERROR(MATCH(ROW()-1,'RAID Log'!$S:$S,0),"")</f>
        <v/>
      </c>
      <c r="C801" s="84" t="str">
        <f>IF($B801="","",IF(IFERROR(INDEX('RAID Log'!$1:$1048576,$B801,MATCH("Description",'RAID Log'!$1:$1,0)),"")="","",IFERROR(INDEX('RAID Log'!$1:$1048576,$B801,MATCH("Description",'RAID Log'!$1:$1,0)),"")))</f>
        <v/>
      </c>
      <c r="D801" s="84" t="str">
        <f>IF($B801="","",IF(IFERROR(INDEX('RAID Log'!$1:$1048576,$B801,MATCH("Impact/Effect of the RAID",'RAID Log'!$1:$1,0)),"")="","",IFERROR(INDEX('RAID Log'!$1:$1048576,$B801,MATCH("Impact/Effect of the RAID",'RAID Log'!$1:$1,0)),"")))</f>
        <v/>
      </c>
      <c r="E801" s="85" t="str">
        <f>IF($B801="","",IF(IFERROR(INDEX('RAID Log'!$1:$1048576,$B801,MATCH("Impact Area",'RAID Log'!$1:$1,0)),"")="","",IFERROR(INDEX('RAID Log'!$1:$1048576,$B801,MATCH("Impact Area",'RAID Log'!$1:$1,0)),"")))</f>
        <v/>
      </c>
      <c r="F801" s="85" t="str">
        <f>IF($B801="","",IF(IFERROR(INDEX('RAID Log'!$1:$1048576,$B801,MATCH("Impact Area",'RAID Log'!$1:$1,0)),"")="","",IFERROR(INDEX('RAID Log'!$1:$1048576,$B801,MATCH("Impact Area",'RAID Log'!$1:$1,0)),"")))</f>
        <v/>
      </c>
      <c r="G801" s="85" t="str">
        <f>IF($B801="","",IF(IFERROR(INDEX('RAID Log'!$1:$1048576,$B801,MATCH("Impact Rating",'RAID Log'!$1:$1,0)),"")="","",IFERROR(INDEX('RAID Log'!$1:$1048576,$B801,MATCH("Impact Rating",'RAID Log'!$1:$1,0)),"")))</f>
        <v/>
      </c>
      <c r="H801" s="85" t="str">
        <f>IF($B801="","",IF(IFERROR(INDEX('RAID Log'!$1:$1048576,$B801,MATCH("Initial Probability",'RAID Log'!$1:$1,0)),"")="","",IFERROR(INDEX('RAID Log'!$1:$1048576,$B801,MATCH("Initial Probability",'RAID Log'!$1:$1,0)),"")))</f>
        <v/>
      </c>
      <c r="I801" s="86" t="str">
        <f t="shared" si="36"/>
        <v/>
      </c>
      <c r="J801" s="85" t="str">
        <f t="shared" si="37"/>
        <v/>
      </c>
      <c r="K801" s="86" t="str">
        <f t="shared" si="38"/>
        <v/>
      </c>
      <c r="L801" s="85" t="str">
        <f>IF($B801="","",IF(IFERROR(INDEX('RAID Log'!$1:$1048576,$B801,MATCH("Status",'RAID Log'!$1:$1,0)),"")="","",IFERROR(INDEX('RAID Log'!$1:$1048576,$B801,MATCH("Status",'RAID Log'!$1:$1,0)),"")))</f>
        <v/>
      </c>
      <c r="M801" s="85" t="str">
        <f>IF($B801="","",IF(IFERROR(INDEX('RAID Log'!$1:$1048576,$B801,MATCH("RAID Owner",'RAID Log'!$1:$1,0)),"")="","",IFERROR(INDEX('RAID Log'!$1:$1048576,$B801,MATCH("RAID Owner",'RAID Log'!$1:$1,0)),"")))</f>
        <v/>
      </c>
      <c r="N801" s="87" t="str">
        <f>IF($B801="","",IF(IFERROR(INDEX('RAID Log'!$1:$1048576,$B801,MATCH("Date Raised",'RAID Log'!$1:$1,0)),"")="","",IFERROR(INDEX('RAID Log'!$1:$1048576,$B801,MATCH("Date Raised",'RAID Log'!$1:$1,0)),"")))</f>
        <v/>
      </c>
      <c r="O801" s="87" t="str">
        <f>IF($B801="","",IF(IFERROR(INDEX('RAID Log'!$1:$1048576,$B801,MATCH("Closed Date",'RAID Log'!$1:$1,0)),"")="","",IFERROR(INDEX('RAID Log'!$1:$1048576,$B801,MATCH("Closed Date",'RAID Log'!$1:$1,0)),"")))</f>
        <v/>
      </c>
      <c r="P801" s="85" t="str">
        <f>IF($B801="","",IF(IFERROR(INDEX('RAID Log'!$1:$1048576,$B801,MATCH("Mitigation Strategy",'RAID Log'!$1:$1,0)),"")="","",IFERROR(INDEX('RAID Log'!$1:$1048576,$B801,MATCH("Mitigation Strategy",'RAID Log'!$1:$1,0)),"")))</f>
        <v/>
      </c>
      <c r="Q801" s="88" t="str">
        <f>IF($B801="","",IF(IFERROR(INDEX('RAID Log'!$1:$1048576,$B801,MATCH("RAID Response/Plan",'RAID Log'!$1:$1,0)),"")="","",IFERROR(INDEX('RAID Log'!$1:$1048576,$B801,MATCH("RAID Response/Plan",'RAID Log'!$1:$1,0)),"")))</f>
        <v/>
      </c>
    </row>
    <row r="802" spans="1:17" ht="14.25" customHeight="1">
      <c r="A802" s="82" t="str">
        <f>IF($B802="","",IF(IFERROR(INDEX('RAID Log'!$1:$1048576,$B802,MATCH("RAID ID",'RAID Log'!$1:$1,0)),"")="","",IFERROR(INDEX('RAID Log'!$1:$1048576,$B802,MATCH("RAID ID",'RAID Log'!$1:$1,0)),"")))</f>
        <v/>
      </c>
      <c r="B802" s="83" t="str">
        <f>IFERROR(MATCH(ROW()-1,'RAID Log'!$S:$S,0),"")</f>
        <v/>
      </c>
      <c r="C802" s="84" t="str">
        <f>IF($B802="","",IF(IFERROR(INDEX('RAID Log'!$1:$1048576,$B802,MATCH("Description",'RAID Log'!$1:$1,0)),"")="","",IFERROR(INDEX('RAID Log'!$1:$1048576,$B802,MATCH("Description",'RAID Log'!$1:$1,0)),"")))</f>
        <v/>
      </c>
      <c r="D802" s="84" t="str">
        <f>IF($B802="","",IF(IFERROR(INDEX('RAID Log'!$1:$1048576,$B802,MATCH("Impact/Effect of the RAID",'RAID Log'!$1:$1,0)),"")="","",IFERROR(INDEX('RAID Log'!$1:$1048576,$B802,MATCH("Impact/Effect of the RAID",'RAID Log'!$1:$1,0)),"")))</f>
        <v/>
      </c>
      <c r="E802" s="85" t="str">
        <f>IF($B802="","",IF(IFERROR(INDEX('RAID Log'!$1:$1048576,$B802,MATCH("Impact Area",'RAID Log'!$1:$1,0)),"")="","",IFERROR(INDEX('RAID Log'!$1:$1048576,$B802,MATCH("Impact Area",'RAID Log'!$1:$1,0)),"")))</f>
        <v/>
      </c>
      <c r="F802" s="85" t="str">
        <f>IF($B802="","",IF(IFERROR(INDEX('RAID Log'!$1:$1048576,$B802,MATCH("Impact Area",'RAID Log'!$1:$1,0)),"")="","",IFERROR(INDEX('RAID Log'!$1:$1048576,$B802,MATCH("Impact Area",'RAID Log'!$1:$1,0)),"")))</f>
        <v/>
      </c>
      <c r="G802" s="85" t="str">
        <f>IF($B802="","",IF(IFERROR(INDEX('RAID Log'!$1:$1048576,$B802,MATCH("Impact Rating",'RAID Log'!$1:$1,0)),"")="","",IFERROR(INDEX('RAID Log'!$1:$1048576,$B802,MATCH("Impact Rating",'RAID Log'!$1:$1,0)),"")))</f>
        <v/>
      </c>
      <c r="H802" s="85" t="str">
        <f>IF($B802="","",IF(IFERROR(INDEX('RAID Log'!$1:$1048576,$B802,MATCH("Initial Probability",'RAID Log'!$1:$1,0)),"")="","",IFERROR(INDEX('RAID Log'!$1:$1048576,$B802,MATCH("Initial Probability",'RAID Log'!$1:$1,0)),"")))</f>
        <v/>
      </c>
      <c r="I802" s="86" t="str">
        <f t="shared" si="36"/>
        <v/>
      </c>
      <c r="J802" s="85" t="str">
        <f t="shared" si="37"/>
        <v/>
      </c>
      <c r="K802" s="86" t="str">
        <f t="shared" si="38"/>
        <v/>
      </c>
      <c r="L802" s="85" t="str">
        <f>IF($B802="","",IF(IFERROR(INDEX('RAID Log'!$1:$1048576,$B802,MATCH("Status",'RAID Log'!$1:$1,0)),"")="","",IFERROR(INDEX('RAID Log'!$1:$1048576,$B802,MATCH("Status",'RAID Log'!$1:$1,0)),"")))</f>
        <v/>
      </c>
      <c r="M802" s="85" t="str">
        <f>IF($B802="","",IF(IFERROR(INDEX('RAID Log'!$1:$1048576,$B802,MATCH("RAID Owner",'RAID Log'!$1:$1,0)),"")="","",IFERROR(INDEX('RAID Log'!$1:$1048576,$B802,MATCH("RAID Owner",'RAID Log'!$1:$1,0)),"")))</f>
        <v/>
      </c>
      <c r="N802" s="87" t="str">
        <f>IF($B802="","",IF(IFERROR(INDEX('RAID Log'!$1:$1048576,$B802,MATCH("Date Raised",'RAID Log'!$1:$1,0)),"")="","",IFERROR(INDEX('RAID Log'!$1:$1048576,$B802,MATCH("Date Raised",'RAID Log'!$1:$1,0)),"")))</f>
        <v/>
      </c>
      <c r="O802" s="87" t="str">
        <f>IF($B802="","",IF(IFERROR(INDEX('RAID Log'!$1:$1048576,$B802,MATCH("Closed Date",'RAID Log'!$1:$1,0)),"")="","",IFERROR(INDEX('RAID Log'!$1:$1048576,$B802,MATCH("Closed Date",'RAID Log'!$1:$1,0)),"")))</f>
        <v/>
      </c>
      <c r="P802" s="85" t="str">
        <f>IF($B802="","",IF(IFERROR(INDEX('RAID Log'!$1:$1048576,$B802,MATCH("Mitigation Strategy",'RAID Log'!$1:$1,0)),"")="","",IFERROR(INDEX('RAID Log'!$1:$1048576,$B802,MATCH("Mitigation Strategy",'RAID Log'!$1:$1,0)),"")))</f>
        <v/>
      </c>
      <c r="Q802" s="88" t="str">
        <f>IF($B802="","",IF(IFERROR(INDEX('RAID Log'!$1:$1048576,$B802,MATCH("RAID Response/Plan",'RAID Log'!$1:$1,0)),"")="","",IFERROR(INDEX('RAID Log'!$1:$1048576,$B802,MATCH("RAID Response/Plan",'RAID Log'!$1:$1,0)),"")))</f>
        <v/>
      </c>
    </row>
    <row r="803" spans="1:17" ht="14.25" customHeight="1">
      <c r="A803" s="82" t="str">
        <f>IF($B803="","",IF(IFERROR(INDEX('RAID Log'!$1:$1048576,$B803,MATCH("RAID ID",'RAID Log'!$1:$1,0)),"")="","",IFERROR(INDEX('RAID Log'!$1:$1048576,$B803,MATCH("RAID ID",'RAID Log'!$1:$1,0)),"")))</f>
        <v/>
      </c>
      <c r="B803" s="83" t="str">
        <f>IFERROR(MATCH(ROW()-1,'RAID Log'!$S:$S,0),"")</f>
        <v/>
      </c>
      <c r="C803" s="84" t="str">
        <f>IF($B803="","",IF(IFERROR(INDEX('RAID Log'!$1:$1048576,$B803,MATCH("Description",'RAID Log'!$1:$1,0)),"")="","",IFERROR(INDEX('RAID Log'!$1:$1048576,$B803,MATCH("Description",'RAID Log'!$1:$1,0)),"")))</f>
        <v/>
      </c>
      <c r="D803" s="84" t="str">
        <f>IF($B803="","",IF(IFERROR(INDEX('RAID Log'!$1:$1048576,$B803,MATCH("Impact/Effect of the RAID",'RAID Log'!$1:$1,0)),"")="","",IFERROR(INDEX('RAID Log'!$1:$1048576,$B803,MATCH("Impact/Effect of the RAID",'RAID Log'!$1:$1,0)),"")))</f>
        <v/>
      </c>
      <c r="E803" s="85" t="str">
        <f>IF($B803="","",IF(IFERROR(INDEX('RAID Log'!$1:$1048576,$B803,MATCH("Impact Area",'RAID Log'!$1:$1,0)),"")="","",IFERROR(INDEX('RAID Log'!$1:$1048576,$B803,MATCH("Impact Area",'RAID Log'!$1:$1,0)),"")))</f>
        <v/>
      </c>
      <c r="F803" s="85" t="str">
        <f>IF($B803="","",IF(IFERROR(INDEX('RAID Log'!$1:$1048576,$B803,MATCH("Impact Area",'RAID Log'!$1:$1,0)),"")="","",IFERROR(INDEX('RAID Log'!$1:$1048576,$B803,MATCH("Impact Area",'RAID Log'!$1:$1,0)),"")))</f>
        <v/>
      </c>
      <c r="G803" s="85" t="str">
        <f>IF($B803="","",IF(IFERROR(INDEX('RAID Log'!$1:$1048576,$B803,MATCH("Impact Rating",'RAID Log'!$1:$1,0)),"")="","",IFERROR(INDEX('RAID Log'!$1:$1048576,$B803,MATCH("Impact Rating",'RAID Log'!$1:$1,0)),"")))</f>
        <v/>
      </c>
      <c r="H803" s="85" t="str">
        <f>IF($B803="","",IF(IFERROR(INDEX('RAID Log'!$1:$1048576,$B803,MATCH("Initial Probability",'RAID Log'!$1:$1,0)),"")="","",IFERROR(INDEX('RAID Log'!$1:$1048576,$B803,MATCH("Initial Probability",'RAID Log'!$1:$1,0)),"")))</f>
        <v/>
      </c>
      <c r="I803" s="86" t="str">
        <f t="shared" si="36"/>
        <v/>
      </c>
      <c r="J803" s="85" t="str">
        <f t="shared" si="37"/>
        <v/>
      </c>
      <c r="K803" s="86" t="str">
        <f t="shared" si="38"/>
        <v/>
      </c>
      <c r="L803" s="85" t="str">
        <f>IF($B803="","",IF(IFERROR(INDEX('RAID Log'!$1:$1048576,$B803,MATCH("Status",'RAID Log'!$1:$1,0)),"")="","",IFERROR(INDEX('RAID Log'!$1:$1048576,$B803,MATCH("Status",'RAID Log'!$1:$1,0)),"")))</f>
        <v/>
      </c>
      <c r="M803" s="85" t="str">
        <f>IF($B803="","",IF(IFERROR(INDEX('RAID Log'!$1:$1048576,$B803,MATCH("RAID Owner",'RAID Log'!$1:$1,0)),"")="","",IFERROR(INDEX('RAID Log'!$1:$1048576,$B803,MATCH("RAID Owner",'RAID Log'!$1:$1,0)),"")))</f>
        <v/>
      </c>
      <c r="N803" s="87" t="str">
        <f>IF($B803="","",IF(IFERROR(INDEX('RAID Log'!$1:$1048576,$B803,MATCH("Date Raised",'RAID Log'!$1:$1,0)),"")="","",IFERROR(INDEX('RAID Log'!$1:$1048576,$B803,MATCH("Date Raised",'RAID Log'!$1:$1,0)),"")))</f>
        <v/>
      </c>
      <c r="O803" s="87" t="str">
        <f>IF($B803="","",IF(IFERROR(INDEX('RAID Log'!$1:$1048576,$B803,MATCH("Closed Date",'RAID Log'!$1:$1,0)),"")="","",IFERROR(INDEX('RAID Log'!$1:$1048576,$B803,MATCH("Closed Date",'RAID Log'!$1:$1,0)),"")))</f>
        <v/>
      </c>
      <c r="P803" s="85" t="str">
        <f>IF($B803="","",IF(IFERROR(INDEX('RAID Log'!$1:$1048576,$B803,MATCH("Mitigation Strategy",'RAID Log'!$1:$1,0)),"")="","",IFERROR(INDEX('RAID Log'!$1:$1048576,$B803,MATCH("Mitigation Strategy",'RAID Log'!$1:$1,0)),"")))</f>
        <v/>
      </c>
      <c r="Q803" s="88" t="str">
        <f>IF($B803="","",IF(IFERROR(INDEX('RAID Log'!$1:$1048576,$B803,MATCH("RAID Response/Plan",'RAID Log'!$1:$1,0)),"")="","",IFERROR(INDEX('RAID Log'!$1:$1048576,$B803,MATCH("RAID Response/Plan",'RAID Log'!$1:$1,0)),"")))</f>
        <v/>
      </c>
    </row>
    <row r="804" spans="1:17" ht="14.25" customHeight="1">
      <c r="A804" s="82" t="str">
        <f>IF($B804="","",IF(IFERROR(INDEX('RAID Log'!$1:$1048576,$B804,MATCH("RAID ID",'RAID Log'!$1:$1,0)),"")="","",IFERROR(INDEX('RAID Log'!$1:$1048576,$B804,MATCH("RAID ID",'RAID Log'!$1:$1,0)),"")))</f>
        <v/>
      </c>
      <c r="B804" s="83" t="str">
        <f>IFERROR(MATCH(ROW()-1,'RAID Log'!$S:$S,0),"")</f>
        <v/>
      </c>
      <c r="C804" s="84" t="str">
        <f>IF($B804="","",IF(IFERROR(INDEX('RAID Log'!$1:$1048576,$B804,MATCH("Description",'RAID Log'!$1:$1,0)),"")="","",IFERROR(INDEX('RAID Log'!$1:$1048576,$B804,MATCH("Description",'RAID Log'!$1:$1,0)),"")))</f>
        <v/>
      </c>
      <c r="D804" s="84" t="str">
        <f>IF($B804="","",IF(IFERROR(INDEX('RAID Log'!$1:$1048576,$B804,MATCH("Impact/Effect of the RAID",'RAID Log'!$1:$1,0)),"")="","",IFERROR(INDEX('RAID Log'!$1:$1048576,$B804,MATCH("Impact/Effect of the RAID",'RAID Log'!$1:$1,0)),"")))</f>
        <v/>
      </c>
      <c r="E804" s="85" t="str">
        <f>IF($B804="","",IF(IFERROR(INDEX('RAID Log'!$1:$1048576,$B804,MATCH("Impact Area",'RAID Log'!$1:$1,0)),"")="","",IFERROR(INDEX('RAID Log'!$1:$1048576,$B804,MATCH("Impact Area",'RAID Log'!$1:$1,0)),"")))</f>
        <v/>
      </c>
      <c r="F804" s="85" t="str">
        <f>IF($B804="","",IF(IFERROR(INDEX('RAID Log'!$1:$1048576,$B804,MATCH("Impact Area",'RAID Log'!$1:$1,0)),"")="","",IFERROR(INDEX('RAID Log'!$1:$1048576,$B804,MATCH("Impact Area",'RAID Log'!$1:$1,0)),"")))</f>
        <v/>
      </c>
      <c r="G804" s="85" t="str">
        <f>IF($B804="","",IF(IFERROR(INDEX('RAID Log'!$1:$1048576,$B804,MATCH("Impact Rating",'RAID Log'!$1:$1,0)),"")="","",IFERROR(INDEX('RAID Log'!$1:$1048576,$B804,MATCH("Impact Rating",'RAID Log'!$1:$1,0)),"")))</f>
        <v/>
      </c>
      <c r="H804" s="85" t="str">
        <f>IF($B804="","",IF(IFERROR(INDEX('RAID Log'!$1:$1048576,$B804,MATCH("Initial Probability",'RAID Log'!$1:$1,0)),"")="","",IFERROR(INDEX('RAID Log'!$1:$1048576,$B804,MATCH("Initial Probability",'RAID Log'!$1:$1,0)),"")))</f>
        <v/>
      </c>
      <c r="I804" s="86" t="str">
        <f t="shared" si="36"/>
        <v/>
      </c>
      <c r="J804" s="85" t="str">
        <f t="shared" si="37"/>
        <v/>
      </c>
      <c r="K804" s="86" t="str">
        <f t="shared" si="38"/>
        <v/>
      </c>
      <c r="L804" s="85" t="str">
        <f>IF($B804="","",IF(IFERROR(INDEX('RAID Log'!$1:$1048576,$B804,MATCH("Status",'RAID Log'!$1:$1,0)),"")="","",IFERROR(INDEX('RAID Log'!$1:$1048576,$B804,MATCH("Status",'RAID Log'!$1:$1,0)),"")))</f>
        <v/>
      </c>
      <c r="M804" s="85" t="str">
        <f>IF($B804="","",IF(IFERROR(INDEX('RAID Log'!$1:$1048576,$B804,MATCH("RAID Owner",'RAID Log'!$1:$1,0)),"")="","",IFERROR(INDEX('RAID Log'!$1:$1048576,$B804,MATCH("RAID Owner",'RAID Log'!$1:$1,0)),"")))</f>
        <v/>
      </c>
      <c r="N804" s="87" t="str">
        <f>IF($B804="","",IF(IFERROR(INDEX('RAID Log'!$1:$1048576,$B804,MATCH("Date Raised",'RAID Log'!$1:$1,0)),"")="","",IFERROR(INDEX('RAID Log'!$1:$1048576,$B804,MATCH("Date Raised",'RAID Log'!$1:$1,0)),"")))</f>
        <v/>
      </c>
      <c r="O804" s="87" t="str">
        <f>IF($B804="","",IF(IFERROR(INDEX('RAID Log'!$1:$1048576,$B804,MATCH("Closed Date",'RAID Log'!$1:$1,0)),"")="","",IFERROR(INDEX('RAID Log'!$1:$1048576,$B804,MATCH("Closed Date",'RAID Log'!$1:$1,0)),"")))</f>
        <v/>
      </c>
      <c r="P804" s="85" t="str">
        <f>IF($B804="","",IF(IFERROR(INDEX('RAID Log'!$1:$1048576,$B804,MATCH("Mitigation Strategy",'RAID Log'!$1:$1,0)),"")="","",IFERROR(INDEX('RAID Log'!$1:$1048576,$B804,MATCH("Mitigation Strategy",'RAID Log'!$1:$1,0)),"")))</f>
        <v/>
      </c>
      <c r="Q804" s="88" t="str">
        <f>IF($B804="","",IF(IFERROR(INDEX('RAID Log'!$1:$1048576,$B804,MATCH("RAID Response/Plan",'RAID Log'!$1:$1,0)),"")="","",IFERROR(INDEX('RAID Log'!$1:$1048576,$B804,MATCH("RAID Response/Plan",'RAID Log'!$1:$1,0)),"")))</f>
        <v/>
      </c>
    </row>
    <row r="805" spans="1:17" ht="14.25" customHeight="1">
      <c r="A805" s="82" t="str">
        <f>IF($B805="","",IF(IFERROR(INDEX('RAID Log'!$1:$1048576,$B805,MATCH("RAID ID",'RAID Log'!$1:$1,0)),"")="","",IFERROR(INDEX('RAID Log'!$1:$1048576,$B805,MATCH("RAID ID",'RAID Log'!$1:$1,0)),"")))</f>
        <v/>
      </c>
      <c r="B805" s="83" t="str">
        <f>IFERROR(MATCH(ROW()-1,'RAID Log'!$S:$S,0),"")</f>
        <v/>
      </c>
      <c r="C805" s="84" t="str">
        <f>IF($B805="","",IF(IFERROR(INDEX('RAID Log'!$1:$1048576,$B805,MATCH("Description",'RAID Log'!$1:$1,0)),"")="","",IFERROR(INDEX('RAID Log'!$1:$1048576,$B805,MATCH("Description",'RAID Log'!$1:$1,0)),"")))</f>
        <v/>
      </c>
      <c r="D805" s="84" t="str">
        <f>IF($B805="","",IF(IFERROR(INDEX('RAID Log'!$1:$1048576,$B805,MATCH("Impact/Effect of the RAID",'RAID Log'!$1:$1,0)),"")="","",IFERROR(INDEX('RAID Log'!$1:$1048576,$B805,MATCH("Impact/Effect of the RAID",'RAID Log'!$1:$1,0)),"")))</f>
        <v/>
      </c>
      <c r="E805" s="85" t="str">
        <f>IF($B805="","",IF(IFERROR(INDEX('RAID Log'!$1:$1048576,$B805,MATCH("Impact Area",'RAID Log'!$1:$1,0)),"")="","",IFERROR(INDEX('RAID Log'!$1:$1048576,$B805,MATCH("Impact Area",'RAID Log'!$1:$1,0)),"")))</f>
        <v/>
      </c>
      <c r="F805" s="85" t="str">
        <f>IF($B805="","",IF(IFERROR(INDEX('RAID Log'!$1:$1048576,$B805,MATCH("Impact Area",'RAID Log'!$1:$1,0)),"")="","",IFERROR(INDEX('RAID Log'!$1:$1048576,$B805,MATCH("Impact Area",'RAID Log'!$1:$1,0)),"")))</f>
        <v/>
      </c>
      <c r="G805" s="85" t="str">
        <f>IF($B805="","",IF(IFERROR(INDEX('RAID Log'!$1:$1048576,$B805,MATCH("Impact Rating",'RAID Log'!$1:$1,0)),"")="","",IFERROR(INDEX('RAID Log'!$1:$1048576,$B805,MATCH("Impact Rating",'RAID Log'!$1:$1,0)),"")))</f>
        <v/>
      </c>
      <c r="H805" s="85" t="str">
        <f>IF($B805="","",IF(IFERROR(INDEX('RAID Log'!$1:$1048576,$B805,MATCH("Initial Probability",'RAID Log'!$1:$1,0)),"")="","",IFERROR(INDEX('RAID Log'!$1:$1048576,$B805,MATCH("Initial Probability",'RAID Log'!$1:$1,0)),"")))</f>
        <v/>
      </c>
      <c r="I805" s="86" t="str">
        <f t="shared" si="36"/>
        <v/>
      </c>
      <c r="J805" s="85" t="str">
        <f t="shared" si="37"/>
        <v/>
      </c>
      <c r="K805" s="86" t="str">
        <f t="shared" si="38"/>
        <v/>
      </c>
      <c r="L805" s="85" t="str">
        <f>IF($B805="","",IF(IFERROR(INDEX('RAID Log'!$1:$1048576,$B805,MATCH("Status",'RAID Log'!$1:$1,0)),"")="","",IFERROR(INDEX('RAID Log'!$1:$1048576,$B805,MATCH("Status",'RAID Log'!$1:$1,0)),"")))</f>
        <v/>
      </c>
      <c r="M805" s="85" t="str">
        <f>IF($B805="","",IF(IFERROR(INDEX('RAID Log'!$1:$1048576,$B805,MATCH("RAID Owner",'RAID Log'!$1:$1,0)),"")="","",IFERROR(INDEX('RAID Log'!$1:$1048576,$B805,MATCH("RAID Owner",'RAID Log'!$1:$1,0)),"")))</f>
        <v/>
      </c>
      <c r="N805" s="87" t="str">
        <f>IF($B805="","",IF(IFERROR(INDEX('RAID Log'!$1:$1048576,$B805,MATCH("Date Raised",'RAID Log'!$1:$1,0)),"")="","",IFERROR(INDEX('RAID Log'!$1:$1048576,$B805,MATCH("Date Raised",'RAID Log'!$1:$1,0)),"")))</f>
        <v/>
      </c>
      <c r="O805" s="87" t="str">
        <f>IF($B805="","",IF(IFERROR(INDEX('RAID Log'!$1:$1048576,$B805,MATCH("Closed Date",'RAID Log'!$1:$1,0)),"")="","",IFERROR(INDEX('RAID Log'!$1:$1048576,$B805,MATCH("Closed Date",'RAID Log'!$1:$1,0)),"")))</f>
        <v/>
      </c>
      <c r="P805" s="85" t="str">
        <f>IF($B805="","",IF(IFERROR(INDEX('RAID Log'!$1:$1048576,$B805,MATCH("Mitigation Strategy",'RAID Log'!$1:$1,0)),"")="","",IFERROR(INDEX('RAID Log'!$1:$1048576,$B805,MATCH("Mitigation Strategy",'RAID Log'!$1:$1,0)),"")))</f>
        <v/>
      </c>
      <c r="Q805" s="88" t="str">
        <f>IF($B805="","",IF(IFERROR(INDEX('RAID Log'!$1:$1048576,$B805,MATCH("RAID Response/Plan",'RAID Log'!$1:$1,0)),"")="","",IFERROR(INDEX('RAID Log'!$1:$1048576,$B805,MATCH("RAID Response/Plan",'RAID Log'!$1:$1,0)),"")))</f>
        <v/>
      </c>
    </row>
    <row r="806" spans="1:17" ht="14.25" customHeight="1">
      <c r="A806" s="82" t="str">
        <f>IF($B806="","",IF(IFERROR(INDEX('RAID Log'!$1:$1048576,$B806,MATCH("RAID ID",'RAID Log'!$1:$1,0)),"")="","",IFERROR(INDEX('RAID Log'!$1:$1048576,$B806,MATCH("RAID ID",'RAID Log'!$1:$1,0)),"")))</f>
        <v/>
      </c>
      <c r="B806" s="83" t="str">
        <f>IFERROR(MATCH(ROW()-1,'RAID Log'!$S:$S,0),"")</f>
        <v/>
      </c>
      <c r="C806" s="84" t="str">
        <f>IF($B806="","",IF(IFERROR(INDEX('RAID Log'!$1:$1048576,$B806,MATCH("Description",'RAID Log'!$1:$1,0)),"")="","",IFERROR(INDEX('RAID Log'!$1:$1048576,$B806,MATCH("Description",'RAID Log'!$1:$1,0)),"")))</f>
        <v/>
      </c>
      <c r="D806" s="84" t="str">
        <f>IF($B806="","",IF(IFERROR(INDEX('RAID Log'!$1:$1048576,$B806,MATCH("Impact/Effect of the RAID",'RAID Log'!$1:$1,0)),"")="","",IFERROR(INDEX('RAID Log'!$1:$1048576,$B806,MATCH("Impact/Effect of the RAID",'RAID Log'!$1:$1,0)),"")))</f>
        <v/>
      </c>
      <c r="E806" s="85" t="str">
        <f>IF($B806="","",IF(IFERROR(INDEX('RAID Log'!$1:$1048576,$B806,MATCH("Impact Area",'RAID Log'!$1:$1,0)),"")="","",IFERROR(INDEX('RAID Log'!$1:$1048576,$B806,MATCH("Impact Area",'RAID Log'!$1:$1,0)),"")))</f>
        <v/>
      </c>
      <c r="F806" s="85" t="str">
        <f>IF($B806="","",IF(IFERROR(INDEX('RAID Log'!$1:$1048576,$B806,MATCH("Impact Area",'RAID Log'!$1:$1,0)),"")="","",IFERROR(INDEX('RAID Log'!$1:$1048576,$B806,MATCH("Impact Area",'RAID Log'!$1:$1,0)),"")))</f>
        <v/>
      </c>
      <c r="G806" s="85" t="str">
        <f>IF($B806="","",IF(IFERROR(INDEX('RAID Log'!$1:$1048576,$B806,MATCH("Impact Rating",'RAID Log'!$1:$1,0)),"")="","",IFERROR(INDEX('RAID Log'!$1:$1048576,$B806,MATCH("Impact Rating",'RAID Log'!$1:$1,0)),"")))</f>
        <v/>
      </c>
      <c r="H806" s="85" t="str">
        <f>IF($B806="","",IF(IFERROR(INDEX('RAID Log'!$1:$1048576,$B806,MATCH("Initial Probability",'RAID Log'!$1:$1,0)),"")="","",IFERROR(INDEX('RAID Log'!$1:$1048576,$B806,MATCH("Initial Probability",'RAID Log'!$1:$1,0)),"")))</f>
        <v/>
      </c>
      <c r="I806" s="86" t="str">
        <f t="shared" si="36"/>
        <v/>
      </c>
      <c r="J806" s="85" t="str">
        <f t="shared" si="37"/>
        <v/>
      </c>
      <c r="K806" s="86" t="str">
        <f t="shared" si="38"/>
        <v/>
      </c>
      <c r="L806" s="85" t="str">
        <f>IF($B806="","",IF(IFERROR(INDEX('RAID Log'!$1:$1048576,$B806,MATCH("Status",'RAID Log'!$1:$1,0)),"")="","",IFERROR(INDEX('RAID Log'!$1:$1048576,$B806,MATCH("Status",'RAID Log'!$1:$1,0)),"")))</f>
        <v/>
      </c>
      <c r="M806" s="85" t="str">
        <f>IF($B806="","",IF(IFERROR(INDEX('RAID Log'!$1:$1048576,$B806,MATCH("RAID Owner",'RAID Log'!$1:$1,0)),"")="","",IFERROR(INDEX('RAID Log'!$1:$1048576,$B806,MATCH("RAID Owner",'RAID Log'!$1:$1,0)),"")))</f>
        <v/>
      </c>
      <c r="N806" s="87" t="str">
        <f>IF($B806="","",IF(IFERROR(INDEX('RAID Log'!$1:$1048576,$B806,MATCH("Date Raised",'RAID Log'!$1:$1,0)),"")="","",IFERROR(INDEX('RAID Log'!$1:$1048576,$B806,MATCH("Date Raised",'RAID Log'!$1:$1,0)),"")))</f>
        <v/>
      </c>
      <c r="O806" s="87" t="str">
        <f>IF($B806="","",IF(IFERROR(INDEX('RAID Log'!$1:$1048576,$B806,MATCH("Closed Date",'RAID Log'!$1:$1,0)),"")="","",IFERROR(INDEX('RAID Log'!$1:$1048576,$B806,MATCH("Closed Date",'RAID Log'!$1:$1,0)),"")))</f>
        <v/>
      </c>
      <c r="P806" s="85" t="str">
        <f>IF($B806="","",IF(IFERROR(INDEX('RAID Log'!$1:$1048576,$B806,MATCH("Mitigation Strategy",'RAID Log'!$1:$1,0)),"")="","",IFERROR(INDEX('RAID Log'!$1:$1048576,$B806,MATCH("Mitigation Strategy",'RAID Log'!$1:$1,0)),"")))</f>
        <v/>
      </c>
      <c r="Q806" s="88" t="str">
        <f>IF($B806="","",IF(IFERROR(INDEX('RAID Log'!$1:$1048576,$B806,MATCH("RAID Response/Plan",'RAID Log'!$1:$1,0)),"")="","",IFERROR(INDEX('RAID Log'!$1:$1048576,$B806,MATCH("RAID Response/Plan",'RAID Log'!$1:$1,0)),"")))</f>
        <v/>
      </c>
    </row>
    <row r="807" spans="1:17" ht="14.25" customHeight="1">
      <c r="A807" s="82" t="str">
        <f>IF($B807="","",IF(IFERROR(INDEX('RAID Log'!$1:$1048576,$B807,MATCH("RAID ID",'RAID Log'!$1:$1,0)),"")="","",IFERROR(INDEX('RAID Log'!$1:$1048576,$B807,MATCH("RAID ID",'RAID Log'!$1:$1,0)),"")))</f>
        <v/>
      </c>
      <c r="B807" s="83" t="str">
        <f>IFERROR(MATCH(ROW()-1,'RAID Log'!$S:$S,0),"")</f>
        <v/>
      </c>
      <c r="C807" s="84" t="str">
        <f>IF($B807="","",IF(IFERROR(INDEX('RAID Log'!$1:$1048576,$B807,MATCH("Description",'RAID Log'!$1:$1,0)),"")="","",IFERROR(INDEX('RAID Log'!$1:$1048576,$B807,MATCH("Description",'RAID Log'!$1:$1,0)),"")))</f>
        <v/>
      </c>
      <c r="D807" s="84" t="str">
        <f>IF($B807="","",IF(IFERROR(INDEX('RAID Log'!$1:$1048576,$B807,MATCH("Impact/Effect of the RAID",'RAID Log'!$1:$1,0)),"")="","",IFERROR(INDEX('RAID Log'!$1:$1048576,$B807,MATCH("Impact/Effect of the RAID",'RAID Log'!$1:$1,0)),"")))</f>
        <v/>
      </c>
      <c r="E807" s="85" t="str">
        <f>IF($B807="","",IF(IFERROR(INDEX('RAID Log'!$1:$1048576,$B807,MATCH("Impact Area",'RAID Log'!$1:$1,0)),"")="","",IFERROR(INDEX('RAID Log'!$1:$1048576,$B807,MATCH("Impact Area",'RAID Log'!$1:$1,0)),"")))</f>
        <v/>
      </c>
      <c r="F807" s="85" t="str">
        <f>IF($B807="","",IF(IFERROR(INDEX('RAID Log'!$1:$1048576,$B807,MATCH("Impact Area",'RAID Log'!$1:$1,0)),"")="","",IFERROR(INDEX('RAID Log'!$1:$1048576,$B807,MATCH("Impact Area",'RAID Log'!$1:$1,0)),"")))</f>
        <v/>
      </c>
      <c r="G807" s="85" t="str">
        <f>IF($B807="","",IF(IFERROR(INDEX('RAID Log'!$1:$1048576,$B807,MATCH("Impact Rating",'RAID Log'!$1:$1,0)),"")="","",IFERROR(INDEX('RAID Log'!$1:$1048576,$B807,MATCH("Impact Rating",'RAID Log'!$1:$1,0)),"")))</f>
        <v/>
      </c>
      <c r="H807" s="85" t="str">
        <f>IF($B807="","",IF(IFERROR(INDEX('RAID Log'!$1:$1048576,$B807,MATCH("Initial Probability",'RAID Log'!$1:$1,0)),"")="","",IFERROR(INDEX('RAID Log'!$1:$1048576,$B807,MATCH("Initial Probability",'RAID Log'!$1:$1,0)),"")))</f>
        <v/>
      </c>
      <c r="I807" s="86" t="str">
        <f t="shared" si="36"/>
        <v/>
      </c>
      <c r="J807" s="85" t="str">
        <f t="shared" si="37"/>
        <v/>
      </c>
      <c r="K807" s="86" t="str">
        <f t="shared" si="38"/>
        <v/>
      </c>
      <c r="L807" s="85" t="str">
        <f>IF($B807="","",IF(IFERROR(INDEX('RAID Log'!$1:$1048576,$B807,MATCH("Status",'RAID Log'!$1:$1,0)),"")="","",IFERROR(INDEX('RAID Log'!$1:$1048576,$B807,MATCH("Status",'RAID Log'!$1:$1,0)),"")))</f>
        <v/>
      </c>
      <c r="M807" s="85" t="str">
        <f>IF($B807="","",IF(IFERROR(INDEX('RAID Log'!$1:$1048576,$B807,MATCH("RAID Owner",'RAID Log'!$1:$1,0)),"")="","",IFERROR(INDEX('RAID Log'!$1:$1048576,$B807,MATCH("RAID Owner",'RAID Log'!$1:$1,0)),"")))</f>
        <v/>
      </c>
      <c r="N807" s="87" t="str">
        <f>IF($B807="","",IF(IFERROR(INDEX('RAID Log'!$1:$1048576,$B807,MATCH("Date Raised",'RAID Log'!$1:$1,0)),"")="","",IFERROR(INDEX('RAID Log'!$1:$1048576,$B807,MATCH("Date Raised",'RAID Log'!$1:$1,0)),"")))</f>
        <v/>
      </c>
      <c r="O807" s="87" t="str">
        <f>IF($B807="","",IF(IFERROR(INDEX('RAID Log'!$1:$1048576,$B807,MATCH("Closed Date",'RAID Log'!$1:$1,0)),"")="","",IFERROR(INDEX('RAID Log'!$1:$1048576,$B807,MATCH("Closed Date",'RAID Log'!$1:$1,0)),"")))</f>
        <v/>
      </c>
      <c r="P807" s="85" t="str">
        <f>IF($B807="","",IF(IFERROR(INDEX('RAID Log'!$1:$1048576,$B807,MATCH("Mitigation Strategy",'RAID Log'!$1:$1,0)),"")="","",IFERROR(INDEX('RAID Log'!$1:$1048576,$B807,MATCH("Mitigation Strategy",'RAID Log'!$1:$1,0)),"")))</f>
        <v/>
      </c>
      <c r="Q807" s="88" t="str">
        <f>IF($B807="","",IF(IFERROR(INDEX('RAID Log'!$1:$1048576,$B807,MATCH("RAID Response/Plan",'RAID Log'!$1:$1,0)),"")="","",IFERROR(INDEX('RAID Log'!$1:$1048576,$B807,MATCH("RAID Response/Plan",'RAID Log'!$1:$1,0)),"")))</f>
        <v/>
      </c>
    </row>
    <row r="808" spans="1:17" ht="14.25" customHeight="1">
      <c r="A808" s="82" t="str">
        <f>IF($B808="","",IF(IFERROR(INDEX('RAID Log'!$1:$1048576,$B808,MATCH("RAID ID",'RAID Log'!$1:$1,0)),"")="","",IFERROR(INDEX('RAID Log'!$1:$1048576,$B808,MATCH("RAID ID",'RAID Log'!$1:$1,0)),"")))</f>
        <v/>
      </c>
      <c r="B808" s="83" t="str">
        <f>IFERROR(MATCH(ROW()-1,'RAID Log'!$S:$S,0),"")</f>
        <v/>
      </c>
      <c r="C808" s="84" t="str">
        <f>IF($B808="","",IF(IFERROR(INDEX('RAID Log'!$1:$1048576,$B808,MATCH("Description",'RAID Log'!$1:$1,0)),"")="","",IFERROR(INDEX('RAID Log'!$1:$1048576,$B808,MATCH("Description",'RAID Log'!$1:$1,0)),"")))</f>
        <v/>
      </c>
      <c r="D808" s="84" t="str">
        <f>IF($B808="","",IF(IFERROR(INDEX('RAID Log'!$1:$1048576,$B808,MATCH("Impact/Effect of the RAID",'RAID Log'!$1:$1,0)),"")="","",IFERROR(INDEX('RAID Log'!$1:$1048576,$B808,MATCH("Impact/Effect of the RAID",'RAID Log'!$1:$1,0)),"")))</f>
        <v/>
      </c>
      <c r="E808" s="85" t="str">
        <f>IF($B808="","",IF(IFERROR(INDEX('RAID Log'!$1:$1048576,$B808,MATCH("Impact Area",'RAID Log'!$1:$1,0)),"")="","",IFERROR(INDEX('RAID Log'!$1:$1048576,$B808,MATCH("Impact Area",'RAID Log'!$1:$1,0)),"")))</f>
        <v/>
      </c>
      <c r="F808" s="85" t="str">
        <f>IF($B808="","",IF(IFERROR(INDEX('RAID Log'!$1:$1048576,$B808,MATCH("Impact Area",'RAID Log'!$1:$1,0)),"")="","",IFERROR(INDEX('RAID Log'!$1:$1048576,$B808,MATCH("Impact Area",'RAID Log'!$1:$1,0)),"")))</f>
        <v/>
      </c>
      <c r="G808" s="85" t="str">
        <f>IF($B808="","",IF(IFERROR(INDEX('RAID Log'!$1:$1048576,$B808,MATCH("Impact Rating",'RAID Log'!$1:$1,0)),"")="","",IFERROR(INDEX('RAID Log'!$1:$1048576,$B808,MATCH("Impact Rating",'RAID Log'!$1:$1,0)),"")))</f>
        <v/>
      </c>
      <c r="H808" s="85" t="str">
        <f>IF($B808="","",IF(IFERROR(INDEX('RAID Log'!$1:$1048576,$B808,MATCH("Initial Probability",'RAID Log'!$1:$1,0)),"")="","",IFERROR(INDEX('RAID Log'!$1:$1048576,$B808,MATCH("Initial Probability",'RAID Log'!$1:$1,0)),"")))</f>
        <v/>
      </c>
      <c r="I808" s="86" t="str">
        <f t="shared" si="36"/>
        <v/>
      </c>
      <c r="J808" s="85" t="str">
        <f t="shared" si="37"/>
        <v/>
      </c>
      <c r="K808" s="86" t="str">
        <f t="shared" si="38"/>
        <v/>
      </c>
      <c r="L808" s="85" t="str">
        <f>IF($B808="","",IF(IFERROR(INDEX('RAID Log'!$1:$1048576,$B808,MATCH("Status",'RAID Log'!$1:$1,0)),"")="","",IFERROR(INDEX('RAID Log'!$1:$1048576,$B808,MATCH("Status",'RAID Log'!$1:$1,0)),"")))</f>
        <v/>
      </c>
      <c r="M808" s="85" t="str">
        <f>IF($B808="","",IF(IFERROR(INDEX('RAID Log'!$1:$1048576,$B808,MATCH("RAID Owner",'RAID Log'!$1:$1,0)),"")="","",IFERROR(INDEX('RAID Log'!$1:$1048576,$B808,MATCH("RAID Owner",'RAID Log'!$1:$1,0)),"")))</f>
        <v/>
      </c>
      <c r="N808" s="87" t="str">
        <f>IF($B808="","",IF(IFERROR(INDEX('RAID Log'!$1:$1048576,$B808,MATCH("Date Raised",'RAID Log'!$1:$1,0)),"")="","",IFERROR(INDEX('RAID Log'!$1:$1048576,$B808,MATCH("Date Raised",'RAID Log'!$1:$1,0)),"")))</f>
        <v/>
      </c>
      <c r="O808" s="87" t="str">
        <f>IF($B808="","",IF(IFERROR(INDEX('RAID Log'!$1:$1048576,$B808,MATCH("Closed Date",'RAID Log'!$1:$1,0)),"")="","",IFERROR(INDEX('RAID Log'!$1:$1048576,$B808,MATCH("Closed Date",'RAID Log'!$1:$1,0)),"")))</f>
        <v/>
      </c>
      <c r="P808" s="85" t="str">
        <f>IF($B808="","",IF(IFERROR(INDEX('RAID Log'!$1:$1048576,$B808,MATCH("Mitigation Strategy",'RAID Log'!$1:$1,0)),"")="","",IFERROR(INDEX('RAID Log'!$1:$1048576,$B808,MATCH("Mitigation Strategy",'RAID Log'!$1:$1,0)),"")))</f>
        <v/>
      </c>
      <c r="Q808" s="88" t="str">
        <f>IF($B808="","",IF(IFERROR(INDEX('RAID Log'!$1:$1048576,$B808,MATCH("RAID Response/Plan",'RAID Log'!$1:$1,0)),"")="","",IFERROR(INDEX('RAID Log'!$1:$1048576,$B808,MATCH("RAID Response/Plan",'RAID Log'!$1:$1,0)),"")))</f>
        <v/>
      </c>
    </row>
    <row r="809" spans="1:17" ht="14.25" customHeight="1">
      <c r="A809" s="82" t="str">
        <f>IF($B809="","",IF(IFERROR(INDEX('RAID Log'!$1:$1048576,$B809,MATCH("RAID ID",'RAID Log'!$1:$1,0)),"")="","",IFERROR(INDEX('RAID Log'!$1:$1048576,$B809,MATCH("RAID ID",'RAID Log'!$1:$1,0)),"")))</f>
        <v/>
      </c>
      <c r="B809" s="83" t="str">
        <f>IFERROR(MATCH(ROW()-1,'RAID Log'!$S:$S,0),"")</f>
        <v/>
      </c>
      <c r="C809" s="84" t="str">
        <f>IF($B809="","",IF(IFERROR(INDEX('RAID Log'!$1:$1048576,$B809,MATCH("Description",'RAID Log'!$1:$1,0)),"")="","",IFERROR(INDEX('RAID Log'!$1:$1048576,$B809,MATCH("Description",'RAID Log'!$1:$1,0)),"")))</f>
        <v/>
      </c>
      <c r="D809" s="84" t="str">
        <f>IF($B809="","",IF(IFERROR(INDEX('RAID Log'!$1:$1048576,$B809,MATCH("Impact/Effect of the RAID",'RAID Log'!$1:$1,0)),"")="","",IFERROR(INDEX('RAID Log'!$1:$1048576,$B809,MATCH("Impact/Effect of the RAID",'RAID Log'!$1:$1,0)),"")))</f>
        <v/>
      </c>
      <c r="E809" s="85" t="str">
        <f>IF($B809="","",IF(IFERROR(INDEX('RAID Log'!$1:$1048576,$B809,MATCH("Impact Area",'RAID Log'!$1:$1,0)),"")="","",IFERROR(INDEX('RAID Log'!$1:$1048576,$B809,MATCH("Impact Area",'RAID Log'!$1:$1,0)),"")))</f>
        <v/>
      </c>
      <c r="F809" s="85" t="str">
        <f>IF($B809="","",IF(IFERROR(INDEX('RAID Log'!$1:$1048576,$B809,MATCH("Impact Area",'RAID Log'!$1:$1,0)),"")="","",IFERROR(INDEX('RAID Log'!$1:$1048576,$B809,MATCH("Impact Area",'RAID Log'!$1:$1,0)),"")))</f>
        <v/>
      </c>
      <c r="G809" s="85" t="str">
        <f>IF($B809="","",IF(IFERROR(INDEX('RAID Log'!$1:$1048576,$B809,MATCH("Impact Rating",'RAID Log'!$1:$1,0)),"")="","",IFERROR(INDEX('RAID Log'!$1:$1048576,$B809,MATCH("Impact Rating",'RAID Log'!$1:$1,0)),"")))</f>
        <v/>
      </c>
      <c r="H809" s="85" t="str">
        <f>IF($B809="","",IF(IFERROR(INDEX('RAID Log'!$1:$1048576,$B809,MATCH("Initial Probability",'RAID Log'!$1:$1,0)),"")="","",IFERROR(INDEX('RAID Log'!$1:$1048576,$B809,MATCH("Initial Probability",'RAID Log'!$1:$1,0)),"")))</f>
        <v/>
      </c>
      <c r="I809" s="86" t="str">
        <f t="shared" si="36"/>
        <v/>
      </c>
      <c r="J809" s="85" t="str">
        <f t="shared" si="37"/>
        <v/>
      </c>
      <c r="K809" s="86" t="str">
        <f t="shared" si="38"/>
        <v/>
      </c>
      <c r="L809" s="85" t="str">
        <f>IF($B809="","",IF(IFERROR(INDEX('RAID Log'!$1:$1048576,$B809,MATCH("Status",'RAID Log'!$1:$1,0)),"")="","",IFERROR(INDEX('RAID Log'!$1:$1048576,$B809,MATCH("Status",'RAID Log'!$1:$1,0)),"")))</f>
        <v/>
      </c>
      <c r="M809" s="85" t="str">
        <f>IF($B809="","",IF(IFERROR(INDEX('RAID Log'!$1:$1048576,$B809,MATCH("RAID Owner",'RAID Log'!$1:$1,0)),"")="","",IFERROR(INDEX('RAID Log'!$1:$1048576,$B809,MATCH("RAID Owner",'RAID Log'!$1:$1,0)),"")))</f>
        <v/>
      </c>
      <c r="N809" s="87" t="str">
        <f>IF($B809="","",IF(IFERROR(INDEX('RAID Log'!$1:$1048576,$B809,MATCH("Date Raised",'RAID Log'!$1:$1,0)),"")="","",IFERROR(INDEX('RAID Log'!$1:$1048576,$B809,MATCH("Date Raised",'RAID Log'!$1:$1,0)),"")))</f>
        <v/>
      </c>
      <c r="O809" s="87" t="str">
        <f>IF($B809="","",IF(IFERROR(INDEX('RAID Log'!$1:$1048576,$B809,MATCH("Closed Date",'RAID Log'!$1:$1,0)),"")="","",IFERROR(INDEX('RAID Log'!$1:$1048576,$B809,MATCH("Closed Date",'RAID Log'!$1:$1,0)),"")))</f>
        <v/>
      </c>
      <c r="P809" s="85" t="str">
        <f>IF($B809="","",IF(IFERROR(INDEX('RAID Log'!$1:$1048576,$B809,MATCH("Mitigation Strategy",'RAID Log'!$1:$1,0)),"")="","",IFERROR(INDEX('RAID Log'!$1:$1048576,$B809,MATCH("Mitigation Strategy",'RAID Log'!$1:$1,0)),"")))</f>
        <v/>
      </c>
      <c r="Q809" s="88" t="str">
        <f>IF($B809="","",IF(IFERROR(INDEX('RAID Log'!$1:$1048576,$B809,MATCH("RAID Response/Plan",'RAID Log'!$1:$1,0)),"")="","",IFERROR(INDEX('RAID Log'!$1:$1048576,$B809,MATCH("RAID Response/Plan",'RAID Log'!$1:$1,0)),"")))</f>
        <v/>
      </c>
    </row>
    <row r="810" spans="1:17" ht="14.25" customHeight="1">
      <c r="A810" s="82" t="str">
        <f>IF($B810="","",IF(IFERROR(INDEX('RAID Log'!$1:$1048576,$B810,MATCH("RAID ID",'RAID Log'!$1:$1,0)),"")="","",IFERROR(INDEX('RAID Log'!$1:$1048576,$B810,MATCH("RAID ID",'RAID Log'!$1:$1,0)),"")))</f>
        <v/>
      </c>
      <c r="B810" s="83" t="str">
        <f>IFERROR(MATCH(ROW()-1,'RAID Log'!$S:$S,0),"")</f>
        <v/>
      </c>
      <c r="C810" s="84" t="str">
        <f>IF($B810="","",IF(IFERROR(INDEX('RAID Log'!$1:$1048576,$B810,MATCH("Description",'RAID Log'!$1:$1,0)),"")="","",IFERROR(INDEX('RAID Log'!$1:$1048576,$B810,MATCH("Description",'RAID Log'!$1:$1,0)),"")))</f>
        <v/>
      </c>
      <c r="D810" s="84" t="str">
        <f>IF($B810="","",IF(IFERROR(INDEX('RAID Log'!$1:$1048576,$B810,MATCH("Impact/Effect of the RAID",'RAID Log'!$1:$1,0)),"")="","",IFERROR(INDEX('RAID Log'!$1:$1048576,$B810,MATCH("Impact/Effect of the RAID",'RAID Log'!$1:$1,0)),"")))</f>
        <v/>
      </c>
      <c r="E810" s="85" t="str">
        <f>IF($B810="","",IF(IFERROR(INDEX('RAID Log'!$1:$1048576,$B810,MATCH("Impact Area",'RAID Log'!$1:$1,0)),"")="","",IFERROR(INDEX('RAID Log'!$1:$1048576,$B810,MATCH("Impact Area",'RAID Log'!$1:$1,0)),"")))</f>
        <v/>
      </c>
      <c r="F810" s="85" t="str">
        <f>IF($B810="","",IF(IFERROR(INDEX('RAID Log'!$1:$1048576,$B810,MATCH("Impact Area",'RAID Log'!$1:$1,0)),"")="","",IFERROR(INDEX('RAID Log'!$1:$1048576,$B810,MATCH("Impact Area",'RAID Log'!$1:$1,0)),"")))</f>
        <v/>
      </c>
      <c r="G810" s="85" t="str">
        <f>IF($B810="","",IF(IFERROR(INDEX('RAID Log'!$1:$1048576,$B810,MATCH("Impact Rating",'RAID Log'!$1:$1,0)),"")="","",IFERROR(INDEX('RAID Log'!$1:$1048576,$B810,MATCH("Impact Rating",'RAID Log'!$1:$1,0)),"")))</f>
        <v/>
      </c>
      <c r="H810" s="85" t="str">
        <f>IF($B810="","",IF(IFERROR(INDEX('RAID Log'!$1:$1048576,$B810,MATCH("Initial Probability",'RAID Log'!$1:$1,0)),"")="","",IFERROR(INDEX('RAID Log'!$1:$1048576,$B810,MATCH("Initial Probability",'RAID Log'!$1:$1,0)),"")))</f>
        <v/>
      </c>
      <c r="I810" s="86" t="str">
        <f t="shared" si="36"/>
        <v/>
      </c>
      <c r="J810" s="85" t="str">
        <f t="shared" si="37"/>
        <v/>
      </c>
      <c r="K810" s="86" t="str">
        <f t="shared" si="38"/>
        <v/>
      </c>
      <c r="L810" s="85" t="str">
        <f>IF($B810="","",IF(IFERROR(INDEX('RAID Log'!$1:$1048576,$B810,MATCH("Status",'RAID Log'!$1:$1,0)),"")="","",IFERROR(INDEX('RAID Log'!$1:$1048576,$B810,MATCH("Status",'RAID Log'!$1:$1,0)),"")))</f>
        <v/>
      </c>
      <c r="M810" s="85" t="str">
        <f>IF($B810="","",IF(IFERROR(INDEX('RAID Log'!$1:$1048576,$B810,MATCH("RAID Owner",'RAID Log'!$1:$1,0)),"")="","",IFERROR(INDEX('RAID Log'!$1:$1048576,$B810,MATCH("RAID Owner",'RAID Log'!$1:$1,0)),"")))</f>
        <v/>
      </c>
      <c r="N810" s="87" t="str">
        <f>IF($B810="","",IF(IFERROR(INDEX('RAID Log'!$1:$1048576,$B810,MATCH("Date Raised",'RAID Log'!$1:$1,0)),"")="","",IFERROR(INDEX('RAID Log'!$1:$1048576,$B810,MATCH("Date Raised",'RAID Log'!$1:$1,0)),"")))</f>
        <v/>
      </c>
      <c r="O810" s="87" t="str">
        <f>IF($B810="","",IF(IFERROR(INDEX('RAID Log'!$1:$1048576,$B810,MATCH("Closed Date",'RAID Log'!$1:$1,0)),"")="","",IFERROR(INDEX('RAID Log'!$1:$1048576,$B810,MATCH("Closed Date",'RAID Log'!$1:$1,0)),"")))</f>
        <v/>
      </c>
      <c r="P810" s="85" t="str">
        <f>IF($B810="","",IF(IFERROR(INDEX('RAID Log'!$1:$1048576,$B810,MATCH("Mitigation Strategy",'RAID Log'!$1:$1,0)),"")="","",IFERROR(INDEX('RAID Log'!$1:$1048576,$B810,MATCH("Mitigation Strategy",'RAID Log'!$1:$1,0)),"")))</f>
        <v/>
      </c>
      <c r="Q810" s="88" t="str">
        <f>IF($B810="","",IF(IFERROR(INDEX('RAID Log'!$1:$1048576,$B810,MATCH("RAID Response/Plan",'RAID Log'!$1:$1,0)),"")="","",IFERROR(INDEX('RAID Log'!$1:$1048576,$B810,MATCH("RAID Response/Plan",'RAID Log'!$1:$1,0)),"")))</f>
        <v/>
      </c>
    </row>
    <row r="811" spans="1:17" ht="14.25" customHeight="1">
      <c r="A811" s="82" t="str">
        <f>IF($B811="","",IF(IFERROR(INDEX('RAID Log'!$1:$1048576,$B811,MATCH("RAID ID",'RAID Log'!$1:$1,0)),"")="","",IFERROR(INDEX('RAID Log'!$1:$1048576,$B811,MATCH("RAID ID",'RAID Log'!$1:$1,0)),"")))</f>
        <v/>
      </c>
      <c r="B811" s="83" t="str">
        <f>IFERROR(MATCH(ROW()-1,'RAID Log'!$S:$S,0),"")</f>
        <v/>
      </c>
      <c r="C811" s="84" t="str">
        <f>IF($B811="","",IF(IFERROR(INDEX('RAID Log'!$1:$1048576,$B811,MATCH("Description",'RAID Log'!$1:$1,0)),"")="","",IFERROR(INDEX('RAID Log'!$1:$1048576,$B811,MATCH("Description",'RAID Log'!$1:$1,0)),"")))</f>
        <v/>
      </c>
      <c r="D811" s="84" t="str">
        <f>IF($B811="","",IF(IFERROR(INDEX('RAID Log'!$1:$1048576,$B811,MATCH("Impact/Effect of the RAID",'RAID Log'!$1:$1,0)),"")="","",IFERROR(INDEX('RAID Log'!$1:$1048576,$B811,MATCH("Impact/Effect of the RAID",'RAID Log'!$1:$1,0)),"")))</f>
        <v/>
      </c>
      <c r="E811" s="85" t="str">
        <f>IF($B811="","",IF(IFERROR(INDEX('RAID Log'!$1:$1048576,$B811,MATCH("Impact Area",'RAID Log'!$1:$1,0)),"")="","",IFERROR(INDEX('RAID Log'!$1:$1048576,$B811,MATCH("Impact Area",'RAID Log'!$1:$1,0)),"")))</f>
        <v/>
      </c>
      <c r="F811" s="85" t="str">
        <f>IF($B811="","",IF(IFERROR(INDEX('RAID Log'!$1:$1048576,$B811,MATCH("Impact Area",'RAID Log'!$1:$1,0)),"")="","",IFERROR(INDEX('RAID Log'!$1:$1048576,$B811,MATCH("Impact Area",'RAID Log'!$1:$1,0)),"")))</f>
        <v/>
      </c>
      <c r="G811" s="85" t="str">
        <f>IF($B811="","",IF(IFERROR(INDEX('RAID Log'!$1:$1048576,$B811,MATCH("Impact Rating",'RAID Log'!$1:$1,0)),"")="","",IFERROR(INDEX('RAID Log'!$1:$1048576,$B811,MATCH("Impact Rating",'RAID Log'!$1:$1,0)),"")))</f>
        <v/>
      </c>
      <c r="H811" s="85" t="str">
        <f>IF($B811="","",IF(IFERROR(INDEX('RAID Log'!$1:$1048576,$B811,MATCH("Initial Probability",'RAID Log'!$1:$1,0)),"")="","",IFERROR(INDEX('RAID Log'!$1:$1048576,$B811,MATCH("Initial Probability",'RAID Log'!$1:$1,0)),"")))</f>
        <v/>
      </c>
      <c r="I811" s="86" t="str">
        <f t="shared" si="36"/>
        <v/>
      </c>
      <c r="J811" s="85" t="str">
        <f t="shared" si="37"/>
        <v/>
      </c>
      <c r="K811" s="86" t="str">
        <f t="shared" si="38"/>
        <v/>
      </c>
      <c r="L811" s="85" t="str">
        <f>IF($B811="","",IF(IFERROR(INDEX('RAID Log'!$1:$1048576,$B811,MATCH("Status",'RAID Log'!$1:$1,0)),"")="","",IFERROR(INDEX('RAID Log'!$1:$1048576,$B811,MATCH("Status",'RAID Log'!$1:$1,0)),"")))</f>
        <v/>
      </c>
      <c r="M811" s="85" t="str">
        <f>IF($B811="","",IF(IFERROR(INDEX('RAID Log'!$1:$1048576,$B811,MATCH("RAID Owner",'RAID Log'!$1:$1,0)),"")="","",IFERROR(INDEX('RAID Log'!$1:$1048576,$B811,MATCH("RAID Owner",'RAID Log'!$1:$1,0)),"")))</f>
        <v/>
      </c>
      <c r="N811" s="87" t="str">
        <f>IF($B811="","",IF(IFERROR(INDEX('RAID Log'!$1:$1048576,$B811,MATCH("Date Raised",'RAID Log'!$1:$1,0)),"")="","",IFERROR(INDEX('RAID Log'!$1:$1048576,$B811,MATCH("Date Raised",'RAID Log'!$1:$1,0)),"")))</f>
        <v/>
      </c>
      <c r="O811" s="87" t="str">
        <f>IF($B811="","",IF(IFERROR(INDEX('RAID Log'!$1:$1048576,$B811,MATCH("Closed Date",'RAID Log'!$1:$1,0)),"")="","",IFERROR(INDEX('RAID Log'!$1:$1048576,$B811,MATCH("Closed Date",'RAID Log'!$1:$1,0)),"")))</f>
        <v/>
      </c>
      <c r="P811" s="85" t="str">
        <f>IF($B811="","",IF(IFERROR(INDEX('RAID Log'!$1:$1048576,$B811,MATCH("Mitigation Strategy",'RAID Log'!$1:$1,0)),"")="","",IFERROR(INDEX('RAID Log'!$1:$1048576,$B811,MATCH("Mitigation Strategy",'RAID Log'!$1:$1,0)),"")))</f>
        <v/>
      </c>
      <c r="Q811" s="88" t="str">
        <f>IF($B811="","",IF(IFERROR(INDEX('RAID Log'!$1:$1048576,$B811,MATCH("RAID Response/Plan",'RAID Log'!$1:$1,0)),"")="","",IFERROR(INDEX('RAID Log'!$1:$1048576,$B811,MATCH("RAID Response/Plan",'RAID Log'!$1:$1,0)),"")))</f>
        <v/>
      </c>
    </row>
    <row r="812" spans="1:17" ht="14.25" customHeight="1">
      <c r="A812" s="82" t="str">
        <f>IF($B812="","",IF(IFERROR(INDEX('RAID Log'!$1:$1048576,$B812,MATCH("RAID ID",'RAID Log'!$1:$1,0)),"")="","",IFERROR(INDEX('RAID Log'!$1:$1048576,$B812,MATCH("RAID ID",'RAID Log'!$1:$1,0)),"")))</f>
        <v/>
      </c>
      <c r="B812" s="83" t="str">
        <f>IFERROR(MATCH(ROW()-1,'RAID Log'!$S:$S,0),"")</f>
        <v/>
      </c>
      <c r="C812" s="84" t="str">
        <f>IF($B812="","",IF(IFERROR(INDEX('RAID Log'!$1:$1048576,$B812,MATCH("Description",'RAID Log'!$1:$1,0)),"")="","",IFERROR(INDEX('RAID Log'!$1:$1048576,$B812,MATCH("Description",'RAID Log'!$1:$1,0)),"")))</f>
        <v/>
      </c>
      <c r="D812" s="84" t="str">
        <f>IF($B812="","",IF(IFERROR(INDEX('RAID Log'!$1:$1048576,$B812,MATCH("Impact/Effect of the RAID",'RAID Log'!$1:$1,0)),"")="","",IFERROR(INDEX('RAID Log'!$1:$1048576,$B812,MATCH("Impact/Effect of the RAID",'RAID Log'!$1:$1,0)),"")))</f>
        <v/>
      </c>
      <c r="E812" s="85" t="str">
        <f>IF($B812="","",IF(IFERROR(INDEX('RAID Log'!$1:$1048576,$B812,MATCH("Impact Area",'RAID Log'!$1:$1,0)),"")="","",IFERROR(INDEX('RAID Log'!$1:$1048576,$B812,MATCH("Impact Area",'RAID Log'!$1:$1,0)),"")))</f>
        <v/>
      </c>
      <c r="F812" s="85" t="str">
        <f>IF($B812="","",IF(IFERROR(INDEX('RAID Log'!$1:$1048576,$B812,MATCH("Impact Area",'RAID Log'!$1:$1,0)),"")="","",IFERROR(INDEX('RAID Log'!$1:$1048576,$B812,MATCH("Impact Area",'RAID Log'!$1:$1,0)),"")))</f>
        <v/>
      </c>
      <c r="G812" s="85" t="str">
        <f>IF($B812="","",IF(IFERROR(INDEX('RAID Log'!$1:$1048576,$B812,MATCH("Impact Rating",'RAID Log'!$1:$1,0)),"")="","",IFERROR(INDEX('RAID Log'!$1:$1048576,$B812,MATCH("Impact Rating",'RAID Log'!$1:$1,0)),"")))</f>
        <v/>
      </c>
      <c r="H812" s="85" t="str">
        <f>IF($B812="","",IF(IFERROR(INDEX('RAID Log'!$1:$1048576,$B812,MATCH("Initial Probability",'RAID Log'!$1:$1,0)),"")="","",IFERROR(INDEX('RAID Log'!$1:$1048576,$B812,MATCH("Initial Probability",'RAID Log'!$1:$1,0)),"")))</f>
        <v/>
      </c>
      <c r="I812" s="86" t="str">
        <f t="shared" si="36"/>
        <v/>
      </c>
      <c r="J812" s="85" t="str">
        <f t="shared" si="37"/>
        <v/>
      </c>
      <c r="K812" s="86" t="str">
        <f t="shared" si="38"/>
        <v/>
      </c>
      <c r="L812" s="85" t="str">
        <f>IF($B812="","",IF(IFERROR(INDEX('RAID Log'!$1:$1048576,$B812,MATCH("Status",'RAID Log'!$1:$1,0)),"")="","",IFERROR(INDEX('RAID Log'!$1:$1048576,$B812,MATCH("Status",'RAID Log'!$1:$1,0)),"")))</f>
        <v/>
      </c>
      <c r="M812" s="85" t="str">
        <f>IF($B812="","",IF(IFERROR(INDEX('RAID Log'!$1:$1048576,$B812,MATCH("RAID Owner",'RAID Log'!$1:$1,0)),"")="","",IFERROR(INDEX('RAID Log'!$1:$1048576,$B812,MATCH("RAID Owner",'RAID Log'!$1:$1,0)),"")))</f>
        <v/>
      </c>
      <c r="N812" s="87" t="str">
        <f>IF($B812="","",IF(IFERROR(INDEX('RAID Log'!$1:$1048576,$B812,MATCH("Date Raised",'RAID Log'!$1:$1,0)),"")="","",IFERROR(INDEX('RAID Log'!$1:$1048576,$B812,MATCH("Date Raised",'RAID Log'!$1:$1,0)),"")))</f>
        <v/>
      </c>
      <c r="O812" s="87" t="str">
        <f>IF($B812="","",IF(IFERROR(INDEX('RAID Log'!$1:$1048576,$B812,MATCH("Closed Date",'RAID Log'!$1:$1,0)),"")="","",IFERROR(INDEX('RAID Log'!$1:$1048576,$B812,MATCH("Closed Date",'RAID Log'!$1:$1,0)),"")))</f>
        <v/>
      </c>
      <c r="P812" s="85" t="str">
        <f>IF($B812="","",IF(IFERROR(INDEX('RAID Log'!$1:$1048576,$B812,MATCH("Mitigation Strategy",'RAID Log'!$1:$1,0)),"")="","",IFERROR(INDEX('RAID Log'!$1:$1048576,$B812,MATCH("Mitigation Strategy",'RAID Log'!$1:$1,0)),"")))</f>
        <v/>
      </c>
      <c r="Q812" s="88" t="str">
        <f>IF($B812="","",IF(IFERROR(INDEX('RAID Log'!$1:$1048576,$B812,MATCH("RAID Response/Plan",'RAID Log'!$1:$1,0)),"")="","",IFERROR(INDEX('RAID Log'!$1:$1048576,$B812,MATCH("RAID Response/Plan",'RAID Log'!$1:$1,0)),"")))</f>
        <v/>
      </c>
    </row>
    <row r="813" spans="1:17" ht="14.25" customHeight="1">
      <c r="A813" s="82" t="str">
        <f>IF($B813="","",IF(IFERROR(INDEX('RAID Log'!$1:$1048576,$B813,MATCH("RAID ID",'RAID Log'!$1:$1,0)),"")="","",IFERROR(INDEX('RAID Log'!$1:$1048576,$B813,MATCH("RAID ID",'RAID Log'!$1:$1,0)),"")))</f>
        <v/>
      </c>
      <c r="B813" s="83" t="str">
        <f>IFERROR(MATCH(ROW()-1,'RAID Log'!$S:$S,0),"")</f>
        <v/>
      </c>
      <c r="C813" s="84" t="str">
        <f>IF($B813="","",IF(IFERROR(INDEX('RAID Log'!$1:$1048576,$B813,MATCH("Description",'RAID Log'!$1:$1,0)),"")="","",IFERROR(INDEX('RAID Log'!$1:$1048576,$B813,MATCH("Description",'RAID Log'!$1:$1,0)),"")))</f>
        <v/>
      </c>
      <c r="D813" s="84" t="str">
        <f>IF($B813="","",IF(IFERROR(INDEX('RAID Log'!$1:$1048576,$B813,MATCH("Impact/Effect of the RAID",'RAID Log'!$1:$1,0)),"")="","",IFERROR(INDEX('RAID Log'!$1:$1048576,$B813,MATCH("Impact/Effect of the RAID",'RAID Log'!$1:$1,0)),"")))</f>
        <v/>
      </c>
      <c r="E813" s="85" t="str">
        <f>IF($B813="","",IF(IFERROR(INDEX('RAID Log'!$1:$1048576,$B813,MATCH("Impact Area",'RAID Log'!$1:$1,0)),"")="","",IFERROR(INDEX('RAID Log'!$1:$1048576,$B813,MATCH("Impact Area",'RAID Log'!$1:$1,0)),"")))</f>
        <v/>
      </c>
      <c r="F813" s="85" t="str">
        <f>IF($B813="","",IF(IFERROR(INDEX('RAID Log'!$1:$1048576,$B813,MATCH("Impact Area",'RAID Log'!$1:$1,0)),"")="","",IFERROR(INDEX('RAID Log'!$1:$1048576,$B813,MATCH("Impact Area",'RAID Log'!$1:$1,0)),"")))</f>
        <v/>
      </c>
      <c r="G813" s="85" t="str">
        <f>IF($B813="","",IF(IFERROR(INDEX('RAID Log'!$1:$1048576,$B813,MATCH("Impact Rating",'RAID Log'!$1:$1,0)),"")="","",IFERROR(INDEX('RAID Log'!$1:$1048576,$B813,MATCH("Impact Rating",'RAID Log'!$1:$1,0)),"")))</f>
        <v/>
      </c>
      <c r="H813" s="85" t="str">
        <f>IF($B813="","",IF(IFERROR(INDEX('RAID Log'!$1:$1048576,$B813,MATCH("Initial Probability",'RAID Log'!$1:$1,0)),"")="","",IFERROR(INDEX('RAID Log'!$1:$1048576,$B813,MATCH("Initial Probability",'RAID Log'!$1:$1,0)),"")))</f>
        <v/>
      </c>
      <c r="I813" s="86" t="str">
        <f t="shared" si="36"/>
        <v/>
      </c>
      <c r="J813" s="85" t="str">
        <f t="shared" si="37"/>
        <v/>
      </c>
      <c r="K813" s="86" t="str">
        <f t="shared" si="38"/>
        <v/>
      </c>
      <c r="L813" s="85" t="str">
        <f>IF($B813="","",IF(IFERROR(INDEX('RAID Log'!$1:$1048576,$B813,MATCH("Status",'RAID Log'!$1:$1,0)),"")="","",IFERROR(INDEX('RAID Log'!$1:$1048576,$B813,MATCH("Status",'RAID Log'!$1:$1,0)),"")))</f>
        <v/>
      </c>
      <c r="M813" s="85" t="str">
        <f>IF($B813="","",IF(IFERROR(INDEX('RAID Log'!$1:$1048576,$B813,MATCH("RAID Owner",'RAID Log'!$1:$1,0)),"")="","",IFERROR(INDEX('RAID Log'!$1:$1048576,$B813,MATCH("RAID Owner",'RAID Log'!$1:$1,0)),"")))</f>
        <v/>
      </c>
      <c r="N813" s="87" t="str">
        <f>IF($B813="","",IF(IFERROR(INDEX('RAID Log'!$1:$1048576,$B813,MATCH("Date Raised",'RAID Log'!$1:$1,0)),"")="","",IFERROR(INDEX('RAID Log'!$1:$1048576,$B813,MATCH("Date Raised",'RAID Log'!$1:$1,0)),"")))</f>
        <v/>
      </c>
      <c r="O813" s="87" t="str">
        <f>IF($B813="","",IF(IFERROR(INDEX('RAID Log'!$1:$1048576,$B813,MATCH("Closed Date",'RAID Log'!$1:$1,0)),"")="","",IFERROR(INDEX('RAID Log'!$1:$1048576,$B813,MATCH("Closed Date",'RAID Log'!$1:$1,0)),"")))</f>
        <v/>
      </c>
      <c r="P813" s="85" t="str">
        <f>IF($B813="","",IF(IFERROR(INDEX('RAID Log'!$1:$1048576,$B813,MATCH("Mitigation Strategy",'RAID Log'!$1:$1,0)),"")="","",IFERROR(INDEX('RAID Log'!$1:$1048576,$B813,MATCH("Mitigation Strategy",'RAID Log'!$1:$1,0)),"")))</f>
        <v/>
      </c>
      <c r="Q813" s="88" t="str">
        <f>IF($B813="","",IF(IFERROR(INDEX('RAID Log'!$1:$1048576,$B813,MATCH("RAID Response/Plan",'RAID Log'!$1:$1,0)),"")="","",IFERROR(INDEX('RAID Log'!$1:$1048576,$B813,MATCH("RAID Response/Plan",'RAID Log'!$1:$1,0)),"")))</f>
        <v/>
      </c>
    </row>
    <row r="814" spans="1:17" ht="14.25" customHeight="1">
      <c r="A814" s="82" t="str">
        <f>IF($B814="","",IF(IFERROR(INDEX('RAID Log'!$1:$1048576,$B814,MATCH("RAID ID",'RAID Log'!$1:$1,0)),"")="","",IFERROR(INDEX('RAID Log'!$1:$1048576,$B814,MATCH("RAID ID",'RAID Log'!$1:$1,0)),"")))</f>
        <v/>
      </c>
      <c r="B814" s="83" t="str">
        <f>IFERROR(MATCH(ROW()-1,'RAID Log'!$S:$S,0),"")</f>
        <v/>
      </c>
      <c r="C814" s="84" t="str">
        <f>IF($B814="","",IF(IFERROR(INDEX('RAID Log'!$1:$1048576,$B814,MATCH("Description",'RAID Log'!$1:$1,0)),"")="","",IFERROR(INDEX('RAID Log'!$1:$1048576,$B814,MATCH("Description",'RAID Log'!$1:$1,0)),"")))</f>
        <v/>
      </c>
      <c r="D814" s="84" t="str">
        <f>IF($B814="","",IF(IFERROR(INDEX('RAID Log'!$1:$1048576,$B814,MATCH("Impact/Effect of the RAID",'RAID Log'!$1:$1,0)),"")="","",IFERROR(INDEX('RAID Log'!$1:$1048576,$B814,MATCH("Impact/Effect of the RAID",'RAID Log'!$1:$1,0)),"")))</f>
        <v/>
      </c>
      <c r="E814" s="85" t="str">
        <f>IF($B814="","",IF(IFERROR(INDEX('RAID Log'!$1:$1048576,$B814,MATCH("Impact Area",'RAID Log'!$1:$1,0)),"")="","",IFERROR(INDEX('RAID Log'!$1:$1048576,$B814,MATCH("Impact Area",'RAID Log'!$1:$1,0)),"")))</f>
        <v/>
      </c>
      <c r="F814" s="85" t="str">
        <f>IF($B814="","",IF(IFERROR(INDEX('RAID Log'!$1:$1048576,$B814,MATCH("Impact Area",'RAID Log'!$1:$1,0)),"")="","",IFERROR(INDEX('RAID Log'!$1:$1048576,$B814,MATCH("Impact Area",'RAID Log'!$1:$1,0)),"")))</f>
        <v/>
      </c>
      <c r="G814" s="85" t="str">
        <f>IF($B814="","",IF(IFERROR(INDEX('RAID Log'!$1:$1048576,$B814,MATCH("Impact Rating",'RAID Log'!$1:$1,0)),"")="","",IFERROR(INDEX('RAID Log'!$1:$1048576,$B814,MATCH("Impact Rating",'RAID Log'!$1:$1,0)),"")))</f>
        <v/>
      </c>
      <c r="H814" s="85" t="str">
        <f>IF($B814="","",IF(IFERROR(INDEX('RAID Log'!$1:$1048576,$B814,MATCH("Initial Probability",'RAID Log'!$1:$1,0)),"")="","",IFERROR(INDEX('RAID Log'!$1:$1048576,$B814,MATCH("Initial Probability",'RAID Log'!$1:$1,0)),"")))</f>
        <v/>
      </c>
      <c r="I814" s="86" t="str">
        <f t="shared" si="36"/>
        <v/>
      </c>
      <c r="J814" s="85" t="str">
        <f t="shared" si="37"/>
        <v/>
      </c>
      <c r="K814" s="86" t="str">
        <f t="shared" si="38"/>
        <v/>
      </c>
      <c r="L814" s="85" t="str">
        <f>IF($B814="","",IF(IFERROR(INDEX('RAID Log'!$1:$1048576,$B814,MATCH("Status",'RAID Log'!$1:$1,0)),"")="","",IFERROR(INDEX('RAID Log'!$1:$1048576,$B814,MATCH("Status",'RAID Log'!$1:$1,0)),"")))</f>
        <v/>
      </c>
      <c r="M814" s="85" t="str">
        <f>IF($B814="","",IF(IFERROR(INDEX('RAID Log'!$1:$1048576,$B814,MATCH("RAID Owner",'RAID Log'!$1:$1,0)),"")="","",IFERROR(INDEX('RAID Log'!$1:$1048576,$B814,MATCH("RAID Owner",'RAID Log'!$1:$1,0)),"")))</f>
        <v/>
      </c>
      <c r="N814" s="87" t="str">
        <f>IF($B814="","",IF(IFERROR(INDEX('RAID Log'!$1:$1048576,$B814,MATCH("Date Raised",'RAID Log'!$1:$1,0)),"")="","",IFERROR(INDEX('RAID Log'!$1:$1048576,$B814,MATCH("Date Raised",'RAID Log'!$1:$1,0)),"")))</f>
        <v/>
      </c>
      <c r="O814" s="87" t="str">
        <f>IF($B814="","",IF(IFERROR(INDEX('RAID Log'!$1:$1048576,$B814,MATCH("Closed Date",'RAID Log'!$1:$1,0)),"")="","",IFERROR(INDEX('RAID Log'!$1:$1048576,$B814,MATCH("Closed Date",'RAID Log'!$1:$1,0)),"")))</f>
        <v/>
      </c>
      <c r="P814" s="85" t="str">
        <f>IF($B814="","",IF(IFERROR(INDEX('RAID Log'!$1:$1048576,$B814,MATCH("Mitigation Strategy",'RAID Log'!$1:$1,0)),"")="","",IFERROR(INDEX('RAID Log'!$1:$1048576,$B814,MATCH("Mitigation Strategy",'RAID Log'!$1:$1,0)),"")))</f>
        <v/>
      </c>
      <c r="Q814" s="88" t="str">
        <f>IF($B814="","",IF(IFERROR(INDEX('RAID Log'!$1:$1048576,$B814,MATCH("RAID Response/Plan",'RAID Log'!$1:$1,0)),"")="","",IFERROR(INDEX('RAID Log'!$1:$1048576,$B814,MATCH("RAID Response/Plan",'RAID Log'!$1:$1,0)),"")))</f>
        <v/>
      </c>
    </row>
    <row r="815" spans="1:17" ht="14.25" customHeight="1">
      <c r="A815" s="82" t="str">
        <f>IF($B815="","",IF(IFERROR(INDEX('RAID Log'!$1:$1048576,$B815,MATCH("RAID ID",'RAID Log'!$1:$1,0)),"")="","",IFERROR(INDEX('RAID Log'!$1:$1048576,$B815,MATCH("RAID ID",'RAID Log'!$1:$1,0)),"")))</f>
        <v/>
      </c>
      <c r="B815" s="83" t="str">
        <f>IFERROR(MATCH(ROW()-1,'RAID Log'!$S:$S,0),"")</f>
        <v/>
      </c>
      <c r="C815" s="84" t="str">
        <f>IF($B815="","",IF(IFERROR(INDEX('RAID Log'!$1:$1048576,$B815,MATCH("Description",'RAID Log'!$1:$1,0)),"")="","",IFERROR(INDEX('RAID Log'!$1:$1048576,$B815,MATCH("Description",'RAID Log'!$1:$1,0)),"")))</f>
        <v/>
      </c>
      <c r="D815" s="84" t="str">
        <f>IF($B815="","",IF(IFERROR(INDEX('RAID Log'!$1:$1048576,$B815,MATCH("Impact/Effect of the RAID",'RAID Log'!$1:$1,0)),"")="","",IFERROR(INDEX('RAID Log'!$1:$1048576,$B815,MATCH("Impact/Effect of the RAID",'RAID Log'!$1:$1,0)),"")))</f>
        <v/>
      </c>
      <c r="E815" s="85" t="str">
        <f>IF($B815="","",IF(IFERROR(INDEX('RAID Log'!$1:$1048576,$B815,MATCH("Impact Area",'RAID Log'!$1:$1,0)),"")="","",IFERROR(INDEX('RAID Log'!$1:$1048576,$B815,MATCH("Impact Area",'RAID Log'!$1:$1,0)),"")))</f>
        <v/>
      </c>
      <c r="F815" s="85" t="str">
        <f>IF($B815="","",IF(IFERROR(INDEX('RAID Log'!$1:$1048576,$B815,MATCH("Impact Area",'RAID Log'!$1:$1,0)),"")="","",IFERROR(INDEX('RAID Log'!$1:$1048576,$B815,MATCH("Impact Area",'RAID Log'!$1:$1,0)),"")))</f>
        <v/>
      </c>
      <c r="G815" s="85" t="str">
        <f>IF($B815="","",IF(IFERROR(INDEX('RAID Log'!$1:$1048576,$B815,MATCH("Impact Rating",'RAID Log'!$1:$1,0)),"")="","",IFERROR(INDEX('RAID Log'!$1:$1048576,$B815,MATCH("Impact Rating",'RAID Log'!$1:$1,0)),"")))</f>
        <v/>
      </c>
      <c r="H815" s="85" t="str">
        <f>IF($B815="","",IF(IFERROR(INDEX('RAID Log'!$1:$1048576,$B815,MATCH("Initial Probability",'RAID Log'!$1:$1,0)),"")="","",IFERROR(INDEX('RAID Log'!$1:$1048576,$B815,MATCH("Initial Probability",'RAID Log'!$1:$1,0)),"")))</f>
        <v/>
      </c>
      <c r="I815" s="86" t="str">
        <f t="shared" si="36"/>
        <v/>
      </c>
      <c r="J815" s="85" t="str">
        <f t="shared" si="37"/>
        <v/>
      </c>
      <c r="K815" s="86" t="str">
        <f t="shared" si="38"/>
        <v/>
      </c>
      <c r="L815" s="85" t="str">
        <f>IF($B815="","",IF(IFERROR(INDEX('RAID Log'!$1:$1048576,$B815,MATCH("Status",'RAID Log'!$1:$1,0)),"")="","",IFERROR(INDEX('RAID Log'!$1:$1048576,$B815,MATCH("Status",'RAID Log'!$1:$1,0)),"")))</f>
        <v/>
      </c>
      <c r="M815" s="85" t="str">
        <f>IF($B815="","",IF(IFERROR(INDEX('RAID Log'!$1:$1048576,$B815,MATCH("RAID Owner",'RAID Log'!$1:$1,0)),"")="","",IFERROR(INDEX('RAID Log'!$1:$1048576,$B815,MATCH("RAID Owner",'RAID Log'!$1:$1,0)),"")))</f>
        <v/>
      </c>
      <c r="N815" s="87" t="str">
        <f>IF($B815="","",IF(IFERROR(INDEX('RAID Log'!$1:$1048576,$B815,MATCH("Date Raised",'RAID Log'!$1:$1,0)),"")="","",IFERROR(INDEX('RAID Log'!$1:$1048576,$B815,MATCH("Date Raised",'RAID Log'!$1:$1,0)),"")))</f>
        <v/>
      </c>
      <c r="O815" s="87" t="str">
        <f>IF($B815="","",IF(IFERROR(INDEX('RAID Log'!$1:$1048576,$B815,MATCH("Closed Date",'RAID Log'!$1:$1,0)),"")="","",IFERROR(INDEX('RAID Log'!$1:$1048576,$B815,MATCH("Closed Date",'RAID Log'!$1:$1,0)),"")))</f>
        <v/>
      </c>
      <c r="P815" s="85" t="str">
        <f>IF($B815="","",IF(IFERROR(INDEX('RAID Log'!$1:$1048576,$B815,MATCH("Mitigation Strategy",'RAID Log'!$1:$1,0)),"")="","",IFERROR(INDEX('RAID Log'!$1:$1048576,$B815,MATCH("Mitigation Strategy",'RAID Log'!$1:$1,0)),"")))</f>
        <v/>
      </c>
      <c r="Q815" s="88" t="str">
        <f>IF($B815="","",IF(IFERROR(INDEX('RAID Log'!$1:$1048576,$B815,MATCH("RAID Response/Plan",'RAID Log'!$1:$1,0)),"")="","",IFERROR(INDEX('RAID Log'!$1:$1048576,$B815,MATCH("RAID Response/Plan",'RAID Log'!$1:$1,0)),"")))</f>
        <v/>
      </c>
    </row>
    <row r="816" spans="1:17" ht="14.25" customHeight="1">
      <c r="A816" s="82" t="str">
        <f>IF($B816="","",IF(IFERROR(INDEX('RAID Log'!$1:$1048576,$B816,MATCH("RAID ID",'RAID Log'!$1:$1,0)),"")="","",IFERROR(INDEX('RAID Log'!$1:$1048576,$B816,MATCH("RAID ID",'RAID Log'!$1:$1,0)),"")))</f>
        <v/>
      </c>
      <c r="B816" s="83" t="str">
        <f>IFERROR(MATCH(ROW()-1,'RAID Log'!$S:$S,0),"")</f>
        <v/>
      </c>
      <c r="C816" s="84" t="str">
        <f>IF($B816="","",IF(IFERROR(INDEX('RAID Log'!$1:$1048576,$B816,MATCH("Description",'RAID Log'!$1:$1,0)),"")="","",IFERROR(INDEX('RAID Log'!$1:$1048576,$B816,MATCH("Description",'RAID Log'!$1:$1,0)),"")))</f>
        <v/>
      </c>
      <c r="D816" s="84" t="str">
        <f>IF($B816="","",IF(IFERROR(INDEX('RAID Log'!$1:$1048576,$B816,MATCH("Impact/Effect of the RAID",'RAID Log'!$1:$1,0)),"")="","",IFERROR(INDEX('RAID Log'!$1:$1048576,$B816,MATCH("Impact/Effect of the RAID",'RAID Log'!$1:$1,0)),"")))</f>
        <v/>
      </c>
      <c r="E816" s="85" t="str">
        <f>IF($B816="","",IF(IFERROR(INDEX('RAID Log'!$1:$1048576,$B816,MATCH("Impact Area",'RAID Log'!$1:$1,0)),"")="","",IFERROR(INDEX('RAID Log'!$1:$1048576,$B816,MATCH("Impact Area",'RAID Log'!$1:$1,0)),"")))</f>
        <v/>
      </c>
      <c r="F816" s="85" t="str">
        <f>IF($B816="","",IF(IFERROR(INDEX('RAID Log'!$1:$1048576,$B816,MATCH("Impact Area",'RAID Log'!$1:$1,0)),"")="","",IFERROR(INDEX('RAID Log'!$1:$1048576,$B816,MATCH("Impact Area",'RAID Log'!$1:$1,0)),"")))</f>
        <v/>
      </c>
      <c r="G816" s="85" t="str">
        <f>IF($B816="","",IF(IFERROR(INDEX('RAID Log'!$1:$1048576,$B816,MATCH("Impact Rating",'RAID Log'!$1:$1,0)),"")="","",IFERROR(INDEX('RAID Log'!$1:$1048576,$B816,MATCH("Impact Rating",'RAID Log'!$1:$1,0)),"")))</f>
        <v/>
      </c>
      <c r="H816" s="85" t="str">
        <f>IF($B816="","",IF(IFERROR(INDEX('RAID Log'!$1:$1048576,$B816,MATCH("Initial Probability",'RAID Log'!$1:$1,0)),"")="","",IFERROR(INDEX('RAID Log'!$1:$1048576,$B816,MATCH("Initial Probability",'RAID Log'!$1:$1,0)),"")))</f>
        <v/>
      </c>
      <c r="I816" s="86" t="str">
        <f t="shared" si="36"/>
        <v/>
      </c>
      <c r="J816" s="85" t="str">
        <f t="shared" si="37"/>
        <v/>
      </c>
      <c r="K816" s="86" t="str">
        <f t="shared" si="38"/>
        <v/>
      </c>
      <c r="L816" s="85" t="str">
        <f>IF($B816="","",IF(IFERROR(INDEX('RAID Log'!$1:$1048576,$B816,MATCH("Status",'RAID Log'!$1:$1,0)),"")="","",IFERROR(INDEX('RAID Log'!$1:$1048576,$B816,MATCH("Status",'RAID Log'!$1:$1,0)),"")))</f>
        <v/>
      </c>
      <c r="M816" s="85" t="str">
        <f>IF($B816="","",IF(IFERROR(INDEX('RAID Log'!$1:$1048576,$B816,MATCH("RAID Owner",'RAID Log'!$1:$1,0)),"")="","",IFERROR(INDEX('RAID Log'!$1:$1048576,$B816,MATCH("RAID Owner",'RAID Log'!$1:$1,0)),"")))</f>
        <v/>
      </c>
      <c r="N816" s="87" t="str">
        <f>IF($B816="","",IF(IFERROR(INDEX('RAID Log'!$1:$1048576,$B816,MATCH("Date Raised",'RAID Log'!$1:$1,0)),"")="","",IFERROR(INDEX('RAID Log'!$1:$1048576,$B816,MATCH("Date Raised",'RAID Log'!$1:$1,0)),"")))</f>
        <v/>
      </c>
      <c r="O816" s="87" t="str">
        <f>IF($B816="","",IF(IFERROR(INDEX('RAID Log'!$1:$1048576,$B816,MATCH("Closed Date",'RAID Log'!$1:$1,0)),"")="","",IFERROR(INDEX('RAID Log'!$1:$1048576,$B816,MATCH("Closed Date",'RAID Log'!$1:$1,0)),"")))</f>
        <v/>
      </c>
      <c r="P816" s="85" t="str">
        <f>IF($B816="","",IF(IFERROR(INDEX('RAID Log'!$1:$1048576,$B816,MATCH("Mitigation Strategy",'RAID Log'!$1:$1,0)),"")="","",IFERROR(INDEX('RAID Log'!$1:$1048576,$B816,MATCH("Mitigation Strategy",'RAID Log'!$1:$1,0)),"")))</f>
        <v/>
      </c>
      <c r="Q816" s="88" t="str">
        <f>IF($B816="","",IF(IFERROR(INDEX('RAID Log'!$1:$1048576,$B816,MATCH("RAID Response/Plan",'RAID Log'!$1:$1,0)),"")="","",IFERROR(INDEX('RAID Log'!$1:$1048576,$B816,MATCH("RAID Response/Plan",'RAID Log'!$1:$1,0)),"")))</f>
        <v/>
      </c>
    </row>
    <row r="817" spans="1:17" ht="14.25" customHeight="1">
      <c r="A817" s="82" t="str">
        <f>IF($B817="","",IF(IFERROR(INDEX('RAID Log'!$1:$1048576,$B817,MATCH("RAID ID",'RAID Log'!$1:$1,0)),"")="","",IFERROR(INDEX('RAID Log'!$1:$1048576,$B817,MATCH("RAID ID",'RAID Log'!$1:$1,0)),"")))</f>
        <v/>
      </c>
      <c r="B817" s="83" t="str">
        <f>IFERROR(MATCH(ROW()-1,'RAID Log'!$S:$S,0),"")</f>
        <v/>
      </c>
      <c r="C817" s="84" t="str">
        <f>IF($B817="","",IF(IFERROR(INDEX('RAID Log'!$1:$1048576,$B817,MATCH("Description",'RAID Log'!$1:$1,0)),"")="","",IFERROR(INDEX('RAID Log'!$1:$1048576,$B817,MATCH("Description",'RAID Log'!$1:$1,0)),"")))</f>
        <v/>
      </c>
      <c r="D817" s="84" t="str">
        <f>IF($B817="","",IF(IFERROR(INDEX('RAID Log'!$1:$1048576,$B817,MATCH("Impact/Effect of the RAID",'RAID Log'!$1:$1,0)),"")="","",IFERROR(INDEX('RAID Log'!$1:$1048576,$B817,MATCH("Impact/Effect of the RAID",'RAID Log'!$1:$1,0)),"")))</f>
        <v/>
      </c>
      <c r="E817" s="85" t="str">
        <f>IF($B817="","",IF(IFERROR(INDEX('RAID Log'!$1:$1048576,$B817,MATCH("Impact Area",'RAID Log'!$1:$1,0)),"")="","",IFERROR(INDEX('RAID Log'!$1:$1048576,$B817,MATCH("Impact Area",'RAID Log'!$1:$1,0)),"")))</f>
        <v/>
      </c>
      <c r="F817" s="85" t="str">
        <f>IF($B817="","",IF(IFERROR(INDEX('RAID Log'!$1:$1048576,$B817,MATCH("Impact Area",'RAID Log'!$1:$1,0)),"")="","",IFERROR(INDEX('RAID Log'!$1:$1048576,$B817,MATCH("Impact Area",'RAID Log'!$1:$1,0)),"")))</f>
        <v/>
      </c>
      <c r="G817" s="85" t="str">
        <f>IF($B817="","",IF(IFERROR(INDEX('RAID Log'!$1:$1048576,$B817,MATCH("Impact Rating",'RAID Log'!$1:$1,0)),"")="","",IFERROR(INDEX('RAID Log'!$1:$1048576,$B817,MATCH("Impact Rating",'RAID Log'!$1:$1,0)),"")))</f>
        <v/>
      </c>
      <c r="H817" s="85" t="str">
        <f>IF($B817="","",IF(IFERROR(INDEX('RAID Log'!$1:$1048576,$B817,MATCH("Initial Probability",'RAID Log'!$1:$1,0)),"")="","",IFERROR(INDEX('RAID Log'!$1:$1048576,$B817,MATCH("Initial Probability",'RAID Log'!$1:$1,0)),"")))</f>
        <v/>
      </c>
      <c r="I817" s="86" t="str">
        <f t="shared" si="36"/>
        <v/>
      </c>
      <c r="J817" s="85" t="str">
        <f t="shared" si="37"/>
        <v/>
      </c>
      <c r="K817" s="86" t="str">
        <f t="shared" si="38"/>
        <v/>
      </c>
      <c r="L817" s="85" t="str">
        <f>IF($B817="","",IF(IFERROR(INDEX('RAID Log'!$1:$1048576,$B817,MATCH("Status",'RAID Log'!$1:$1,0)),"")="","",IFERROR(INDEX('RAID Log'!$1:$1048576,$B817,MATCH("Status",'RAID Log'!$1:$1,0)),"")))</f>
        <v/>
      </c>
      <c r="M817" s="85" t="str">
        <f>IF($B817="","",IF(IFERROR(INDEX('RAID Log'!$1:$1048576,$B817,MATCH("RAID Owner",'RAID Log'!$1:$1,0)),"")="","",IFERROR(INDEX('RAID Log'!$1:$1048576,$B817,MATCH("RAID Owner",'RAID Log'!$1:$1,0)),"")))</f>
        <v/>
      </c>
      <c r="N817" s="87" t="str">
        <f>IF($B817="","",IF(IFERROR(INDEX('RAID Log'!$1:$1048576,$B817,MATCH("Date Raised",'RAID Log'!$1:$1,0)),"")="","",IFERROR(INDEX('RAID Log'!$1:$1048576,$B817,MATCH("Date Raised",'RAID Log'!$1:$1,0)),"")))</f>
        <v/>
      </c>
      <c r="O817" s="87" t="str">
        <f>IF($B817="","",IF(IFERROR(INDEX('RAID Log'!$1:$1048576,$B817,MATCH("Closed Date",'RAID Log'!$1:$1,0)),"")="","",IFERROR(INDEX('RAID Log'!$1:$1048576,$B817,MATCH("Closed Date",'RAID Log'!$1:$1,0)),"")))</f>
        <v/>
      </c>
      <c r="P817" s="85" t="str">
        <f>IF($B817="","",IF(IFERROR(INDEX('RAID Log'!$1:$1048576,$B817,MATCH("Mitigation Strategy",'RAID Log'!$1:$1,0)),"")="","",IFERROR(INDEX('RAID Log'!$1:$1048576,$B817,MATCH("Mitigation Strategy",'RAID Log'!$1:$1,0)),"")))</f>
        <v/>
      </c>
      <c r="Q817" s="88" t="str">
        <f>IF($B817="","",IF(IFERROR(INDEX('RAID Log'!$1:$1048576,$B817,MATCH("RAID Response/Plan",'RAID Log'!$1:$1,0)),"")="","",IFERROR(INDEX('RAID Log'!$1:$1048576,$B817,MATCH("RAID Response/Plan",'RAID Log'!$1:$1,0)),"")))</f>
        <v/>
      </c>
    </row>
    <row r="818" spans="1:17" ht="14.25" customHeight="1">
      <c r="A818" s="82" t="str">
        <f>IF($B818="","",IF(IFERROR(INDEX('RAID Log'!$1:$1048576,$B818,MATCH("RAID ID",'RAID Log'!$1:$1,0)),"")="","",IFERROR(INDEX('RAID Log'!$1:$1048576,$B818,MATCH("RAID ID",'RAID Log'!$1:$1,0)),"")))</f>
        <v/>
      </c>
      <c r="B818" s="83" t="str">
        <f>IFERROR(MATCH(ROW()-1,'RAID Log'!$S:$S,0),"")</f>
        <v/>
      </c>
      <c r="C818" s="84" t="str">
        <f>IF($B818="","",IF(IFERROR(INDEX('RAID Log'!$1:$1048576,$B818,MATCH("Description",'RAID Log'!$1:$1,0)),"")="","",IFERROR(INDEX('RAID Log'!$1:$1048576,$B818,MATCH("Description",'RAID Log'!$1:$1,0)),"")))</f>
        <v/>
      </c>
      <c r="D818" s="84" t="str">
        <f>IF($B818="","",IF(IFERROR(INDEX('RAID Log'!$1:$1048576,$B818,MATCH("Impact/Effect of the RAID",'RAID Log'!$1:$1,0)),"")="","",IFERROR(INDEX('RAID Log'!$1:$1048576,$B818,MATCH("Impact/Effect of the RAID",'RAID Log'!$1:$1,0)),"")))</f>
        <v/>
      </c>
      <c r="E818" s="85" t="str">
        <f>IF($B818="","",IF(IFERROR(INDEX('RAID Log'!$1:$1048576,$B818,MATCH("Impact Area",'RAID Log'!$1:$1,0)),"")="","",IFERROR(INDEX('RAID Log'!$1:$1048576,$B818,MATCH("Impact Area",'RAID Log'!$1:$1,0)),"")))</f>
        <v/>
      </c>
      <c r="F818" s="85" t="str">
        <f>IF($B818="","",IF(IFERROR(INDEX('RAID Log'!$1:$1048576,$B818,MATCH("Impact Area",'RAID Log'!$1:$1,0)),"")="","",IFERROR(INDEX('RAID Log'!$1:$1048576,$B818,MATCH("Impact Area",'RAID Log'!$1:$1,0)),"")))</f>
        <v/>
      </c>
      <c r="G818" s="85" t="str">
        <f>IF($B818="","",IF(IFERROR(INDEX('RAID Log'!$1:$1048576,$B818,MATCH("Impact Rating",'RAID Log'!$1:$1,0)),"")="","",IFERROR(INDEX('RAID Log'!$1:$1048576,$B818,MATCH("Impact Rating",'RAID Log'!$1:$1,0)),"")))</f>
        <v/>
      </c>
      <c r="H818" s="85" t="str">
        <f>IF($B818="","",IF(IFERROR(INDEX('RAID Log'!$1:$1048576,$B818,MATCH("Initial Probability",'RAID Log'!$1:$1,0)),"")="","",IFERROR(INDEX('RAID Log'!$1:$1048576,$B818,MATCH("Initial Probability",'RAID Log'!$1:$1,0)),"")))</f>
        <v/>
      </c>
      <c r="I818" s="86" t="str">
        <f t="shared" si="36"/>
        <v/>
      </c>
      <c r="J818" s="85" t="str">
        <f t="shared" si="37"/>
        <v/>
      </c>
      <c r="K818" s="86" t="str">
        <f t="shared" si="38"/>
        <v/>
      </c>
      <c r="L818" s="85" t="str">
        <f>IF($B818="","",IF(IFERROR(INDEX('RAID Log'!$1:$1048576,$B818,MATCH("Status",'RAID Log'!$1:$1,0)),"")="","",IFERROR(INDEX('RAID Log'!$1:$1048576,$B818,MATCH("Status",'RAID Log'!$1:$1,0)),"")))</f>
        <v/>
      </c>
      <c r="M818" s="85" t="str">
        <f>IF($B818="","",IF(IFERROR(INDEX('RAID Log'!$1:$1048576,$B818,MATCH("RAID Owner",'RAID Log'!$1:$1,0)),"")="","",IFERROR(INDEX('RAID Log'!$1:$1048576,$B818,MATCH("RAID Owner",'RAID Log'!$1:$1,0)),"")))</f>
        <v/>
      </c>
      <c r="N818" s="87" t="str">
        <f>IF($B818="","",IF(IFERROR(INDEX('RAID Log'!$1:$1048576,$B818,MATCH("Date Raised",'RAID Log'!$1:$1,0)),"")="","",IFERROR(INDEX('RAID Log'!$1:$1048576,$B818,MATCH("Date Raised",'RAID Log'!$1:$1,0)),"")))</f>
        <v/>
      </c>
      <c r="O818" s="87" t="str">
        <f>IF($B818="","",IF(IFERROR(INDEX('RAID Log'!$1:$1048576,$B818,MATCH("Closed Date",'RAID Log'!$1:$1,0)),"")="","",IFERROR(INDEX('RAID Log'!$1:$1048576,$B818,MATCH("Closed Date",'RAID Log'!$1:$1,0)),"")))</f>
        <v/>
      </c>
      <c r="P818" s="85" t="str">
        <f>IF($B818="","",IF(IFERROR(INDEX('RAID Log'!$1:$1048576,$B818,MATCH("Mitigation Strategy",'RAID Log'!$1:$1,0)),"")="","",IFERROR(INDEX('RAID Log'!$1:$1048576,$B818,MATCH("Mitigation Strategy",'RAID Log'!$1:$1,0)),"")))</f>
        <v/>
      </c>
      <c r="Q818" s="88" t="str">
        <f>IF($B818="","",IF(IFERROR(INDEX('RAID Log'!$1:$1048576,$B818,MATCH("RAID Response/Plan",'RAID Log'!$1:$1,0)),"")="","",IFERROR(INDEX('RAID Log'!$1:$1048576,$B818,MATCH("RAID Response/Plan",'RAID Log'!$1:$1,0)),"")))</f>
        <v/>
      </c>
    </row>
    <row r="819" spans="1:17" ht="14.25" customHeight="1">
      <c r="A819" s="82" t="str">
        <f>IF($B819="","",IF(IFERROR(INDEX('RAID Log'!$1:$1048576,$B819,MATCH("RAID ID",'RAID Log'!$1:$1,0)),"")="","",IFERROR(INDEX('RAID Log'!$1:$1048576,$B819,MATCH("RAID ID",'RAID Log'!$1:$1,0)),"")))</f>
        <v/>
      </c>
      <c r="B819" s="83" t="str">
        <f>IFERROR(MATCH(ROW()-1,'RAID Log'!$S:$S,0),"")</f>
        <v/>
      </c>
      <c r="C819" s="84" t="str">
        <f>IF($B819="","",IF(IFERROR(INDEX('RAID Log'!$1:$1048576,$B819,MATCH("Description",'RAID Log'!$1:$1,0)),"")="","",IFERROR(INDEX('RAID Log'!$1:$1048576,$B819,MATCH("Description",'RAID Log'!$1:$1,0)),"")))</f>
        <v/>
      </c>
      <c r="D819" s="84" t="str">
        <f>IF($B819="","",IF(IFERROR(INDEX('RAID Log'!$1:$1048576,$B819,MATCH("Impact/Effect of the RAID",'RAID Log'!$1:$1,0)),"")="","",IFERROR(INDEX('RAID Log'!$1:$1048576,$B819,MATCH("Impact/Effect of the RAID",'RAID Log'!$1:$1,0)),"")))</f>
        <v/>
      </c>
      <c r="E819" s="85" t="str">
        <f>IF($B819="","",IF(IFERROR(INDEX('RAID Log'!$1:$1048576,$B819,MATCH("Impact Area",'RAID Log'!$1:$1,0)),"")="","",IFERROR(INDEX('RAID Log'!$1:$1048576,$B819,MATCH("Impact Area",'RAID Log'!$1:$1,0)),"")))</f>
        <v/>
      </c>
      <c r="F819" s="85" t="str">
        <f>IF($B819="","",IF(IFERROR(INDEX('RAID Log'!$1:$1048576,$B819,MATCH("Impact Area",'RAID Log'!$1:$1,0)),"")="","",IFERROR(INDEX('RAID Log'!$1:$1048576,$B819,MATCH("Impact Area",'RAID Log'!$1:$1,0)),"")))</f>
        <v/>
      </c>
      <c r="G819" s="85" t="str">
        <f>IF($B819="","",IF(IFERROR(INDEX('RAID Log'!$1:$1048576,$B819,MATCH("Impact Rating",'RAID Log'!$1:$1,0)),"")="","",IFERROR(INDEX('RAID Log'!$1:$1048576,$B819,MATCH("Impact Rating",'RAID Log'!$1:$1,0)),"")))</f>
        <v/>
      </c>
      <c r="H819" s="85" t="str">
        <f>IF($B819="","",IF(IFERROR(INDEX('RAID Log'!$1:$1048576,$B819,MATCH("Initial Probability",'RAID Log'!$1:$1,0)),"")="","",IFERROR(INDEX('RAID Log'!$1:$1048576,$B819,MATCH("Initial Probability",'RAID Log'!$1:$1,0)),"")))</f>
        <v/>
      </c>
      <c r="I819" s="86" t="str">
        <f t="shared" si="36"/>
        <v/>
      </c>
      <c r="J819" s="85" t="str">
        <f t="shared" si="37"/>
        <v/>
      </c>
      <c r="K819" s="86" t="str">
        <f t="shared" si="38"/>
        <v/>
      </c>
      <c r="L819" s="85" t="str">
        <f>IF($B819="","",IF(IFERROR(INDEX('RAID Log'!$1:$1048576,$B819,MATCH("Status",'RAID Log'!$1:$1,0)),"")="","",IFERROR(INDEX('RAID Log'!$1:$1048576,$B819,MATCH("Status",'RAID Log'!$1:$1,0)),"")))</f>
        <v/>
      </c>
      <c r="M819" s="85" t="str">
        <f>IF($B819="","",IF(IFERROR(INDEX('RAID Log'!$1:$1048576,$B819,MATCH("RAID Owner",'RAID Log'!$1:$1,0)),"")="","",IFERROR(INDEX('RAID Log'!$1:$1048576,$B819,MATCH("RAID Owner",'RAID Log'!$1:$1,0)),"")))</f>
        <v/>
      </c>
      <c r="N819" s="87" t="str">
        <f>IF($B819="","",IF(IFERROR(INDEX('RAID Log'!$1:$1048576,$B819,MATCH("Date Raised",'RAID Log'!$1:$1,0)),"")="","",IFERROR(INDEX('RAID Log'!$1:$1048576,$B819,MATCH("Date Raised",'RAID Log'!$1:$1,0)),"")))</f>
        <v/>
      </c>
      <c r="O819" s="87" t="str">
        <f>IF($B819="","",IF(IFERROR(INDEX('RAID Log'!$1:$1048576,$B819,MATCH("Closed Date",'RAID Log'!$1:$1,0)),"")="","",IFERROR(INDEX('RAID Log'!$1:$1048576,$B819,MATCH("Closed Date",'RAID Log'!$1:$1,0)),"")))</f>
        <v/>
      </c>
      <c r="P819" s="85" t="str">
        <f>IF($B819="","",IF(IFERROR(INDEX('RAID Log'!$1:$1048576,$B819,MATCH("Mitigation Strategy",'RAID Log'!$1:$1,0)),"")="","",IFERROR(INDEX('RAID Log'!$1:$1048576,$B819,MATCH("Mitigation Strategy",'RAID Log'!$1:$1,0)),"")))</f>
        <v/>
      </c>
      <c r="Q819" s="88" t="str">
        <f>IF($B819="","",IF(IFERROR(INDEX('RAID Log'!$1:$1048576,$B819,MATCH("RAID Response/Plan",'RAID Log'!$1:$1,0)),"")="","",IFERROR(INDEX('RAID Log'!$1:$1048576,$B819,MATCH("RAID Response/Plan",'RAID Log'!$1:$1,0)),"")))</f>
        <v/>
      </c>
    </row>
    <row r="820" spans="1:17" ht="14.25" customHeight="1">
      <c r="A820" s="82" t="str">
        <f>IF($B820="","",IF(IFERROR(INDEX('RAID Log'!$1:$1048576,$B820,MATCH("RAID ID",'RAID Log'!$1:$1,0)),"")="","",IFERROR(INDEX('RAID Log'!$1:$1048576,$B820,MATCH("RAID ID",'RAID Log'!$1:$1,0)),"")))</f>
        <v/>
      </c>
      <c r="B820" s="83" t="str">
        <f>IFERROR(MATCH(ROW()-1,'RAID Log'!$S:$S,0),"")</f>
        <v/>
      </c>
      <c r="C820" s="84" t="str">
        <f>IF($B820="","",IF(IFERROR(INDEX('RAID Log'!$1:$1048576,$B820,MATCH("Description",'RAID Log'!$1:$1,0)),"")="","",IFERROR(INDEX('RAID Log'!$1:$1048576,$B820,MATCH("Description",'RAID Log'!$1:$1,0)),"")))</f>
        <v/>
      </c>
      <c r="D820" s="84" t="str">
        <f>IF($B820="","",IF(IFERROR(INDEX('RAID Log'!$1:$1048576,$B820,MATCH("Impact/Effect of the RAID",'RAID Log'!$1:$1,0)),"")="","",IFERROR(INDEX('RAID Log'!$1:$1048576,$B820,MATCH("Impact/Effect of the RAID",'RAID Log'!$1:$1,0)),"")))</f>
        <v/>
      </c>
      <c r="E820" s="85" t="str">
        <f>IF($B820="","",IF(IFERROR(INDEX('RAID Log'!$1:$1048576,$B820,MATCH("Impact Area",'RAID Log'!$1:$1,0)),"")="","",IFERROR(INDEX('RAID Log'!$1:$1048576,$B820,MATCH("Impact Area",'RAID Log'!$1:$1,0)),"")))</f>
        <v/>
      </c>
      <c r="F820" s="85" t="str">
        <f>IF($B820="","",IF(IFERROR(INDEX('RAID Log'!$1:$1048576,$B820,MATCH("Impact Area",'RAID Log'!$1:$1,0)),"")="","",IFERROR(INDEX('RAID Log'!$1:$1048576,$B820,MATCH("Impact Area",'RAID Log'!$1:$1,0)),"")))</f>
        <v/>
      </c>
      <c r="G820" s="85" t="str">
        <f>IF($B820="","",IF(IFERROR(INDEX('RAID Log'!$1:$1048576,$B820,MATCH("Impact Rating",'RAID Log'!$1:$1,0)),"")="","",IFERROR(INDEX('RAID Log'!$1:$1048576,$B820,MATCH("Impact Rating",'RAID Log'!$1:$1,0)),"")))</f>
        <v/>
      </c>
      <c r="H820" s="85" t="str">
        <f>IF($B820="","",IF(IFERROR(INDEX('RAID Log'!$1:$1048576,$B820,MATCH("Initial Probability",'RAID Log'!$1:$1,0)),"")="","",IFERROR(INDEX('RAID Log'!$1:$1048576,$B820,MATCH("Initial Probability",'RAID Log'!$1:$1,0)),"")))</f>
        <v/>
      </c>
      <c r="I820" s="86" t="str">
        <f t="shared" si="36"/>
        <v/>
      </c>
      <c r="J820" s="85" t="str">
        <f t="shared" si="37"/>
        <v/>
      </c>
      <c r="K820" s="86" t="str">
        <f t="shared" si="38"/>
        <v/>
      </c>
      <c r="L820" s="85" t="str">
        <f>IF($B820="","",IF(IFERROR(INDEX('RAID Log'!$1:$1048576,$B820,MATCH("Status",'RAID Log'!$1:$1,0)),"")="","",IFERROR(INDEX('RAID Log'!$1:$1048576,$B820,MATCH("Status",'RAID Log'!$1:$1,0)),"")))</f>
        <v/>
      </c>
      <c r="M820" s="85" t="str">
        <f>IF($B820="","",IF(IFERROR(INDEX('RAID Log'!$1:$1048576,$B820,MATCH("RAID Owner",'RAID Log'!$1:$1,0)),"")="","",IFERROR(INDEX('RAID Log'!$1:$1048576,$B820,MATCH("RAID Owner",'RAID Log'!$1:$1,0)),"")))</f>
        <v/>
      </c>
      <c r="N820" s="87" t="str">
        <f>IF($B820="","",IF(IFERROR(INDEX('RAID Log'!$1:$1048576,$B820,MATCH("Date Raised",'RAID Log'!$1:$1,0)),"")="","",IFERROR(INDEX('RAID Log'!$1:$1048576,$B820,MATCH("Date Raised",'RAID Log'!$1:$1,0)),"")))</f>
        <v/>
      </c>
      <c r="O820" s="87" t="str">
        <f>IF($B820="","",IF(IFERROR(INDEX('RAID Log'!$1:$1048576,$B820,MATCH("Closed Date",'RAID Log'!$1:$1,0)),"")="","",IFERROR(INDEX('RAID Log'!$1:$1048576,$B820,MATCH("Closed Date",'RAID Log'!$1:$1,0)),"")))</f>
        <v/>
      </c>
      <c r="P820" s="85" t="str">
        <f>IF($B820="","",IF(IFERROR(INDEX('RAID Log'!$1:$1048576,$B820,MATCH("Mitigation Strategy",'RAID Log'!$1:$1,0)),"")="","",IFERROR(INDEX('RAID Log'!$1:$1048576,$B820,MATCH("Mitigation Strategy",'RAID Log'!$1:$1,0)),"")))</f>
        <v/>
      </c>
      <c r="Q820" s="88" t="str">
        <f>IF($B820="","",IF(IFERROR(INDEX('RAID Log'!$1:$1048576,$B820,MATCH("RAID Response/Plan",'RAID Log'!$1:$1,0)),"")="","",IFERROR(INDEX('RAID Log'!$1:$1048576,$B820,MATCH("RAID Response/Plan",'RAID Log'!$1:$1,0)),"")))</f>
        <v/>
      </c>
    </row>
    <row r="821" spans="1:17" ht="14.25" customHeight="1">
      <c r="A821" s="82" t="str">
        <f>IF($B821="","",IF(IFERROR(INDEX('RAID Log'!$1:$1048576,$B821,MATCH("RAID ID",'RAID Log'!$1:$1,0)),"")="","",IFERROR(INDEX('RAID Log'!$1:$1048576,$B821,MATCH("RAID ID",'RAID Log'!$1:$1,0)),"")))</f>
        <v/>
      </c>
      <c r="B821" s="83" t="str">
        <f>IFERROR(MATCH(ROW()-1,'RAID Log'!$S:$S,0),"")</f>
        <v/>
      </c>
      <c r="C821" s="84" t="str">
        <f>IF($B821="","",IF(IFERROR(INDEX('RAID Log'!$1:$1048576,$B821,MATCH("Description",'RAID Log'!$1:$1,0)),"")="","",IFERROR(INDEX('RAID Log'!$1:$1048576,$B821,MATCH("Description",'RAID Log'!$1:$1,0)),"")))</f>
        <v/>
      </c>
      <c r="D821" s="84" t="str">
        <f>IF($B821="","",IF(IFERROR(INDEX('RAID Log'!$1:$1048576,$B821,MATCH("Impact/Effect of the RAID",'RAID Log'!$1:$1,0)),"")="","",IFERROR(INDEX('RAID Log'!$1:$1048576,$B821,MATCH("Impact/Effect of the RAID",'RAID Log'!$1:$1,0)),"")))</f>
        <v/>
      </c>
      <c r="E821" s="85" t="str">
        <f>IF($B821="","",IF(IFERROR(INDEX('RAID Log'!$1:$1048576,$B821,MATCH("Impact Area",'RAID Log'!$1:$1,0)),"")="","",IFERROR(INDEX('RAID Log'!$1:$1048576,$B821,MATCH("Impact Area",'RAID Log'!$1:$1,0)),"")))</f>
        <v/>
      </c>
      <c r="F821" s="85" t="str">
        <f>IF($B821="","",IF(IFERROR(INDEX('RAID Log'!$1:$1048576,$B821,MATCH("Impact Area",'RAID Log'!$1:$1,0)),"")="","",IFERROR(INDEX('RAID Log'!$1:$1048576,$B821,MATCH("Impact Area",'RAID Log'!$1:$1,0)),"")))</f>
        <v/>
      </c>
      <c r="G821" s="85" t="str">
        <f>IF($B821="","",IF(IFERROR(INDEX('RAID Log'!$1:$1048576,$B821,MATCH("Impact Rating",'RAID Log'!$1:$1,0)),"")="","",IFERROR(INDEX('RAID Log'!$1:$1048576,$B821,MATCH("Impact Rating",'RAID Log'!$1:$1,0)),"")))</f>
        <v/>
      </c>
      <c r="H821" s="85" t="str">
        <f>IF($B821="","",IF(IFERROR(INDEX('RAID Log'!$1:$1048576,$B821,MATCH("Initial Probability",'RAID Log'!$1:$1,0)),"")="","",IFERROR(INDEX('RAID Log'!$1:$1048576,$B821,MATCH("Initial Probability",'RAID Log'!$1:$1,0)),"")))</f>
        <v/>
      </c>
      <c r="I821" s="86" t="str">
        <f t="shared" si="36"/>
        <v/>
      </c>
      <c r="J821" s="85" t="str">
        <f t="shared" si="37"/>
        <v/>
      </c>
      <c r="K821" s="86" t="str">
        <f t="shared" si="38"/>
        <v/>
      </c>
      <c r="L821" s="85" t="str">
        <f>IF($B821="","",IF(IFERROR(INDEX('RAID Log'!$1:$1048576,$B821,MATCH("Status",'RAID Log'!$1:$1,0)),"")="","",IFERROR(INDEX('RAID Log'!$1:$1048576,$B821,MATCH("Status",'RAID Log'!$1:$1,0)),"")))</f>
        <v/>
      </c>
      <c r="M821" s="85" t="str">
        <f>IF($B821="","",IF(IFERROR(INDEX('RAID Log'!$1:$1048576,$B821,MATCH("RAID Owner",'RAID Log'!$1:$1,0)),"")="","",IFERROR(INDEX('RAID Log'!$1:$1048576,$B821,MATCH("RAID Owner",'RAID Log'!$1:$1,0)),"")))</f>
        <v/>
      </c>
      <c r="N821" s="87" t="str">
        <f>IF($B821="","",IF(IFERROR(INDEX('RAID Log'!$1:$1048576,$B821,MATCH("Date Raised",'RAID Log'!$1:$1,0)),"")="","",IFERROR(INDEX('RAID Log'!$1:$1048576,$B821,MATCH("Date Raised",'RAID Log'!$1:$1,0)),"")))</f>
        <v/>
      </c>
      <c r="O821" s="87" t="str">
        <f>IF($B821="","",IF(IFERROR(INDEX('RAID Log'!$1:$1048576,$B821,MATCH("Closed Date",'RAID Log'!$1:$1,0)),"")="","",IFERROR(INDEX('RAID Log'!$1:$1048576,$B821,MATCH("Closed Date",'RAID Log'!$1:$1,0)),"")))</f>
        <v/>
      </c>
      <c r="P821" s="85" t="str">
        <f>IF($B821="","",IF(IFERROR(INDEX('RAID Log'!$1:$1048576,$B821,MATCH("Mitigation Strategy",'RAID Log'!$1:$1,0)),"")="","",IFERROR(INDEX('RAID Log'!$1:$1048576,$B821,MATCH("Mitigation Strategy",'RAID Log'!$1:$1,0)),"")))</f>
        <v/>
      </c>
      <c r="Q821" s="88" t="str">
        <f>IF($B821="","",IF(IFERROR(INDEX('RAID Log'!$1:$1048576,$B821,MATCH("RAID Response/Plan",'RAID Log'!$1:$1,0)),"")="","",IFERROR(INDEX('RAID Log'!$1:$1048576,$B821,MATCH("RAID Response/Plan",'RAID Log'!$1:$1,0)),"")))</f>
        <v/>
      </c>
    </row>
    <row r="822" spans="1:17" ht="14.25" customHeight="1">
      <c r="A822" s="82" t="str">
        <f>IF($B822="","",IF(IFERROR(INDEX('RAID Log'!$1:$1048576,$B822,MATCH("RAID ID",'RAID Log'!$1:$1,0)),"")="","",IFERROR(INDEX('RAID Log'!$1:$1048576,$B822,MATCH("RAID ID",'RAID Log'!$1:$1,0)),"")))</f>
        <v/>
      </c>
      <c r="B822" s="83" t="str">
        <f>IFERROR(MATCH(ROW()-1,'RAID Log'!$S:$S,0),"")</f>
        <v/>
      </c>
      <c r="C822" s="84" t="str">
        <f>IF($B822="","",IF(IFERROR(INDEX('RAID Log'!$1:$1048576,$B822,MATCH("Description",'RAID Log'!$1:$1,0)),"")="","",IFERROR(INDEX('RAID Log'!$1:$1048576,$B822,MATCH("Description",'RAID Log'!$1:$1,0)),"")))</f>
        <v/>
      </c>
      <c r="D822" s="84" t="str">
        <f>IF($B822="","",IF(IFERROR(INDEX('RAID Log'!$1:$1048576,$B822,MATCH("Impact/Effect of the RAID",'RAID Log'!$1:$1,0)),"")="","",IFERROR(INDEX('RAID Log'!$1:$1048576,$B822,MATCH("Impact/Effect of the RAID",'RAID Log'!$1:$1,0)),"")))</f>
        <v/>
      </c>
      <c r="E822" s="85" t="str">
        <f>IF($B822="","",IF(IFERROR(INDEX('RAID Log'!$1:$1048576,$B822,MATCH("Impact Area",'RAID Log'!$1:$1,0)),"")="","",IFERROR(INDEX('RAID Log'!$1:$1048576,$B822,MATCH("Impact Area",'RAID Log'!$1:$1,0)),"")))</f>
        <v/>
      </c>
      <c r="F822" s="85" t="str">
        <f>IF($B822="","",IF(IFERROR(INDEX('RAID Log'!$1:$1048576,$B822,MATCH("Impact Area",'RAID Log'!$1:$1,0)),"")="","",IFERROR(INDEX('RAID Log'!$1:$1048576,$B822,MATCH("Impact Area",'RAID Log'!$1:$1,0)),"")))</f>
        <v/>
      </c>
      <c r="G822" s="85" t="str">
        <f>IF($B822="","",IF(IFERROR(INDEX('RAID Log'!$1:$1048576,$B822,MATCH("Impact Rating",'RAID Log'!$1:$1,0)),"")="","",IFERROR(INDEX('RAID Log'!$1:$1048576,$B822,MATCH("Impact Rating",'RAID Log'!$1:$1,0)),"")))</f>
        <v/>
      </c>
      <c r="H822" s="85" t="str">
        <f>IF($B822="","",IF(IFERROR(INDEX('RAID Log'!$1:$1048576,$B822,MATCH("Initial Probability",'RAID Log'!$1:$1,0)),"")="","",IFERROR(INDEX('RAID Log'!$1:$1048576,$B822,MATCH("Initial Probability",'RAID Log'!$1:$1,0)),"")))</f>
        <v/>
      </c>
      <c r="I822" s="86" t="str">
        <f t="shared" si="36"/>
        <v/>
      </c>
      <c r="J822" s="85" t="str">
        <f t="shared" si="37"/>
        <v/>
      </c>
      <c r="K822" s="86" t="str">
        <f t="shared" si="38"/>
        <v/>
      </c>
      <c r="L822" s="85" t="str">
        <f>IF($B822="","",IF(IFERROR(INDEX('RAID Log'!$1:$1048576,$B822,MATCH("Status",'RAID Log'!$1:$1,0)),"")="","",IFERROR(INDEX('RAID Log'!$1:$1048576,$B822,MATCH("Status",'RAID Log'!$1:$1,0)),"")))</f>
        <v/>
      </c>
      <c r="M822" s="85" t="str">
        <f>IF($B822="","",IF(IFERROR(INDEX('RAID Log'!$1:$1048576,$B822,MATCH("RAID Owner",'RAID Log'!$1:$1,0)),"")="","",IFERROR(INDEX('RAID Log'!$1:$1048576,$B822,MATCH("RAID Owner",'RAID Log'!$1:$1,0)),"")))</f>
        <v/>
      </c>
      <c r="N822" s="87" t="str">
        <f>IF($B822="","",IF(IFERROR(INDEX('RAID Log'!$1:$1048576,$B822,MATCH("Date Raised",'RAID Log'!$1:$1,0)),"")="","",IFERROR(INDEX('RAID Log'!$1:$1048576,$B822,MATCH("Date Raised",'RAID Log'!$1:$1,0)),"")))</f>
        <v/>
      </c>
      <c r="O822" s="87" t="str">
        <f>IF($B822="","",IF(IFERROR(INDEX('RAID Log'!$1:$1048576,$B822,MATCH("Closed Date",'RAID Log'!$1:$1,0)),"")="","",IFERROR(INDEX('RAID Log'!$1:$1048576,$B822,MATCH("Closed Date",'RAID Log'!$1:$1,0)),"")))</f>
        <v/>
      </c>
      <c r="P822" s="85" t="str">
        <f>IF($B822="","",IF(IFERROR(INDEX('RAID Log'!$1:$1048576,$B822,MATCH("Mitigation Strategy",'RAID Log'!$1:$1,0)),"")="","",IFERROR(INDEX('RAID Log'!$1:$1048576,$B822,MATCH("Mitigation Strategy",'RAID Log'!$1:$1,0)),"")))</f>
        <v/>
      </c>
      <c r="Q822" s="88" t="str">
        <f>IF($B822="","",IF(IFERROR(INDEX('RAID Log'!$1:$1048576,$B822,MATCH("RAID Response/Plan",'RAID Log'!$1:$1,0)),"")="","",IFERROR(INDEX('RAID Log'!$1:$1048576,$B822,MATCH("RAID Response/Plan",'RAID Log'!$1:$1,0)),"")))</f>
        <v/>
      </c>
    </row>
    <row r="823" spans="1:17" ht="14.25" customHeight="1">
      <c r="A823" s="82" t="str">
        <f>IF($B823="","",IF(IFERROR(INDEX('RAID Log'!$1:$1048576,$B823,MATCH("RAID ID",'RAID Log'!$1:$1,0)),"")="","",IFERROR(INDEX('RAID Log'!$1:$1048576,$B823,MATCH("RAID ID",'RAID Log'!$1:$1,0)),"")))</f>
        <v/>
      </c>
      <c r="B823" s="83" t="str">
        <f>IFERROR(MATCH(ROW()-1,'RAID Log'!$S:$S,0),"")</f>
        <v/>
      </c>
      <c r="C823" s="84" t="str">
        <f>IF($B823="","",IF(IFERROR(INDEX('RAID Log'!$1:$1048576,$B823,MATCH("Description",'RAID Log'!$1:$1,0)),"")="","",IFERROR(INDEX('RAID Log'!$1:$1048576,$B823,MATCH("Description",'RAID Log'!$1:$1,0)),"")))</f>
        <v/>
      </c>
      <c r="D823" s="84" t="str">
        <f>IF($B823="","",IF(IFERROR(INDEX('RAID Log'!$1:$1048576,$B823,MATCH("Impact/Effect of the RAID",'RAID Log'!$1:$1,0)),"")="","",IFERROR(INDEX('RAID Log'!$1:$1048576,$B823,MATCH("Impact/Effect of the RAID",'RAID Log'!$1:$1,0)),"")))</f>
        <v/>
      </c>
      <c r="E823" s="85" t="str">
        <f>IF($B823="","",IF(IFERROR(INDEX('RAID Log'!$1:$1048576,$B823,MATCH("Impact Area",'RAID Log'!$1:$1,0)),"")="","",IFERROR(INDEX('RAID Log'!$1:$1048576,$B823,MATCH("Impact Area",'RAID Log'!$1:$1,0)),"")))</f>
        <v/>
      </c>
      <c r="F823" s="85" t="str">
        <f>IF($B823="","",IF(IFERROR(INDEX('RAID Log'!$1:$1048576,$B823,MATCH("Impact Area",'RAID Log'!$1:$1,0)),"")="","",IFERROR(INDEX('RAID Log'!$1:$1048576,$B823,MATCH("Impact Area",'RAID Log'!$1:$1,0)),"")))</f>
        <v/>
      </c>
      <c r="G823" s="85" t="str">
        <f>IF($B823="","",IF(IFERROR(INDEX('RAID Log'!$1:$1048576,$B823,MATCH("Impact Rating",'RAID Log'!$1:$1,0)),"")="","",IFERROR(INDEX('RAID Log'!$1:$1048576,$B823,MATCH("Impact Rating",'RAID Log'!$1:$1,0)),"")))</f>
        <v/>
      </c>
      <c r="H823" s="85" t="str">
        <f>IF($B823="","",IF(IFERROR(INDEX('RAID Log'!$1:$1048576,$B823,MATCH("Initial Probability",'RAID Log'!$1:$1,0)),"")="","",IFERROR(INDEX('RAID Log'!$1:$1048576,$B823,MATCH("Initial Probability",'RAID Log'!$1:$1,0)),"")))</f>
        <v/>
      </c>
      <c r="I823" s="86" t="str">
        <f t="shared" si="36"/>
        <v/>
      </c>
      <c r="J823" s="85" t="str">
        <f t="shared" si="37"/>
        <v/>
      </c>
      <c r="K823" s="86" t="str">
        <f t="shared" si="38"/>
        <v/>
      </c>
      <c r="L823" s="85" t="str">
        <f>IF($B823="","",IF(IFERROR(INDEX('RAID Log'!$1:$1048576,$B823,MATCH("Status",'RAID Log'!$1:$1,0)),"")="","",IFERROR(INDEX('RAID Log'!$1:$1048576,$B823,MATCH("Status",'RAID Log'!$1:$1,0)),"")))</f>
        <v/>
      </c>
      <c r="M823" s="85" t="str">
        <f>IF($B823="","",IF(IFERROR(INDEX('RAID Log'!$1:$1048576,$B823,MATCH("RAID Owner",'RAID Log'!$1:$1,0)),"")="","",IFERROR(INDEX('RAID Log'!$1:$1048576,$B823,MATCH("RAID Owner",'RAID Log'!$1:$1,0)),"")))</f>
        <v/>
      </c>
      <c r="N823" s="87" t="str">
        <f>IF($B823="","",IF(IFERROR(INDEX('RAID Log'!$1:$1048576,$B823,MATCH("Date Raised",'RAID Log'!$1:$1,0)),"")="","",IFERROR(INDEX('RAID Log'!$1:$1048576,$B823,MATCH("Date Raised",'RAID Log'!$1:$1,0)),"")))</f>
        <v/>
      </c>
      <c r="O823" s="87" t="str">
        <f>IF($B823="","",IF(IFERROR(INDEX('RAID Log'!$1:$1048576,$B823,MATCH("Closed Date",'RAID Log'!$1:$1,0)),"")="","",IFERROR(INDEX('RAID Log'!$1:$1048576,$B823,MATCH("Closed Date",'RAID Log'!$1:$1,0)),"")))</f>
        <v/>
      </c>
      <c r="P823" s="85" t="str">
        <f>IF($B823="","",IF(IFERROR(INDEX('RAID Log'!$1:$1048576,$B823,MATCH("Mitigation Strategy",'RAID Log'!$1:$1,0)),"")="","",IFERROR(INDEX('RAID Log'!$1:$1048576,$B823,MATCH("Mitigation Strategy",'RAID Log'!$1:$1,0)),"")))</f>
        <v/>
      </c>
      <c r="Q823" s="88" t="str">
        <f>IF($B823="","",IF(IFERROR(INDEX('RAID Log'!$1:$1048576,$B823,MATCH("RAID Response/Plan",'RAID Log'!$1:$1,0)),"")="","",IFERROR(INDEX('RAID Log'!$1:$1048576,$B823,MATCH("RAID Response/Plan",'RAID Log'!$1:$1,0)),"")))</f>
        <v/>
      </c>
    </row>
    <row r="824" spans="1:17" ht="14.25" customHeight="1">
      <c r="A824" s="82" t="str">
        <f>IF($B824="","",IF(IFERROR(INDEX('RAID Log'!$1:$1048576,$B824,MATCH("RAID ID",'RAID Log'!$1:$1,0)),"")="","",IFERROR(INDEX('RAID Log'!$1:$1048576,$B824,MATCH("RAID ID",'RAID Log'!$1:$1,0)),"")))</f>
        <v/>
      </c>
      <c r="B824" s="83" t="str">
        <f>IFERROR(MATCH(ROW()-1,'RAID Log'!$S:$S,0),"")</f>
        <v/>
      </c>
      <c r="C824" s="84" t="str">
        <f>IF($B824="","",IF(IFERROR(INDEX('RAID Log'!$1:$1048576,$B824,MATCH("Description",'RAID Log'!$1:$1,0)),"")="","",IFERROR(INDEX('RAID Log'!$1:$1048576,$B824,MATCH("Description",'RAID Log'!$1:$1,0)),"")))</f>
        <v/>
      </c>
      <c r="D824" s="84" t="str">
        <f>IF($B824="","",IF(IFERROR(INDEX('RAID Log'!$1:$1048576,$B824,MATCH("Impact/Effect of the RAID",'RAID Log'!$1:$1,0)),"")="","",IFERROR(INDEX('RAID Log'!$1:$1048576,$B824,MATCH("Impact/Effect of the RAID",'RAID Log'!$1:$1,0)),"")))</f>
        <v/>
      </c>
      <c r="E824" s="85" t="str">
        <f>IF($B824="","",IF(IFERROR(INDEX('RAID Log'!$1:$1048576,$B824,MATCH("Impact Area",'RAID Log'!$1:$1,0)),"")="","",IFERROR(INDEX('RAID Log'!$1:$1048576,$B824,MATCH("Impact Area",'RAID Log'!$1:$1,0)),"")))</f>
        <v/>
      </c>
      <c r="F824" s="85" t="str">
        <f>IF($B824="","",IF(IFERROR(INDEX('RAID Log'!$1:$1048576,$B824,MATCH("Impact Area",'RAID Log'!$1:$1,0)),"")="","",IFERROR(INDEX('RAID Log'!$1:$1048576,$B824,MATCH("Impact Area",'RAID Log'!$1:$1,0)),"")))</f>
        <v/>
      </c>
      <c r="G824" s="85" t="str">
        <f>IF($B824="","",IF(IFERROR(INDEX('RAID Log'!$1:$1048576,$B824,MATCH("Impact Rating",'RAID Log'!$1:$1,0)),"")="","",IFERROR(INDEX('RAID Log'!$1:$1048576,$B824,MATCH("Impact Rating",'RAID Log'!$1:$1,0)),"")))</f>
        <v/>
      </c>
      <c r="H824" s="85" t="str">
        <f>IF($B824="","",IF(IFERROR(INDEX('RAID Log'!$1:$1048576,$B824,MATCH("Initial Probability",'RAID Log'!$1:$1,0)),"")="","",IFERROR(INDEX('RAID Log'!$1:$1048576,$B824,MATCH("Initial Probability",'RAID Log'!$1:$1,0)),"")))</f>
        <v/>
      </c>
      <c r="I824" s="86" t="str">
        <f t="shared" si="36"/>
        <v/>
      </c>
      <c r="J824" s="85" t="str">
        <f t="shared" si="37"/>
        <v/>
      </c>
      <c r="K824" s="86" t="str">
        <f t="shared" si="38"/>
        <v/>
      </c>
      <c r="L824" s="85" t="str">
        <f>IF($B824="","",IF(IFERROR(INDEX('RAID Log'!$1:$1048576,$B824,MATCH("Status",'RAID Log'!$1:$1,0)),"")="","",IFERROR(INDEX('RAID Log'!$1:$1048576,$B824,MATCH("Status",'RAID Log'!$1:$1,0)),"")))</f>
        <v/>
      </c>
      <c r="M824" s="85" t="str">
        <f>IF($B824="","",IF(IFERROR(INDEX('RAID Log'!$1:$1048576,$B824,MATCH("RAID Owner",'RAID Log'!$1:$1,0)),"")="","",IFERROR(INDEX('RAID Log'!$1:$1048576,$B824,MATCH("RAID Owner",'RAID Log'!$1:$1,0)),"")))</f>
        <v/>
      </c>
      <c r="N824" s="87" t="str">
        <f>IF($B824="","",IF(IFERROR(INDEX('RAID Log'!$1:$1048576,$B824,MATCH("Date Raised",'RAID Log'!$1:$1,0)),"")="","",IFERROR(INDEX('RAID Log'!$1:$1048576,$B824,MATCH("Date Raised",'RAID Log'!$1:$1,0)),"")))</f>
        <v/>
      </c>
      <c r="O824" s="87" t="str">
        <f>IF($B824="","",IF(IFERROR(INDEX('RAID Log'!$1:$1048576,$B824,MATCH("Closed Date",'RAID Log'!$1:$1,0)),"")="","",IFERROR(INDEX('RAID Log'!$1:$1048576,$B824,MATCH("Closed Date",'RAID Log'!$1:$1,0)),"")))</f>
        <v/>
      </c>
      <c r="P824" s="85" t="str">
        <f>IF($B824="","",IF(IFERROR(INDEX('RAID Log'!$1:$1048576,$B824,MATCH("Mitigation Strategy",'RAID Log'!$1:$1,0)),"")="","",IFERROR(INDEX('RAID Log'!$1:$1048576,$B824,MATCH("Mitigation Strategy",'RAID Log'!$1:$1,0)),"")))</f>
        <v/>
      </c>
      <c r="Q824" s="88" t="str">
        <f>IF($B824="","",IF(IFERROR(INDEX('RAID Log'!$1:$1048576,$B824,MATCH("RAID Response/Plan",'RAID Log'!$1:$1,0)),"")="","",IFERROR(INDEX('RAID Log'!$1:$1048576,$B824,MATCH("RAID Response/Plan",'RAID Log'!$1:$1,0)),"")))</f>
        <v/>
      </c>
    </row>
    <row r="825" spans="1:17" ht="14.25" customHeight="1">
      <c r="A825" s="82" t="str">
        <f>IF($B825="","",IF(IFERROR(INDEX('RAID Log'!$1:$1048576,$B825,MATCH("RAID ID",'RAID Log'!$1:$1,0)),"")="","",IFERROR(INDEX('RAID Log'!$1:$1048576,$B825,MATCH("RAID ID",'RAID Log'!$1:$1,0)),"")))</f>
        <v/>
      </c>
      <c r="B825" s="83" t="str">
        <f>IFERROR(MATCH(ROW()-1,'RAID Log'!$S:$S,0),"")</f>
        <v/>
      </c>
      <c r="C825" s="84" t="str">
        <f>IF($B825="","",IF(IFERROR(INDEX('RAID Log'!$1:$1048576,$B825,MATCH("Description",'RAID Log'!$1:$1,0)),"")="","",IFERROR(INDEX('RAID Log'!$1:$1048576,$B825,MATCH("Description",'RAID Log'!$1:$1,0)),"")))</f>
        <v/>
      </c>
      <c r="D825" s="84" t="str">
        <f>IF($B825="","",IF(IFERROR(INDEX('RAID Log'!$1:$1048576,$B825,MATCH("Impact/Effect of the RAID",'RAID Log'!$1:$1,0)),"")="","",IFERROR(INDEX('RAID Log'!$1:$1048576,$B825,MATCH("Impact/Effect of the RAID",'RAID Log'!$1:$1,0)),"")))</f>
        <v/>
      </c>
      <c r="E825" s="85" t="str">
        <f>IF($B825="","",IF(IFERROR(INDEX('RAID Log'!$1:$1048576,$B825,MATCH("Impact Area",'RAID Log'!$1:$1,0)),"")="","",IFERROR(INDEX('RAID Log'!$1:$1048576,$B825,MATCH("Impact Area",'RAID Log'!$1:$1,0)),"")))</f>
        <v/>
      </c>
      <c r="F825" s="85" t="str">
        <f>IF($B825="","",IF(IFERROR(INDEX('RAID Log'!$1:$1048576,$B825,MATCH("Impact Area",'RAID Log'!$1:$1,0)),"")="","",IFERROR(INDEX('RAID Log'!$1:$1048576,$B825,MATCH("Impact Area",'RAID Log'!$1:$1,0)),"")))</f>
        <v/>
      </c>
      <c r="G825" s="85" t="str">
        <f>IF($B825="","",IF(IFERROR(INDEX('RAID Log'!$1:$1048576,$B825,MATCH("Impact Rating",'RAID Log'!$1:$1,0)),"")="","",IFERROR(INDEX('RAID Log'!$1:$1048576,$B825,MATCH("Impact Rating",'RAID Log'!$1:$1,0)),"")))</f>
        <v/>
      </c>
      <c r="H825" s="85" t="str">
        <f>IF($B825="","",IF(IFERROR(INDEX('RAID Log'!$1:$1048576,$B825,MATCH("Initial Probability",'RAID Log'!$1:$1,0)),"")="","",IFERROR(INDEX('RAID Log'!$1:$1048576,$B825,MATCH("Initial Probability",'RAID Log'!$1:$1,0)),"")))</f>
        <v/>
      </c>
      <c r="I825" s="86" t="str">
        <f t="shared" si="36"/>
        <v/>
      </c>
      <c r="J825" s="85" t="str">
        <f t="shared" si="37"/>
        <v/>
      </c>
      <c r="K825" s="86" t="str">
        <f t="shared" si="38"/>
        <v/>
      </c>
      <c r="L825" s="85" t="str">
        <f>IF($B825="","",IF(IFERROR(INDEX('RAID Log'!$1:$1048576,$B825,MATCH("Status",'RAID Log'!$1:$1,0)),"")="","",IFERROR(INDEX('RAID Log'!$1:$1048576,$B825,MATCH("Status",'RAID Log'!$1:$1,0)),"")))</f>
        <v/>
      </c>
      <c r="M825" s="85" t="str">
        <f>IF($B825="","",IF(IFERROR(INDEX('RAID Log'!$1:$1048576,$B825,MATCH("RAID Owner",'RAID Log'!$1:$1,0)),"")="","",IFERROR(INDEX('RAID Log'!$1:$1048576,$B825,MATCH("RAID Owner",'RAID Log'!$1:$1,0)),"")))</f>
        <v/>
      </c>
      <c r="N825" s="87" t="str">
        <f>IF($B825="","",IF(IFERROR(INDEX('RAID Log'!$1:$1048576,$B825,MATCH("Date Raised",'RAID Log'!$1:$1,0)),"")="","",IFERROR(INDEX('RAID Log'!$1:$1048576,$B825,MATCH("Date Raised",'RAID Log'!$1:$1,0)),"")))</f>
        <v/>
      </c>
      <c r="O825" s="87" t="str">
        <f>IF($B825="","",IF(IFERROR(INDEX('RAID Log'!$1:$1048576,$B825,MATCH("Closed Date",'RAID Log'!$1:$1,0)),"")="","",IFERROR(INDEX('RAID Log'!$1:$1048576,$B825,MATCH("Closed Date",'RAID Log'!$1:$1,0)),"")))</f>
        <v/>
      </c>
      <c r="P825" s="85" t="str">
        <f>IF($B825="","",IF(IFERROR(INDEX('RAID Log'!$1:$1048576,$B825,MATCH("Mitigation Strategy",'RAID Log'!$1:$1,0)),"")="","",IFERROR(INDEX('RAID Log'!$1:$1048576,$B825,MATCH("Mitigation Strategy",'RAID Log'!$1:$1,0)),"")))</f>
        <v/>
      </c>
      <c r="Q825" s="88" t="str">
        <f>IF($B825="","",IF(IFERROR(INDEX('RAID Log'!$1:$1048576,$B825,MATCH("RAID Response/Plan",'RAID Log'!$1:$1,0)),"")="","",IFERROR(INDEX('RAID Log'!$1:$1048576,$B825,MATCH("RAID Response/Plan",'RAID Log'!$1:$1,0)),"")))</f>
        <v/>
      </c>
    </row>
    <row r="826" spans="1:17" ht="14.25" customHeight="1">
      <c r="A826" s="82" t="str">
        <f>IF($B826="","",IF(IFERROR(INDEX('RAID Log'!$1:$1048576,$B826,MATCH("RAID ID",'RAID Log'!$1:$1,0)),"")="","",IFERROR(INDEX('RAID Log'!$1:$1048576,$B826,MATCH("RAID ID",'RAID Log'!$1:$1,0)),"")))</f>
        <v/>
      </c>
      <c r="B826" s="83" t="str">
        <f>IFERROR(MATCH(ROW()-1,'RAID Log'!$S:$S,0),"")</f>
        <v/>
      </c>
      <c r="C826" s="84" t="str">
        <f>IF($B826="","",IF(IFERROR(INDEX('RAID Log'!$1:$1048576,$B826,MATCH("Description",'RAID Log'!$1:$1,0)),"")="","",IFERROR(INDEX('RAID Log'!$1:$1048576,$B826,MATCH("Description",'RAID Log'!$1:$1,0)),"")))</f>
        <v/>
      </c>
      <c r="D826" s="84" t="str">
        <f>IF($B826="","",IF(IFERROR(INDEX('RAID Log'!$1:$1048576,$B826,MATCH("Impact/Effect of the RAID",'RAID Log'!$1:$1,0)),"")="","",IFERROR(INDEX('RAID Log'!$1:$1048576,$B826,MATCH("Impact/Effect of the RAID",'RAID Log'!$1:$1,0)),"")))</f>
        <v/>
      </c>
      <c r="E826" s="85" t="str">
        <f>IF($B826="","",IF(IFERROR(INDEX('RAID Log'!$1:$1048576,$B826,MATCH("Impact Area",'RAID Log'!$1:$1,0)),"")="","",IFERROR(INDEX('RAID Log'!$1:$1048576,$B826,MATCH("Impact Area",'RAID Log'!$1:$1,0)),"")))</f>
        <v/>
      </c>
      <c r="F826" s="85" t="str">
        <f>IF($B826="","",IF(IFERROR(INDEX('RAID Log'!$1:$1048576,$B826,MATCH("Impact Area",'RAID Log'!$1:$1,0)),"")="","",IFERROR(INDEX('RAID Log'!$1:$1048576,$B826,MATCH("Impact Area",'RAID Log'!$1:$1,0)),"")))</f>
        <v/>
      </c>
      <c r="G826" s="85" t="str">
        <f>IF($B826="","",IF(IFERROR(INDEX('RAID Log'!$1:$1048576,$B826,MATCH("Impact Rating",'RAID Log'!$1:$1,0)),"")="","",IFERROR(INDEX('RAID Log'!$1:$1048576,$B826,MATCH("Impact Rating",'RAID Log'!$1:$1,0)),"")))</f>
        <v/>
      </c>
      <c r="H826" s="85" t="str">
        <f>IF($B826="","",IF(IFERROR(INDEX('RAID Log'!$1:$1048576,$B826,MATCH("Initial Probability",'RAID Log'!$1:$1,0)),"")="","",IFERROR(INDEX('RAID Log'!$1:$1048576,$B826,MATCH("Initial Probability",'RAID Log'!$1:$1,0)),"")))</f>
        <v/>
      </c>
      <c r="I826" s="86" t="str">
        <f t="shared" si="36"/>
        <v/>
      </c>
      <c r="J826" s="85" t="str">
        <f t="shared" si="37"/>
        <v/>
      </c>
      <c r="K826" s="86" t="str">
        <f t="shared" si="38"/>
        <v/>
      </c>
      <c r="L826" s="85" t="str">
        <f>IF($B826="","",IF(IFERROR(INDEX('RAID Log'!$1:$1048576,$B826,MATCH("Status",'RAID Log'!$1:$1,0)),"")="","",IFERROR(INDEX('RAID Log'!$1:$1048576,$B826,MATCH("Status",'RAID Log'!$1:$1,0)),"")))</f>
        <v/>
      </c>
      <c r="M826" s="85" t="str">
        <f>IF($B826="","",IF(IFERROR(INDEX('RAID Log'!$1:$1048576,$B826,MATCH("RAID Owner",'RAID Log'!$1:$1,0)),"")="","",IFERROR(INDEX('RAID Log'!$1:$1048576,$B826,MATCH("RAID Owner",'RAID Log'!$1:$1,0)),"")))</f>
        <v/>
      </c>
      <c r="N826" s="87" t="str">
        <f>IF($B826="","",IF(IFERROR(INDEX('RAID Log'!$1:$1048576,$B826,MATCH("Date Raised",'RAID Log'!$1:$1,0)),"")="","",IFERROR(INDEX('RAID Log'!$1:$1048576,$B826,MATCH("Date Raised",'RAID Log'!$1:$1,0)),"")))</f>
        <v/>
      </c>
      <c r="O826" s="87" t="str">
        <f>IF($B826="","",IF(IFERROR(INDEX('RAID Log'!$1:$1048576,$B826,MATCH("Closed Date",'RAID Log'!$1:$1,0)),"")="","",IFERROR(INDEX('RAID Log'!$1:$1048576,$B826,MATCH("Closed Date",'RAID Log'!$1:$1,0)),"")))</f>
        <v/>
      </c>
      <c r="P826" s="85" t="str">
        <f>IF($B826="","",IF(IFERROR(INDEX('RAID Log'!$1:$1048576,$B826,MATCH("Mitigation Strategy",'RAID Log'!$1:$1,0)),"")="","",IFERROR(INDEX('RAID Log'!$1:$1048576,$B826,MATCH("Mitigation Strategy",'RAID Log'!$1:$1,0)),"")))</f>
        <v/>
      </c>
      <c r="Q826" s="88" t="str">
        <f>IF($B826="","",IF(IFERROR(INDEX('RAID Log'!$1:$1048576,$B826,MATCH("RAID Response/Plan",'RAID Log'!$1:$1,0)),"")="","",IFERROR(INDEX('RAID Log'!$1:$1048576,$B826,MATCH("RAID Response/Plan",'RAID Log'!$1:$1,0)),"")))</f>
        <v/>
      </c>
    </row>
    <row r="827" spans="1:17" ht="14.25" customHeight="1">
      <c r="A827" s="82" t="str">
        <f>IF($B827="","",IF(IFERROR(INDEX('RAID Log'!$1:$1048576,$B827,MATCH("RAID ID",'RAID Log'!$1:$1,0)),"")="","",IFERROR(INDEX('RAID Log'!$1:$1048576,$B827,MATCH("RAID ID",'RAID Log'!$1:$1,0)),"")))</f>
        <v/>
      </c>
      <c r="B827" s="83" t="str">
        <f>IFERROR(MATCH(ROW()-1,'RAID Log'!$S:$S,0),"")</f>
        <v/>
      </c>
      <c r="C827" s="84" t="str">
        <f>IF($B827="","",IF(IFERROR(INDEX('RAID Log'!$1:$1048576,$B827,MATCH("Description",'RAID Log'!$1:$1,0)),"")="","",IFERROR(INDEX('RAID Log'!$1:$1048576,$B827,MATCH("Description",'RAID Log'!$1:$1,0)),"")))</f>
        <v/>
      </c>
      <c r="D827" s="84" t="str">
        <f>IF($B827="","",IF(IFERROR(INDEX('RAID Log'!$1:$1048576,$B827,MATCH("Impact/Effect of the RAID",'RAID Log'!$1:$1,0)),"")="","",IFERROR(INDEX('RAID Log'!$1:$1048576,$B827,MATCH("Impact/Effect of the RAID",'RAID Log'!$1:$1,0)),"")))</f>
        <v/>
      </c>
      <c r="E827" s="85" t="str">
        <f>IF($B827="","",IF(IFERROR(INDEX('RAID Log'!$1:$1048576,$B827,MATCH("Impact Area",'RAID Log'!$1:$1,0)),"")="","",IFERROR(INDEX('RAID Log'!$1:$1048576,$B827,MATCH("Impact Area",'RAID Log'!$1:$1,0)),"")))</f>
        <v/>
      </c>
      <c r="F827" s="85" t="str">
        <f>IF($B827="","",IF(IFERROR(INDEX('RAID Log'!$1:$1048576,$B827,MATCH("Impact Area",'RAID Log'!$1:$1,0)),"")="","",IFERROR(INDEX('RAID Log'!$1:$1048576,$B827,MATCH("Impact Area",'RAID Log'!$1:$1,0)),"")))</f>
        <v/>
      </c>
      <c r="G827" s="85" t="str">
        <f>IF($B827="","",IF(IFERROR(INDEX('RAID Log'!$1:$1048576,$B827,MATCH("Impact Rating",'RAID Log'!$1:$1,0)),"")="","",IFERROR(INDEX('RAID Log'!$1:$1048576,$B827,MATCH("Impact Rating",'RAID Log'!$1:$1,0)),"")))</f>
        <v/>
      </c>
      <c r="H827" s="85" t="str">
        <f>IF($B827="","",IF(IFERROR(INDEX('RAID Log'!$1:$1048576,$B827,MATCH("Initial Probability",'RAID Log'!$1:$1,0)),"")="","",IFERROR(INDEX('RAID Log'!$1:$1048576,$B827,MATCH("Initial Probability",'RAID Log'!$1:$1,0)),"")))</f>
        <v/>
      </c>
      <c r="I827" s="86" t="str">
        <f t="shared" si="36"/>
        <v/>
      </c>
      <c r="J827" s="85" t="str">
        <f t="shared" si="37"/>
        <v/>
      </c>
      <c r="K827" s="86" t="str">
        <f t="shared" si="38"/>
        <v/>
      </c>
      <c r="L827" s="85" t="str">
        <f>IF($B827="","",IF(IFERROR(INDEX('RAID Log'!$1:$1048576,$B827,MATCH("Status",'RAID Log'!$1:$1,0)),"")="","",IFERROR(INDEX('RAID Log'!$1:$1048576,$B827,MATCH("Status",'RAID Log'!$1:$1,0)),"")))</f>
        <v/>
      </c>
      <c r="M827" s="85" t="str">
        <f>IF($B827="","",IF(IFERROR(INDEX('RAID Log'!$1:$1048576,$B827,MATCH("RAID Owner",'RAID Log'!$1:$1,0)),"")="","",IFERROR(INDEX('RAID Log'!$1:$1048576,$B827,MATCH("RAID Owner",'RAID Log'!$1:$1,0)),"")))</f>
        <v/>
      </c>
      <c r="N827" s="87" t="str">
        <f>IF($B827="","",IF(IFERROR(INDEX('RAID Log'!$1:$1048576,$B827,MATCH("Date Raised",'RAID Log'!$1:$1,0)),"")="","",IFERROR(INDEX('RAID Log'!$1:$1048576,$B827,MATCH("Date Raised",'RAID Log'!$1:$1,0)),"")))</f>
        <v/>
      </c>
      <c r="O827" s="87" t="str">
        <f>IF($B827="","",IF(IFERROR(INDEX('RAID Log'!$1:$1048576,$B827,MATCH("Closed Date",'RAID Log'!$1:$1,0)),"")="","",IFERROR(INDEX('RAID Log'!$1:$1048576,$B827,MATCH("Closed Date",'RAID Log'!$1:$1,0)),"")))</f>
        <v/>
      </c>
      <c r="P827" s="85" t="str">
        <f>IF($B827="","",IF(IFERROR(INDEX('RAID Log'!$1:$1048576,$B827,MATCH("Mitigation Strategy",'RAID Log'!$1:$1,0)),"")="","",IFERROR(INDEX('RAID Log'!$1:$1048576,$B827,MATCH("Mitigation Strategy",'RAID Log'!$1:$1,0)),"")))</f>
        <v/>
      </c>
      <c r="Q827" s="88" t="str">
        <f>IF($B827="","",IF(IFERROR(INDEX('RAID Log'!$1:$1048576,$B827,MATCH("RAID Response/Plan",'RAID Log'!$1:$1,0)),"")="","",IFERROR(INDEX('RAID Log'!$1:$1048576,$B827,MATCH("RAID Response/Plan",'RAID Log'!$1:$1,0)),"")))</f>
        <v/>
      </c>
    </row>
    <row r="828" spans="1:17" ht="14.25" customHeight="1">
      <c r="A828" s="82" t="str">
        <f>IF($B828="","",IF(IFERROR(INDEX('RAID Log'!$1:$1048576,$B828,MATCH("RAID ID",'RAID Log'!$1:$1,0)),"")="","",IFERROR(INDEX('RAID Log'!$1:$1048576,$B828,MATCH("RAID ID",'RAID Log'!$1:$1,0)),"")))</f>
        <v/>
      </c>
      <c r="B828" s="83" t="str">
        <f>IFERROR(MATCH(ROW()-1,'RAID Log'!$S:$S,0),"")</f>
        <v/>
      </c>
      <c r="C828" s="84" t="str">
        <f>IF($B828="","",IF(IFERROR(INDEX('RAID Log'!$1:$1048576,$B828,MATCH("Description",'RAID Log'!$1:$1,0)),"")="","",IFERROR(INDEX('RAID Log'!$1:$1048576,$B828,MATCH("Description",'RAID Log'!$1:$1,0)),"")))</f>
        <v/>
      </c>
      <c r="D828" s="84" t="str">
        <f>IF($B828="","",IF(IFERROR(INDEX('RAID Log'!$1:$1048576,$B828,MATCH("Impact/Effect of the RAID",'RAID Log'!$1:$1,0)),"")="","",IFERROR(INDEX('RAID Log'!$1:$1048576,$B828,MATCH("Impact/Effect of the RAID",'RAID Log'!$1:$1,0)),"")))</f>
        <v/>
      </c>
      <c r="E828" s="85" t="str">
        <f>IF($B828="","",IF(IFERROR(INDEX('RAID Log'!$1:$1048576,$B828,MATCH("Impact Area",'RAID Log'!$1:$1,0)),"")="","",IFERROR(INDEX('RAID Log'!$1:$1048576,$B828,MATCH("Impact Area",'RAID Log'!$1:$1,0)),"")))</f>
        <v/>
      </c>
      <c r="F828" s="85" t="str">
        <f>IF($B828="","",IF(IFERROR(INDEX('RAID Log'!$1:$1048576,$B828,MATCH("Impact Area",'RAID Log'!$1:$1,0)),"")="","",IFERROR(INDEX('RAID Log'!$1:$1048576,$B828,MATCH("Impact Area",'RAID Log'!$1:$1,0)),"")))</f>
        <v/>
      </c>
      <c r="G828" s="85" t="str">
        <f>IF($B828="","",IF(IFERROR(INDEX('RAID Log'!$1:$1048576,$B828,MATCH("Impact Rating",'RAID Log'!$1:$1,0)),"")="","",IFERROR(INDEX('RAID Log'!$1:$1048576,$B828,MATCH("Impact Rating",'RAID Log'!$1:$1,0)),"")))</f>
        <v/>
      </c>
      <c r="H828" s="85" t="str">
        <f>IF($B828="","",IF(IFERROR(INDEX('RAID Log'!$1:$1048576,$B828,MATCH("Initial Probability",'RAID Log'!$1:$1,0)),"")="","",IFERROR(INDEX('RAID Log'!$1:$1048576,$B828,MATCH("Initial Probability",'RAID Log'!$1:$1,0)),"")))</f>
        <v/>
      </c>
      <c r="I828" s="86" t="str">
        <f t="shared" si="36"/>
        <v/>
      </c>
      <c r="J828" s="85" t="str">
        <f t="shared" si="37"/>
        <v/>
      </c>
      <c r="K828" s="86" t="str">
        <f t="shared" si="38"/>
        <v/>
      </c>
      <c r="L828" s="85" t="str">
        <f>IF($B828="","",IF(IFERROR(INDEX('RAID Log'!$1:$1048576,$B828,MATCH("Status",'RAID Log'!$1:$1,0)),"")="","",IFERROR(INDEX('RAID Log'!$1:$1048576,$B828,MATCH("Status",'RAID Log'!$1:$1,0)),"")))</f>
        <v/>
      </c>
      <c r="M828" s="85" t="str">
        <f>IF($B828="","",IF(IFERROR(INDEX('RAID Log'!$1:$1048576,$B828,MATCH("RAID Owner",'RAID Log'!$1:$1,0)),"")="","",IFERROR(INDEX('RAID Log'!$1:$1048576,$B828,MATCH("RAID Owner",'RAID Log'!$1:$1,0)),"")))</f>
        <v/>
      </c>
      <c r="N828" s="87" t="str">
        <f>IF($B828="","",IF(IFERROR(INDEX('RAID Log'!$1:$1048576,$B828,MATCH("Date Raised",'RAID Log'!$1:$1,0)),"")="","",IFERROR(INDEX('RAID Log'!$1:$1048576,$B828,MATCH("Date Raised",'RAID Log'!$1:$1,0)),"")))</f>
        <v/>
      </c>
      <c r="O828" s="87" t="str">
        <f>IF($B828="","",IF(IFERROR(INDEX('RAID Log'!$1:$1048576,$B828,MATCH("Closed Date",'RAID Log'!$1:$1,0)),"")="","",IFERROR(INDEX('RAID Log'!$1:$1048576,$B828,MATCH("Closed Date",'RAID Log'!$1:$1,0)),"")))</f>
        <v/>
      </c>
      <c r="P828" s="85" t="str">
        <f>IF($B828="","",IF(IFERROR(INDEX('RAID Log'!$1:$1048576,$B828,MATCH("Mitigation Strategy",'RAID Log'!$1:$1,0)),"")="","",IFERROR(INDEX('RAID Log'!$1:$1048576,$B828,MATCH("Mitigation Strategy",'RAID Log'!$1:$1,0)),"")))</f>
        <v/>
      </c>
      <c r="Q828" s="88" t="str">
        <f>IF($B828="","",IF(IFERROR(INDEX('RAID Log'!$1:$1048576,$B828,MATCH("RAID Response/Plan",'RAID Log'!$1:$1,0)),"")="","",IFERROR(INDEX('RAID Log'!$1:$1048576,$B828,MATCH("RAID Response/Plan",'RAID Log'!$1:$1,0)),"")))</f>
        <v/>
      </c>
    </row>
    <row r="829" spans="1:17" ht="14.25" customHeight="1">
      <c r="A829" s="82" t="str">
        <f>IF($B829="","",IF(IFERROR(INDEX('RAID Log'!$1:$1048576,$B829,MATCH("RAID ID",'RAID Log'!$1:$1,0)),"")="","",IFERROR(INDEX('RAID Log'!$1:$1048576,$B829,MATCH("RAID ID",'RAID Log'!$1:$1,0)),"")))</f>
        <v/>
      </c>
      <c r="B829" s="83" t="str">
        <f>IFERROR(MATCH(ROW()-1,'RAID Log'!$S:$S,0),"")</f>
        <v/>
      </c>
      <c r="C829" s="84" t="str">
        <f>IF($B829="","",IF(IFERROR(INDEX('RAID Log'!$1:$1048576,$B829,MATCH("Description",'RAID Log'!$1:$1,0)),"")="","",IFERROR(INDEX('RAID Log'!$1:$1048576,$B829,MATCH("Description",'RAID Log'!$1:$1,0)),"")))</f>
        <v/>
      </c>
      <c r="D829" s="84" t="str">
        <f>IF($B829="","",IF(IFERROR(INDEX('RAID Log'!$1:$1048576,$B829,MATCH("Impact/Effect of the RAID",'RAID Log'!$1:$1,0)),"")="","",IFERROR(INDEX('RAID Log'!$1:$1048576,$B829,MATCH("Impact/Effect of the RAID",'RAID Log'!$1:$1,0)),"")))</f>
        <v/>
      </c>
      <c r="E829" s="85" t="str">
        <f>IF($B829="","",IF(IFERROR(INDEX('RAID Log'!$1:$1048576,$B829,MATCH("Impact Area",'RAID Log'!$1:$1,0)),"")="","",IFERROR(INDEX('RAID Log'!$1:$1048576,$B829,MATCH("Impact Area",'RAID Log'!$1:$1,0)),"")))</f>
        <v/>
      </c>
      <c r="F829" s="85" t="str">
        <f>IF($B829="","",IF(IFERROR(INDEX('RAID Log'!$1:$1048576,$B829,MATCH("Impact Area",'RAID Log'!$1:$1,0)),"")="","",IFERROR(INDEX('RAID Log'!$1:$1048576,$B829,MATCH("Impact Area",'RAID Log'!$1:$1,0)),"")))</f>
        <v/>
      </c>
      <c r="G829" s="85" t="str">
        <f>IF($B829="","",IF(IFERROR(INDEX('RAID Log'!$1:$1048576,$B829,MATCH("Impact Rating",'RAID Log'!$1:$1,0)),"")="","",IFERROR(INDEX('RAID Log'!$1:$1048576,$B829,MATCH("Impact Rating",'RAID Log'!$1:$1,0)),"")))</f>
        <v/>
      </c>
      <c r="H829" s="85" t="str">
        <f>IF($B829="","",IF(IFERROR(INDEX('RAID Log'!$1:$1048576,$B829,MATCH("Initial Probability",'RAID Log'!$1:$1,0)),"")="","",IFERROR(INDEX('RAID Log'!$1:$1048576,$B829,MATCH("Initial Probability",'RAID Log'!$1:$1,0)),"")))</f>
        <v/>
      </c>
      <c r="I829" s="86" t="str">
        <f t="shared" si="36"/>
        <v/>
      </c>
      <c r="J829" s="85" t="str">
        <f t="shared" si="37"/>
        <v/>
      </c>
      <c r="K829" s="86" t="str">
        <f t="shared" si="38"/>
        <v/>
      </c>
      <c r="L829" s="85" t="str">
        <f>IF($B829="","",IF(IFERROR(INDEX('RAID Log'!$1:$1048576,$B829,MATCH("Status",'RAID Log'!$1:$1,0)),"")="","",IFERROR(INDEX('RAID Log'!$1:$1048576,$B829,MATCH("Status",'RAID Log'!$1:$1,0)),"")))</f>
        <v/>
      </c>
      <c r="M829" s="85" t="str">
        <f>IF($B829="","",IF(IFERROR(INDEX('RAID Log'!$1:$1048576,$B829,MATCH("RAID Owner",'RAID Log'!$1:$1,0)),"")="","",IFERROR(INDEX('RAID Log'!$1:$1048576,$B829,MATCH("RAID Owner",'RAID Log'!$1:$1,0)),"")))</f>
        <v/>
      </c>
      <c r="N829" s="87" t="str">
        <f>IF($B829="","",IF(IFERROR(INDEX('RAID Log'!$1:$1048576,$B829,MATCH("Date Raised",'RAID Log'!$1:$1,0)),"")="","",IFERROR(INDEX('RAID Log'!$1:$1048576,$B829,MATCH("Date Raised",'RAID Log'!$1:$1,0)),"")))</f>
        <v/>
      </c>
      <c r="O829" s="87" t="str">
        <f>IF($B829="","",IF(IFERROR(INDEX('RAID Log'!$1:$1048576,$B829,MATCH("Closed Date",'RAID Log'!$1:$1,0)),"")="","",IFERROR(INDEX('RAID Log'!$1:$1048576,$B829,MATCH("Closed Date",'RAID Log'!$1:$1,0)),"")))</f>
        <v/>
      </c>
      <c r="P829" s="85" t="str">
        <f>IF($B829="","",IF(IFERROR(INDEX('RAID Log'!$1:$1048576,$B829,MATCH("Mitigation Strategy",'RAID Log'!$1:$1,0)),"")="","",IFERROR(INDEX('RAID Log'!$1:$1048576,$B829,MATCH("Mitigation Strategy",'RAID Log'!$1:$1,0)),"")))</f>
        <v/>
      </c>
      <c r="Q829" s="88" t="str">
        <f>IF($B829="","",IF(IFERROR(INDEX('RAID Log'!$1:$1048576,$B829,MATCH("RAID Response/Plan",'RAID Log'!$1:$1,0)),"")="","",IFERROR(INDEX('RAID Log'!$1:$1048576,$B829,MATCH("RAID Response/Plan",'RAID Log'!$1:$1,0)),"")))</f>
        <v/>
      </c>
    </row>
    <row r="830" spans="1:17" ht="14.25" customHeight="1">
      <c r="A830" s="82" t="str">
        <f>IF($B830="","",IF(IFERROR(INDEX('RAID Log'!$1:$1048576,$B830,MATCH("RAID ID",'RAID Log'!$1:$1,0)),"")="","",IFERROR(INDEX('RAID Log'!$1:$1048576,$B830,MATCH("RAID ID",'RAID Log'!$1:$1,0)),"")))</f>
        <v/>
      </c>
      <c r="B830" s="83" t="str">
        <f>IFERROR(MATCH(ROW()-1,'RAID Log'!$S:$S,0),"")</f>
        <v/>
      </c>
      <c r="C830" s="84" t="str">
        <f>IF($B830="","",IF(IFERROR(INDEX('RAID Log'!$1:$1048576,$B830,MATCH("Description",'RAID Log'!$1:$1,0)),"")="","",IFERROR(INDEX('RAID Log'!$1:$1048576,$B830,MATCH("Description",'RAID Log'!$1:$1,0)),"")))</f>
        <v/>
      </c>
      <c r="D830" s="84" t="str">
        <f>IF($B830="","",IF(IFERROR(INDEX('RAID Log'!$1:$1048576,$B830,MATCH("Impact/Effect of the RAID",'RAID Log'!$1:$1,0)),"")="","",IFERROR(INDEX('RAID Log'!$1:$1048576,$B830,MATCH("Impact/Effect of the RAID",'RAID Log'!$1:$1,0)),"")))</f>
        <v/>
      </c>
      <c r="E830" s="85" t="str">
        <f>IF($B830="","",IF(IFERROR(INDEX('RAID Log'!$1:$1048576,$B830,MATCH("Impact Area",'RAID Log'!$1:$1,0)),"")="","",IFERROR(INDEX('RAID Log'!$1:$1048576,$B830,MATCH("Impact Area",'RAID Log'!$1:$1,0)),"")))</f>
        <v/>
      </c>
      <c r="F830" s="85" t="str">
        <f>IF($B830="","",IF(IFERROR(INDEX('RAID Log'!$1:$1048576,$B830,MATCH("Impact Area",'RAID Log'!$1:$1,0)),"")="","",IFERROR(INDEX('RAID Log'!$1:$1048576,$B830,MATCH("Impact Area",'RAID Log'!$1:$1,0)),"")))</f>
        <v/>
      </c>
      <c r="G830" s="85" t="str">
        <f>IF($B830="","",IF(IFERROR(INDEX('RAID Log'!$1:$1048576,$B830,MATCH("Impact Rating",'RAID Log'!$1:$1,0)),"")="","",IFERROR(INDEX('RAID Log'!$1:$1048576,$B830,MATCH("Impact Rating",'RAID Log'!$1:$1,0)),"")))</f>
        <v/>
      </c>
      <c r="H830" s="85" t="str">
        <f>IF($B830="","",IF(IFERROR(INDEX('RAID Log'!$1:$1048576,$B830,MATCH("Initial Probability",'RAID Log'!$1:$1,0)),"")="","",IFERROR(INDEX('RAID Log'!$1:$1048576,$B830,MATCH("Initial Probability",'RAID Log'!$1:$1,0)),"")))</f>
        <v/>
      </c>
      <c r="I830" s="86" t="str">
        <f t="shared" si="36"/>
        <v/>
      </c>
      <c r="J830" s="85" t="str">
        <f t="shared" si="37"/>
        <v/>
      </c>
      <c r="K830" s="86" t="str">
        <f t="shared" si="38"/>
        <v/>
      </c>
      <c r="L830" s="85" t="str">
        <f>IF($B830="","",IF(IFERROR(INDEX('RAID Log'!$1:$1048576,$B830,MATCH("Status",'RAID Log'!$1:$1,0)),"")="","",IFERROR(INDEX('RAID Log'!$1:$1048576,$B830,MATCH("Status",'RAID Log'!$1:$1,0)),"")))</f>
        <v/>
      </c>
      <c r="M830" s="85" t="str">
        <f>IF($B830="","",IF(IFERROR(INDEX('RAID Log'!$1:$1048576,$B830,MATCH("RAID Owner",'RAID Log'!$1:$1,0)),"")="","",IFERROR(INDEX('RAID Log'!$1:$1048576,$B830,MATCH("RAID Owner",'RAID Log'!$1:$1,0)),"")))</f>
        <v/>
      </c>
      <c r="N830" s="87" t="str">
        <f>IF($B830="","",IF(IFERROR(INDEX('RAID Log'!$1:$1048576,$B830,MATCH("Date Raised",'RAID Log'!$1:$1,0)),"")="","",IFERROR(INDEX('RAID Log'!$1:$1048576,$B830,MATCH("Date Raised",'RAID Log'!$1:$1,0)),"")))</f>
        <v/>
      </c>
      <c r="O830" s="87" t="str">
        <f>IF($B830="","",IF(IFERROR(INDEX('RAID Log'!$1:$1048576,$B830,MATCH("Closed Date",'RAID Log'!$1:$1,0)),"")="","",IFERROR(INDEX('RAID Log'!$1:$1048576,$B830,MATCH("Closed Date",'RAID Log'!$1:$1,0)),"")))</f>
        <v/>
      </c>
      <c r="P830" s="85" t="str">
        <f>IF($B830="","",IF(IFERROR(INDEX('RAID Log'!$1:$1048576,$B830,MATCH("Mitigation Strategy",'RAID Log'!$1:$1,0)),"")="","",IFERROR(INDEX('RAID Log'!$1:$1048576,$B830,MATCH("Mitigation Strategy",'RAID Log'!$1:$1,0)),"")))</f>
        <v/>
      </c>
      <c r="Q830" s="88" t="str">
        <f>IF($B830="","",IF(IFERROR(INDEX('RAID Log'!$1:$1048576,$B830,MATCH("RAID Response/Plan",'RAID Log'!$1:$1,0)),"")="","",IFERROR(INDEX('RAID Log'!$1:$1048576,$B830,MATCH("RAID Response/Plan",'RAID Log'!$1:$1,0)),"")))</f>
        <v/>
      </c>
    </row>
    <row r="831" spans="1:17" ht="14.25" customHeight="1">
      <c r="A831" s="82" t="str">
        <f>IF($B831="","",IF(IFERROR(INDEX('RAID Log'!$1:$1048576,$B831,MATCH("RAID ID",'RAID Log'!$1:$1,0)),"")="","",IFERROR(INDEX('RAID Log'!$1:$1048576,$B831,MATCH("RAID ID",'RAID Log'!$1:$1,0)),"")))</f>
        <v/>
      </c>
      <c r="B831" s="83" t="str">
        <f>IFERROR(MATCH(ROW()-1,'RAID Log'!$S:$S,0),"")</f>
        <v/>
      </c>
      <c r="C831" s="84" t="str">
        <f>IF($B831="","",IF(IFERROR(INDEX('RAID Log'!$1:$1048576,$B831,MATCH("Description",'RAID Log'!$1:$1,0)),"")="","",IFERROR(INDEX('RAID Log'!$1:$1048576,$B831,MATCH("Description",'RAID Log'!$1:$1,0)),"")))</f>
        <v/>
      </c>
      <c r="D831" s="84" t="str">
        <f>IF($B831="","",IF(IFERROR(INDEX('RAID Log'!$1:$1048576,$B831,MATCH("Impact/Effect of the RAID",'RAID Log'!$1:$1,0)),"")="","",IFERROR(INDEX('RAID Log'!$1:$1048576,$B831,MATCH("Impact/Effect of the RAID",'RAID Log'!$1:$1,0)),"")))</f>
        <v/>
      </c>
      <c r="E831" s="85" t="str">
        <f>IF($B831="","",IF(IFERROR(INDEX('RAID Log'!$1:$1048576,$B831,MATCH("Impact Area",'RAID Log'!$1:$1,0)),"")="","",IFERROR(INDEX('RAID Log'!$1:$1048576,$B831,MATCH("Impact Area",'RAID Log'!$1:$1,0)),"")))</f>
        <v/>
      </c>
      <c r="F831" s="85" t="str">
        <f>IF($B831="","",IF(IFERROR(INDEX('RAID Log'!$1:$1048576,$B831,MATCH("Impact Area",'RAID Log'!$1:$1,0)),"")="","",IFERROR(INDEX('RAID Log'!$1:$1048576,$B831,MATCH("Impact Area",'RAID Log'!$1:$1,0)),"")))</f>
        <v/>
      </c>
      <c r="G831" s="85" t="str">
        <f>IF($B831="","",IF(IFERROR(INDEX('RAID Log'!$1:$1048576,$B831,MATCH("Impact Rating",'RAID Log'!$1:$1,0)),"")="","",IFERROR(INDEX('RAID Log'!$1:$1048576,$B831,MATCH("Impact Rating",'RAID Log'!$1:$1,0)),"")))</f>
        <v/>
      </c>
      <c r="H831" s="85" t="str">
        <f>IF($B831="","",IF(IFERROR(INDEX('RAID Log'!$1:$1048576,$B831,MATCH("Initial Probability",'RAID Log'!$1:$1,0)),"")="","",IFERROR(INDEX('RAID Log'!$1:$1048576,$B831,MATCH("Initial Probability",'RAID Log'!$1:$1,0)),"")))</f>
        <v/>
      </c>
      <c r="I831" s="86" t="str">
        <f t="shared" si="36"/>
        <v/>
      </c>
      <c r="J831" s="85" t="str">
        <f t="shared" si="37"/>
        <v/>
      </c>
      <c r="K831" s="86" t="str">
        <f t="shared" si="38"/>
        <v/>
      </c>
      <c r="L831" s="85" t="str">
        <f>IF($B831="","",IF(IFERROR(INDEX('RAID Log'!$1:$1048576,$B831,MATCH("Status",'RAID Log'!$1:$1,0)),"")="","",IFERROR(INDEX('RAID Log'!$1:$1048576,$B831,MATCH("Status",'RAID Log'!$1:$1,0)),"")))</f>
        <v/>
      </c>
      <c r="M831" s="85" t="str">
        <f>IF($B831="","",IF(IFERROR(INDEX('RAID Log'!$1:$1048576,$B831,MATCH("RAID Owner",'RAID Log'!$1:$1,0)),"")="","",IFERROR(INDEX('RAID Log'!$1:$1048576,$B831,MATCH("RAID Owner",'RAID Log'!$1:$1,0)),"")))</f>
        <v/>
      </c>
      <c r="N831" s="87" t="str">
        <f>IF($B831="","",IF(IFERROR(INDEX('RAID Log'!$1:$1048576,$B831,MATCH("Date Raised",'RAID Log'!$1:$1,0)),"")="","",IFERROR(INDEX('RAID Log'!$1:$1048576,$B831,MATCH("Date Raised",'RAID Log'!$1:$1,0)),"")))</f>
        <v/>
      </c>
      <c r="O831" s="87" t="str">
        <f>IF($B831="","",IF(IFERROR(INDEX('RAID Log'!$1:$1048576,$B831,MATCH("Closed Date",'RAID Log'!$1:$1,0)),"")="","",IFERROR(INDEX('RAID Log'!$1:$1048576,$B831,MATCH("Closed Date",'RAID Log'!$1:$1,0)),"")))</f>
        <v/>
      </c>
      <c r="P831" s="85" t="str">
        <f>IF($B831="","",IF(IFERROR(INDEX('RAID Log'!$1:$1048576,$B831,MATCH("Mitigation Strategy",'RAID Log'!$1:$1,0)),"")="","",IFERROR(INDEX('RAID Log'!$1:$1048576,$B831,MATCH("Mitigation Strategy",'RAID Log'!$1:$1,0)),"")))</f>
        <v/>
      </c>
      <c r="Q831" s="88" t="str">
        <f>IF($B831="","",IF(IFERROR(INDEX('RAID Log'!$1:$1048576,$B831,MATCH("RAID Response/Plan",'RAID Log'!$1:$1,0)),"")="","",IFERROR(INDEX('RAID Log'!$1:$1048576,$B831,MATCH("RAID Response/Plan",'RAID Log'!$1:$1,0)),"")))</f>
        <v/>
      </c>
    </row>
    <row r="832" spans="1:17" ht="14.25" customHeight="1">
      <c r="A832" s="82" t="str">
        <f>IF($B832="","",IF(IFERROR(INDEX('RAID Log'!$1:$1048576,$B832,MATCH("RAID ID",'RAID Log'!$1:$1,0)),"")="","",IFERROR(INDEX('RAID Log'!$1:$1048576,$B832,MATCH("RAID ID",'RAID Log'!$1:$1,0)),"")))</f>
        <v/>
      </c>
      <c r="B832" s="83" t="str">
        <f>IFERROR(MATCH(ROW()-1,'RAID Log'!$S:$S,0),"")</f>
        <v/>
      </c>
      <c r="C832" s="84" t="str">
        <f>IF($B832="","",IF(IFERROR(INDEX('RAID Log'!$1:$1048576,$B832,MATCH("Description",'RAID Log'!$1:$1,0)),"")="","",IFERROR(INDEX('RAID Log'!$1:$1048576,$B832,MATCH("Description",'RAID Log'!$1:$1,0)),"")))</f>
        <v/>
      </c>
      <c r="D832" s="84" t="str">
        <f>IF($B832="","",IF(IFERROR(INDEX('RAID Log'!$1:$1048576,$B832,MATCH("Impact/Effect of the RAID",'RAID Log'!$1:$1,0)),"")="","",IFERROR(INDEX('RAID Log'!$1:$1048576,$B832,MATCH("Impact/Effect of the RAID",'RAID Log'!$1:$1,0)),"")))</f>
        <v/>
      </c>
      <c r="E832" s="85" t="str">
        <f>IF($B832="","",IF(IFERROR(INDEX('RAID Log'!$1:$1048576,$B832,MATCH("Impact Area",'RAID Log'!$1:$1,0)),"")="","",IFERROR(INDEX('RAID Log'!$1:$1048576,$B832,MATCH("Impact Area",'RAID Log'!$1:$1,0)),"")))</f>
        <v/>
      </c>
      <c r="F832" s="85" t="str">
        <f>IF($B832="","",IF(IFERROR(INDEX('RAID Log'!$1:$1048576,$B832,MATCH("Impact Area",'RAID Log'!$1:$1,0)),"")="","",IFERROR(INDEX('RAID Log'!$1:$1048576,$B832,MATCH("Impact Area",'RAID Log'!$1:$1,0)),"")))</f>
        <v/>
      </c>
      <c r="G832" s="85" t="str">
        <f>IF($B832="","",IF(IFERROR(INDEX('RAID Log'!$1:$1048576,$B832,MATCH("Impact Rating",'RAID Log'!$1:$1,0)),"")="","",IFERROR(INDEX('RAID Log'!$1:$1048576,$B832,MATCH("Impact Rating",'RAID Log'!$1:$1,0)),"")))</f>
        <v/>
      </c>
      <c r="H832" s="85" t="str">
        <f>IF($B832="","",IF(IFERROR(INDEX('RAID Log'!$1:$1048576,$B832,MATCH("Initial Probability",'RAID Log'!$1:$1,0)),"")="","",IFERROR(INDEX('RAID Log'!$1:$1048576,$B832,MATCH("Initial Probability",'RAID Log'!$1:$1,0)),"")))</f>
        <v/>
      </c>
      <c r="I832" s="86" t="str">
        <f t="shared" si="36"/>
        <v/>
      </c>
      <c r="J832" s="85" t="str">
        <f t="shared" si="37"/>
        <v/>
      </c>
      <c r="K832" s="86" t="str">
        <f t="shared" si="38"/>
        <v/>
      </c>
      <c r="L832" s="85" t="str">
        <f>IF($B832="","",IF(IFERROR(INDEX('RAID Log'!$1:$1048576,$B832,MATCH("Status",'RAID Log'!$1:$1,0)),"")="","",IFERROR(INDEX('RAID Log'!$1:$1048576,$B832,MATCH("Status",'RAID Log'!$1:$1,0)),"")))</f>
        <v/>
      </c>
      <c r="M832" s="85" t="str">
        <f>IF($B832="","",IF(IFERROR(INDEX('RAID Log'!$1:$1048576,$B832,MATCH("RAID Owner",'RAID Log'!$1:$1,0)),"")="","",IFERROR(INDEX('RAID Log'!$1:$1048576,$B832,MATCH("RAID Owner",'RAID Log'!$1:$1,0)),"")))</f>
        <v/>
      </c>
      <c r="N832" s="87" t="str">
        <f>IF($B832="","",IF(IFERROR(INDEX('RAID Log'!$1:$1048576,$B832,MATCH("Date Raised",'RAID Log'!$1:$1,0)),"")="","",IFERROR(INDEX('RAID Log'!$1:$1048576,$B832,MATCH("Date Raised",'RAID Log'!$1:$1,0)),"")))</f>
        <v/>
      </c>
      <c r="O832" s="87" t="str">
        <f>IF($B832="","",IF(IFERROR(INDEX('RAID Log'!$1:$1048576,$B832,MATCH("Closed Date",'RAID Log'!$1:$1,0)),"")="","",IFERROR(INDEX('RAID Log'!$1:$1048576,$B832,MATCH("Closed Date",'RAID Log'!$1:$1,0)),"")))</f>
        <v/>
      </c>
      <c r="P832" s="85" t="str">
        <f>IF($B832="","",IF(IFERROR(INDEX('RAID Log'!$1:$1048576,$B832,MATCH("Mitigation Strategy",'RAID Log'!$1:$1,0)),"")="","",IFERROR(INDEX('RAID Log'!$1:$1048576,$B832,MATCH("Mitigation Strategy",'RAID Log'!$1:$1,0)),"")))</f>
        <v/>
      </c>
      <c r="Q832" s="88" t="str">
        <f>IF($B832="","",IF(IFERROR(INDEX('RAID Log'!$1:$1048576,$B832,MATCH("RAID Response/Plan",'RAID Log'!$1:$1,0)),"")="","",IFERROR(INDEX('RAID Log'!$1:$1048576,$B832,MATCH("RAID Response/Plan",'RAID Log'!$1:$1,0)),"")))</f>
        <v/>
      </c>
    </row>
    <row r="833" spans="1:17" ht="14.25" customHeight="1">
      <c r="A833" s="82" t="str">
        <f>IF($B833="","",IF(IFERROR(INDEX('RAID Log'!$1:$1048576,$B833,MATCH("RAID ID",'RAID Log'!$1:$1,0)),"")="","",IFERROR(INDEX('RAID Log'!$1:$1048576,$B833,MATCH("RAID ID",'RAID Log'!$1:$1,0)),"")))</f>
        <v/>
      </c>
      <c r="B833" s="83" t="str">
        <f>IFERROR(MATCH(ROW()-1,'RAID Log'!$S:$S,0),"")</f>
        <v/>
      </c>
      <c r="C833" s="84" t="str">
        <f>IF($B833="","",IF(IFERROR(INDEX('RAID Log'!$1:$1048576,$B833,MATCH("Description",'RAID Log'!$1:$1,0)),"")="","",IFERROR(INDEX('RAID Log'!$1:$1048576,$B833,MATCH("Description",'RAID Log'!$1:$1,0)),"")))</f>
        <v/>
      </c>
      <c r="D833" s="84" t="str">
        <f>IF($B833="","",IF(IFERROR(INDEX('RAID Log'!$1:$1048576,$B833,MATCH("Impact/Effect of the RAID",'RAID Log'!$1:$1,0)),"")="","",IFERROR(INDEX('RAID Log'!$1:$1048576,$B833,MATCH("Impact/Effect of the RAID",'RAID Log'!$1:$1,0)),"")))</f>
        <v/>
      </c>
      <c r="E833" s="85" t="str">
        <f>IF($B833="","",IF(IFERROR(INDEX('RAID Log'!$1:$1048576,$B833,MATCH("Impact Area",'RAID Log'!$1:$1,0)),"")="","",IFERROR(INDEX('RAID Log'!$1:$1048576,$B833,MATCH("Impact Area",'RAID Log'!$1:$1,0)),"")))</f>
        <v/>
      </c>
      <c r="F833" s="85" t="str">
        <f>IF($B833="","",IF(IFERROR(INDEX('RAID Log'!$1:$1048576,$B833,MATCH("Impact Area",'RAID Log'!$1:$1,0)),"")="","",IFERROR(INDEX('RAID Log'!$1:$1048576,$B833,MATCH("Impact Area",'RAID Log'!$1:$1,0)),"")))</f>
        <v/>
      </c>
      <c r="G833" s="85" t="str">
        <f>IF($B833="","",IF(IFERROR(INDEX('RAID Log'!$1:$1048576,$B833,MATCH("Impact Rating",'RAID Log'!$1:$1,0)),"")="","",IFERROR(INDEX('RAID Log'!$1:$1048576,$B833,MATCH("Impact Rating",'RAID Log'!$1:$1,0)),"")))</f>
        <v/>
      </c>
      <c r="H833" s="85" t="str">
        <f>IF($B833="","",IF(IFERROR(INDEX('RAID Log'!$1:$1048576,$B833,MATCH("Initial Probability",'RAID Log'!$1:$1,0)),"")="","",IFERROR(INDEX('RAID Log'!$1:$1048576,$B833,MATCH("Initial Probability",'RAID Log'!$1:$1,0)),"")))</f>
        <v/>
      </c>
      <c r="I833" s="86" t="str">
        <f t="shared" si="36"/>
        <v/>
      </c>
      <c r="J833" s="85" t="str">
        <f t="shared" si="37"/>
        <v/>
      </c>
      <c r="K833" s="86" t="str">
        <f t="shared" si="38"/>
        <v/>
      </c>
      <c r="L833" s="85" t="str">
        <f>IF($B833="","",IF(IFERROR(INDEX('RAID Log'!$1:$1048576,$B833,MATCH("Status",'RAID Log'!$1:$1,0)),"")="","",IFERROR(INDEX('RAID Log'!$1:$1048576,$B833,MATCH("Status",'RAID Log'!$1:$1,0)),"")))</f>
        <v/>
      </c>
      <c r="M833" s="85" t="str">
        <f>IF($B833="","",IF(IFERROR(INDEX('RAID Log'!$1:$1048576,$B833,MATCH("RAID Owner",'RAID Log'!$1:$1,0)),"")="","",IFERROR(INDEX('RAID Log'!$1:$1048576,$B833,MATCH("RAID Owner",'RAID Log'!$1:$1,0)),"")))</f>
        <v/>
      </c>
      <c r="N833" s="87" t="str">
        <f>IF($B833="","",IF(IFERROR(INDEX('RAID Log'!$1:$1048576,$B833,MATCH("Date Raised",'RAID Log'!$1:$1,0)),"")="","",IFERROR(INDEX('RAID Log'!$1:$1048576,$B833,MATCH("Date Raised",'RAID Log'!$1:$1,0)),"")))</f>
        <v/>
      </c>
      <c r="O833" s="87" t="str">
        <f>IF($B833="","",IF(IFERROR(INDEX('RAID Log'!$1:$1048576,$B833,MATCH("Closed Date",'RAID Log'!$1:$1,0)),"")="","",IFERROR(INDEX('RAID Log'!$1:$1048576,$B833,MATCH("Closed Date",'RAID Log'!$1:$1,0)),"")))</f>
        <v/>
      </c>
      <c r="P833" s="85" t="str">
        <f>IF($B833="","",IF(IFERROR(INDEX('RAID Log'!$1:$1048576,$B833,MATCH("Mitigation Strategy",'RAID Log'!$1:$1,0)),"")="","",IFERROR(INDEX('RAID Log'!$1:$1048576,$B833,MATCH("Mitigation Strategy",'RAID Log'!$1:$1,0)),"")))</f>
        <v/>
      </c>
      <c r="Q833" s="88" t="str">
        <f>IF($B833="","",IF(IFERROR(INDEX('RAID Log'!$1:$1048576,$B833,MATCH("RAID Response/Plan",'RAID Log'!$1:$1,0)),"")="","",IFERROR(INDEX('RAID Log'!$1:$1048576,$B833,MATCH("RAID Response/Plan",'RAID Log'!$1:$1,0)),"")))</f>
        <v/>
      </c>
    </row>
    <row r="834" spans="1:17" ht="14.25" customHeight="1">
      <c r="A834" s="82" t="str">
        <f>IF($B834="","",IF(IFERROR(INDEX('RAID Log'!$1:$1048576,$B834,MATCH("RAID ID",'RAID Log'!$1:$1,0)),"")="","",IFERROR(INDEX('RAID Log'!$1:$1048576,$B834,MATCH("RAID ID",'RAID Log'!$1:$1,0)),"")))</f>
        <v/>
      </c>
      <c r="B834" s="83" t="str">
        <f>IFERROR(MATCH(ROW()-1,'RAID Log'!$S:$S,0),"")</f>
        <v/>
      </c>
      <c r="C834" s="84" t="str">
        <f>IF($B834="","",IF(IFERROR(INDEX('RAID Log'!$1:$1048576,$B834,MATCH("Description",'RAID Log'!$1:$1,0)),"")="","",IFERROR(INDEX('RAID Log'!$1:$1048576,$B834,MATCH("Description",'RAID Log'!$1:$1,0)),"")))</f>
        <v/>
      </c>
      <c r="D834" s="84" t="str">
        <f>IF($B834="","",IF(IFERROR(INDEX('RAID Log'!$1:$1048576,$B834,MATCH("Impact/Effect of the RAID",'RAID Log'!$1:$1,0)),"")="","",IFERROR(INDEX('RAID Log'!$1:$1048576,$B834,MATCH("Impact/Effect of the RAID",'RAID Log'!$1:$1,0)),"")))</f>
        <v/>
      </c>
      <c r="E834" s="85" t="str">
        <f>IF($B834="","",IF(IFERROR(INDEX('RAID Log'!$1:$1048576,$B834,MATCH("Impact Area",'RAID Log'!$1:$1,0)),"")="","",IFERROR(INDEX('RAID Log'!$1:$1048576,$B834,MATCH("Impact Area",'RAID Log'!$1:$1,0)),"")))</f>
        <v/>
      </c>
      <c r="F834" s="85" t="str">
        <f>IF($B834="","",IF(IFERROR(INDEX('RAID Log'!$1:$1048576,$B834,MATCH("Impact Area",'RAID Log'!$1:$1,0)),"")="","",IFERROR(INDEX('RAID Log'!$1:$1048576,$B834,MATCH("Impact Area",'RAID Log'!$1:$1,0)),"")))</f>
        <v/>
      </c>
      <c r="G834" s="85" t="str">
        <f>IF($B834="","",IF(IFERROR(INDEX('RAID Log'!$1:$1048576,$B834,MATCH("Impact Rating",'RAID Log'!$1:$1,0)),"")="","",IFERROR(INDEX('RAID Log'!$1:$1048576,$B834,MATCH("Impact Rating",'RAID Log'!$1:$1,0)),"")))</f>
        <v/>
      </c>
      <c r="H834" s="85" t="str">
        <f>IF($B834="","",IF(IFERROR(INDEX('RAID Log'!$1:$1048576,$B834,MATCH("Initial Probability",'RAID Log'!$1:$1,0)),"")="","",IFERROR(INDEX('RAID Log'!$1:$1048576,$B834,MATCH("Initial Probability",'RAID Log'!$1:$1,0)),"")))</f>
        <v/>
      </c>
      <c r="I834" s="86" t="str">
        <f t="shared" ref="I834:I880" si="39">IF($B834="","",(IF($G834="Severe",25,IF($G834="Major",20,IF($G834="Moderate",15,IF($G834="Minor",10,IF($G834="Insignificant",5,0))))))*IF($H834="Very High",1,IF($H834="High",0.8,IF($H834="Average",0.6,IF($H834="Low",0.4,IF($H834="Very Low",0.2,0))))))</f>
        <v/>
      </c>
      <c r="J834" s="85" t="str">
        <f t="shared" ref="J834:J880" si="40">IF($B834="","",IF($I834&gt;20,"Critical",IF($I834&gt;15,"High",IF($I834&gt;8,"Moderate",IF($I834&gt;3,"Tolerable","Negligible")))))</f>
        <v/>
      </c>
      <c r="K834" s="86" t="str">
        <f t="shared" ref="K834:K880" si="41">IF(OR($B834="",UPPER($L834)="CLOSED"),"",COUNTIFS($L$2:$L$880,"&lt;&gt;Closed",$I$2:$I$880,"&gt;"&amp;$I834)+COUNTIFS($L$2:$L$880,"&lt;&gt;Closed",$I$2:$I$880,$I834,$N$2:$N$880,"&lt;"&amp;$N834)+COUNTIFS($L$2:$L$880,"&lt;&gt;Closed",$I$2:$I$880,$I834,$N$2:$N$880,$N834,$B$2:$B$880,"&lt;"&amp;$B834)+1)</f>
        <v/>
      </c>
      <c r="L834" s="85" t="str">
        <f>IF($B834="","",IF(IFERROR(INDEX('RAID Log'!$1:$1048576,$B834,MATCH("Status",'RAID Log'!$1:$1,0)),"")="","",IFERROR(INDEX('RAID Log'!$1:$1048576,$B834,MATCH("Status",'RAID Log'!$1:$1,0)),"")))</f>
        <v/>
      </c>
      <c r="M834" s="85" t="str">
        <f>IF($B834="","",IF(IFERROR(INDEX('RAID Log'!$1:$1048576,$B834,MATCH("RAID Owner",'RAID Log'!$1:$1,0)),"")="","",IFERROR(INDEX('RAID Log'!$1:$1048576,$B834,MATCH("RAID Owner",'RAID Log'!$1:$1,0)),"")))</f>
        <v/>
      </c>
      <c r="N834" s="87" t="str">
        <f>IF($B834="","",IF(IFERROR(INDEX('RAID Log'!$1:$1048576,$B834,MATCH("Date Raised",'RAID Log'!$1:$1,0)),"")="","",IFERROR(INDEX('RAID Log'!$1:$1048576,$B834,MATCH("Date Raised",'RAID Log'!$1:$1,0)),"")))</f>
        <v/>
      </c>
      <c r="O834" s="87" t="str">
        <f>IF($B834="","",IF(IFERROR(INDEX('RAID Log'!$1:$1048576,$B834,MATCH("Closed Date",'RAID Log'!$1:$1,0)),"")="","",IFERROR(INDEX('RAID Log'!$1:$1048576,$B834,MATCH("Closed Date",'RAID Log'!$1:$1,0)),"")))</f>
        <v/>
      </c>
      <c r="P834" s="85" t="str">
        <f>IF($B834="","",IF(IFERROR(INDEX('RAID Log'!$1:$1048576,$B834,MATCH("Mitigation Strategy",'RAID Log'!$1:$1,0)),"")="","",IFERROR(INDEX('RAID Log'!$1:$1048576,$B834,MATCH("Mitigation Strategy",'RAID Log'!$1:$1,0)),"")))</f>
        <v/>
      </c>
      <c r="Q834" s="88" t="str">
        <f>IF($B834="","",IF(IFERROR(INDEX('RAID Log'!$1:$1048576,$B834,MATCH("RAID Response/Plan",'RAID Log'!$1:$1,0)),"")="","",IFERROR(INDEX('RAID Log'!$1:$1048576,$B834,MATCH("RAID Response/Plan",'RAID Log'!$1:$1,0)),"")))</f>
        <v/>
      </c>
    </row>
    <row r="835" spans="1:17" ht="14.25" customHeight="1">
      <c r="A835" s="82" t="str">
        <f>IF($B835="","",IF(IFERROR(INDEX('RAID Log'!$1:$1048576,$B835,MATCH("RAID ID",'RAID Log'!$1:$1,0)),"")="","",IFERROR(INDEX('RAID Log'!$1:$1048576,$B835,MATCH("RAID ID",'RAID Log'!$1:$1,0)),"")))</f>
        <v/>
      </c>
      <c r="B835" s="83" t="str">
        <f>IFERROR(MATCH(ROW()-1,'RAID Log'!$S:$S,0),"")</f>
        <v/>
      </c>
      <c r="C835" s="84" t="str">
        <f>IF($B835="","",IF(IFERROR(INDEX('RAID Log'!$1:$1048576,$B835,MATCH("Description",'RAID Log'!$1:$1,0)),"")="","",IFERROR(INDEX('RAID Log'!$1:$1048576,$B835,MATCH("Description",'RAID Log'!$1:$1,0)),"")))</f>
        <v/>
      </c>
      <c r="D835" s="84" t="str">
        <f>IF($B835="","",IF(IFERROR(INDEX('RAID Log'!$1:$1048576,$B835,MATCH("Impact/Effect of the RAID",'RAID Log'!$1:$1,0)),"")="","",IFERROR(INDEX('RAID Log'!$1:$1048576,$B835,MATCH("Impact/Effect of the RAID",'RAID Log'!$1:$1,0)),"")))</f>
        <v/>
      </c>
      <c r="E835" s="85" t="str">
        <f>IF($B835="","",IF(IFERROR(INDEX('RAID Log'!$1:$1048576,$B835,MATCH("Impact Area",'RAID Log'!$1:$1,0)),"")="","",IFERROR(INDEX('RAID Log'!$1:$1048576,$B835,MATCH("Impact Area",'RAID Log'!$1:$1,0)),"")))</f>
        <v/>
      </c>
      <c r="F835" s="85" t="str">
        <f>IF($B835="","",IF(IFERROR(INDEX('RAID Log'!$1:$1048576,$B835,MATCH("Impact Area",'RAID Log'!$1:$1,0)),"")="","",IFERROR(INDEX('RAID Log'!$1:$1048576,$B835,MATCH("Impact Area",'RAID Log'!$1:$1,0)),"")))</f>
        <v/>
      </c>
      <c r="G835" s="85" t="str">
        <f>IF($B835="","",IF(IFERROR(INDEX('RAID Log'!$1:$1048576,$B835,MATCH("Impact Rating",'RAID Log'!$1:$1,0)),"")="","",IFERROR(INDEX('RAID Log'!$1:$1048576,$B835,MATCH("Impact Rating",'RAID Log'!$1:$1,0)),"")))</f>
        <v/>
      </c>
      <c r="H835" s="85" t="str">
        <f>IF($B835="","",IF(IFERROR(INDEX('RAID Log'!$1:$1048576,$B835,MATCH("Initial Probability",'RAID Log'!$1:$1,0)),"")="","",IFERROR(INDEX('RAID Log'!$1:$1048576,$B835,MATCH("Initial Probability",'RAID Log'!$1:$1,0)),"")))</f>
        <v/>
      </c>
      <c r="I835" s="86" t="str">
        <f t="shared" si="39"/>
        <v/>
      </c>
      <c r="J835" s="85" t="str">
        <f t="shared" si="40"/>
        <v/>
      </c>
      <c r="K835" s="86" t="str">
        <f t="shared" si="41"/>
        <v/>
      </c>
      <c r="L835" s="85" t="str">
        <f>IF($B835="","",IF(IFERROR(INDEX('RAID Log'!$1:$1048576,$B835,MATCH("Status",'RAID Log'!$1:$1,0)),"")="","",IFERROR(INDEX('RAID Log'!$1:$1048576,$B835,MATCH("Status",'RAID Log'!$1:$1,0)),"")))</f>
        <v/>
      </c>
      <c r="M835" s="85" t="str">
        <f>IF($B835="","",IF(IFERROR(INDEX('RAID Log'!$1:$1048576,$B835,MATCH("RAID Owner",'RAID Log'!$1:$1,0)),"")="","",IFERROR(INDEX('RAID Log'!$1:$1048576,$B835,MATCH("RAID Owner",'RAID Log'!$1:$1,0)),"")))</f>
        <v/>
      </c>
      <c r="N835" s="87" t="str">
        <f>IF($B835="","",IF(IFERROR(INDEX('RAID Log'!$1:$1048576,$B835,MATCH("Date Raised",'RAID Log'!$1:$1,0)),"")="","",IFERROR(INDEX('RAID Log'!$1:$1048576,$B835,MATCH("Date Raised",'RAID Log'!$1:$1,0)),"")))</f>
        <v/>
      </c>
      <c r="O835" s="87" t="str">
        <f>IF($B835="","",IF(IFERROR(INDEX('RAID Log'!$1:$1048576,$B835,MATCH("Closed Date",'RAID Log'!$1:$1,0)),"")="","",IFERROR(INDEX('RAID Log'!$1:$1048576,$B835,MATCH("Closed Date",'RAID Log'!$1:$1,0)),"")))</f>
        <v/>
      </c>
      <c r="P835" s="85" t="str">
        <f>IF($B835="","",IF(IFERROR(INDEX('RAID Log'!$1:$1048576,$B835,MATCH("Mitigation Strategy",'RAID Log'!$1:$1,0)),"")="","",IFERROR(INDEX('RAID Log'!$1:$1048576,$B835,MATCH("Mitigation Strategy",'RAID Log'!$1:$1,0)),"")))</f>
        <v/>
      </c>
      <c r="Q835" s="88" t="str">
        <f>IF($B835="","",IF(IFERROR(INDEX('RAID Log'!$1:$1048576,$B835,MATCH("RAID Response/Plan",'RAID Log'!$1:$1,0)),"")="","",IFERROR(INDEX('RAID Log'!$1:$1048576,$B835,MATCH("RAID Response/Plan",'RAID Log'!$1:$1,0)),"")))</f>
        <v/>
      </c>
    </row>
    <row r="836" spans="1:17" ht="14.25" customHeight="1">
      <c r="A836" s="82" t="str">
        <f>IF($B836="","",IF(IFERROR(INDEX('RAID Log'!$1:$1048576,$B836,MATCH("RAID ID",'RAID Log'!$1:$1,0)),"")="","",IFERROR(INDEX('RAID Log'!$1:$1048576,$B836,MATCH("RAID ID",'RAID Log'!$1:$1,0)),"")))</f>
        <v/>
      </c>
      <c r="B836" s="83" t="str">
        <f>IFERROR(MATCH(ROW()-1,'RAID Log'!$S:$S,0),"")</f>
        <v/>
      </c>
      <c r="C836" s="84" t="str">
        <f>IF($B836="","",IF(IFERROR(INDEX('RAID Log'!$1:$1048576,$B836,MATCH("Description",'RAID Log'!$1:$1,0)),"")="","",IFERROR(INDEX('RAID Log'!$1:$1048576,$B836,MATCH("Description",'RAID Log'!$1:$1,0)),"")))</f>
        <v/>
      </c>
      <c r="D836" s="84" t="str">
        <f>IF($B836="","",IF(IFERROR(INDEX('RAID Log'!$1:$1048576,$B836,MATCH("Impact/Effect of the RAID",'RAID Log'!$1:$1,0)),"")="","",IFERROR(INDEX('RAID Log'!$1:$1048576,$B836,MATCH("Impact/Effect of the RAID",'RAID Log'!$1:$1,0)),"")))</f>
        <v/>
      </c>
      <c r="E836" s="85" t="str">
        <f>IF($B836="","",IF(IFERROR(INDEX('RAID Log'!$1:$1048576,$B836,MATCH("Impact Area",'RAID Log'!$1:$1,0)),"")="","",IFERROR(INDEX('RAID Log'!$1:$1048576,$B836,MATCH("Impact Area",'RAID Log'!$1:$1,0)),"")))</f>
        <v/>
      </c>
      <c r="F836" s="85" t="str">
        <f>IF($B836="","",IF(IFERROR(INDEX('RAID Log'!$1:$1048576,$B836,MATCH("Impact Area",'RAID Log'!$1:$1,0)),"")="","",IFERROR(INDEX('RAID Log'!$1:$1048576,$B836,MATCH("Impact Area",'RAID Log'!$1:$1,0)),"")))</f>
        <v/>
      </c>
      <c r="G836" s="85" t="str">
        <f>IF($B836="","",IF(IFERROR(INDEX('RAID Log'!$1:$1048576,$B836,MATCH("Impact Rating",'RAID Log'!$1:$1,0)),"")="","",IFERROR(INDEX('RAID Log'!$1:$1048576,$B836,MATCH("Impact Rating",'RAID Log'!$1:$1,0)),"")))</f>
        <v/>
      </c>
      <c r="H836" s="85" t="str">
        <f>IF($B836="","",IF(IFERROR(INDEX('RAID Log'!$1:$1048576,$B836,MATCH("Initial Probability",'RAID Log'!$1:$1,0)),"")="","",IFERROR(INDEX('RAID Log'!$1:$1048576,$B836,MATCH("Initial Probability",'RAID Log'!$1:$1,0)),"")))</f>
        <v/>
      </c>
      <c r="I836" s="86" t="str">
        <f t="shared" si="39"/>
        <v/>
      </c>
      <c r="J836" s="85" t="str">
        <f t="shared" si="40"/>
        <v/>
      </c>
      <c r="K836" s="86" t="str">
        <f t="shared" si="41"/>
        <v/>
      </c>
      <c r="L836" s="85" t="str">
        <f>IF($B836="","",IF(IFERROR(INDEX('RAID Log'!$1:$1048576,$B836,MATCH("Status",'RAID Log'!$1:$1,0)),"")="","",IFERROR(INDEX('RAID Log'!$1:$1048576,$B836,MATCH("Status",'RAID Log'!$1:$1,0)),"")))</f>
        <v/>
      </c>
      <c r="M836" s="85" t="str">
        <f>IF($B836="","",IF(IFERROR(INDEX('RAID Log'!$1:$1048576,$B836,MATCH("RAID Owner",'RAID Log'!$1:$1,0)),"")="","",IFERROR(INDEX('RAID Log'!$1:$1048576,$B836,MATCH("RAID Owner",'RAID Log'!$1:$1,0)),"")))</f>
        <v/>
      </c>
      <c r="N836" s="87" t="str">
        <f>IF($B836="","",IF(IFERROR(INDEX('RAID Log'!$1:$1048576,$B836,MATCH("Date Raised",'RAID Log'!$1:$1,0)),"")="","",IFERROR(INDEX('RAID Log'!$1:$1048576,$B836,MATCH("Date Raised",'RAID Log'!$1:$1,0)),"")))</f>
        <v/>
      </c>
      <c r="O836" s="87" t="str">
        <f>IF($B836="","",IF(IFERROR(INDEX('RAID Log'!$1:$1048576,$B836,MATCH("Closed Date",'RAID Log'!$1:$1,0)),"")="","",IFERROR(INDEX('RAID Log'!$1:$1048576,$B836,MATCH("Closed Date",'RAID Log'!$1:$1,0)),"")))</f>
        <v/>
      </c>
      <c r="P836" s="85" t="str">
        <f>IF($B836="","",IF(IFERROR(INDEX('RAID Log'!$1:$1048576,$B836,MATCH("Mitigation Strategy",'RAID Log'!$1:$1,0)),"")="","",IFERROR(INDEX('RAID Log'!$1:$1048576,$B836,MATCH("Mitigation Strategy",'RAID Log'!$1:$1,0)),"")))</f>
        <v/>
      </c>
      <c r="Q836" s="88" t="str">
        <f>IF($B836="","",IF(IFERROR(INDEX('RAID Log'!$1:$1048576,$B836,MATCH("RAID Response/Plan",'RAID Log'!$1:$1,0)),"")="","",IFERROR(INDEX('RAID Log'!$1:$1048576,$B836,MATCH("RAID Response/Plan",'RAID Log'!$1:$1,0)),"")))</f>
        <v/>
      </c>
    </row>
    <row r="837" spans="1:17" ht="14.25" customHeight="1">
      <c r="A837" s="82" t="str">
        <f>IF($B837="","",IF(IFERROR(INDEX('RAID Log'!$1:$1048576,$B837,MATCH("RAID ID",'RAID Log'!$1:$1,0)),"")="","",IFERROR(INDEX('RAID Log'!$1:$1048576,$B837,MATCH("RAID ID",'RAID Log'!$1:$1,0)),"")))</f>
        <v/>
      </c>
      <c r="B837" s="83" t="str">
        <f>IFERROR(MATCH(ROW()-1,'RAID Log'!$S:$S,0),"")</f>
        <v/>
      </c>
      <c r="C837" s="84" t="str">
        <f>IF($B837="","",IF(IFERROR(INDEX('RAID Log'!$1:$1048576,$B837,MATCH("Description",'RAID Log'!$1:$1,0)),"")="","",IFERROR(INDEX('RAID Log'!$1:$1048576,$B837,MATCH("Description",'RAID Log'!$1:$1,0)),"")))</f>
        <v/>
      </c>
      <c r="D837" s="84" t="str">
        <f>IF($B837="","",IF(IFERROR(INDEX('RAID Log'!$1:$1048576,$B837,MATCH("Impact/Effect of the RAID",'RAID Log'!$1:$1,0)),"")="","",IFERROR(INDEX('RAID Log'!$1:$1048576,$B837,MATCH("Impact/Effect of the RAID",'RAID Log'!$1:$1,0)),"")))</f>
        <v/>
      </c>
      <c r="E837" s="85" t="str">
        <f>IF($B837="","",IF(IFERROR(INDEX('RAID Log'!$1:$1048576,$B837,MATCH("Impact Area",'RAID Log'!$1:$1,0)),"")="","",IFERROR(INDEX('RAID Log'!$1:$1048576,$B837,MATCH("Impact Area",'RAID Log'!$1:$1,0)),"")))</f>
        <v/>
      </c>
      <c r="F837" s="85" t="str">
        <f>IF($B837="","",IF(IFERROR(INDEX('RAID Log'!$1:$1048576,$B837,MATCH("Impact Area",'RAID Log'!$1:$1,0)),"")="","",IFERROR(INDEX('RAID Log'!$1:$1048576,$B837,MATCH("Impact Area",'RAID Log'!$1:$1,0)),"")))</f>
        <v/>
      </c>
      <c r="G837" s="85" t="str">
        <f>IF($B837="","",IF(IFERROR(INDEX('RAID Log'!$1:$1048576,$B837,MATCH("Impact Rating",'RAID Log'!$1:$1,0)),"")="","",IFERROR(INDEX('RAID Log'!$1:$1048576,$B837,MATCH("Impact Rating",'RAID Log'!$1:$1,0)),"")))</f>
        <v/>
      </c>
      <c r="H837" s="85" t="str">
        <f>IF($B837="","",IF(IFERROR(INDEX('RAID Log'!$1:$1048576,$B837,MATCH("Initial Probability",'RAID Log'!$1:$1,0)),"")="","",IFERROR(INDEX('RAID Log'!$1:$1048576,$B837,MATCH("Initial Probability",'RAID Log'!$1:$1,0)),"")))</f>
        <v/>
      </c>
      <c r="I837" s="86" t="str">
        <f t="shared" si="39"/>
        <v/>
      </c>
      <c r="J837" s="85" t="str">
        <f t="shared" si="40"/>
        <v/>
      </c>
      <c r="K837" s="86" t="str">
        <f t="shared" si="41"/>
        <v/>
      </c>
      <c r="L837" s="85" t="str">
        <f>IF($B837="","",IF(IFERROR(INDEX('RAID Log'!$1:$1048576,$B837,MATCH("Status",'RAID Log'!$1:$1,0)),"")="","",IFERROR(INDEX('RAID Log'!$1:$1048576,$B837,MATCH("Status",'RAID Log'!$1:$1,0)),"")))</f>
        <v/>
      </c>
      <c r="M837" s="85" t="str">
        <f>IF($B837="","",IF(IFERROR(INDEX('RAID Log'!$1:$1048576,$B837,MATCH("RAID Owner",'RAID Log'!$1:$1,0)),"")="","",IFERROR(INDEX('RAID Log'!$1:$1048576,$B837,MATCH("RAID Owner",'RAID Log'!$1:$1,0)),"")))</f>
        <v/>
      </c>
      <c r="N837" s="87" t="str">
        <f>IF($B837="","",IF(IFERROR(INDEX('RAID Log'!$1:$1048576,$B837,MATCH("Date Raised",'RAID Log'!$1:$1,0)),"")="","",IFERROR(INDEX('RAID Log'!$1:$1048576,$B837,MATCH("Date Raised",'RAID Log'!$1:$1,0)),"")))</f>
        <v/>
      </c>
      <c r="O837" s="87" t="str">
        <f>IF($B837="","",IF(IFERROR(INDEX('RAID Log'!$1:$1048576,$B837,MATCH("Closed Date",'RAID Log'!$1:$1,0)),"")="","",IFERROR(INDEX('RAID Log'!$1:$1048576,$B837,MATCH("Closed Date",'RAID Log'!$1:$1,0)),"")))</f>
        <v/>
      </c>
      <c r="P837" s="85" t="str">
        <f>IF($B837="","",IF(IFERROR(INDEX('RAID Log'!$1:$1048576,$B837,MATCH("Mitigation Strategy",'RAID Log'!$1:$1,0)),"")="","",IFERROR(INDEX('RAID Log'!$1:$1048576,$B837,MATCH("Mitigation Strategy",'RAID Log'!$1:$1,0)),"")))</f>
        <v/>
      </c>
      <c r="Q837" s="88" t="str">
        <f>IF($B837="","",IF(IFERROR(INDEX('RAID Log'!$1:$1048576,$B837,MATCH("RAID Response/Plan",'RAID Log'!$1:$1,0)),"")="","",IFERROR(INDEX('RAID Log'!$1:$1048576,$B837,MATCH("RAID Response/Plan",'RAID Log'!$1:$1,0)),"")))</f>
        <v/>
      </c>
    </row>
    <row r="838" spans="1:17" ht="14.25" customHeight="1">
      <c r="A838" s="82" t="str">
        <f>IF($B838="","",IF(IFERROR(INDEX('RAID Log'!$1:$1048576,$B838,MATCH("RAID ID",'RAID Log'!$1:$1,0)),"")="","",IFERROR(INDEX('RAID Log'!$1:$1048576,$B838,MATCH("RAID ID",'RAID Log'!$1:$1,0)),"")))</f>
        <v/>
      </c>
      <c r="B838" s="83" t="str">
        <f>IFERROR(MATCH(ROW()-1,'RAID Log'!$S:$S,0),"")</f>
        <v/>
      </c>
      <c r="C838" s="84" t="str">
        <f>IF($B838="","",IF(IFERROR(INDEX('RAID Log'!$1:$1048576,$B838,MATCH("Description",'RAID Log'!$1:$1,0)),"")="","",IFERROR(INDEX('RAID Log'!$1:$1048576,$B838,MATCH("Description",'RAID Log'!$1:$1,0)),"")))</f>
        <v/>
      </c>
      <c r="D838" s="84" t="str">
        <f>IF($B838="","",IF(IFERROR(INDEX('RAID Log'!$1:$1048576,$B838,MATCH("Impact/Effect of the RAID",'RAID Log'!$1:$1,0)),"")="","",IFERROR(INDEX('RAID Log'!$1:$1048576,$B838,MATCH("Impact/Effect of the RAID",'RAID Log'!$1:$1,0)),"")))</f>
        <v/>
      </c>
      <c r="E838" s="85" t="str">
        <f>IF($B838="","",IF(IFERROR(INDEX('RAID Log'!$1:$1048576,$B838,MATCH("Impact Area",'RAID Log'!$1:$1,0)),"")="","",IFERROR(INDEX('RAID Log'!$1:$1048576,$B838,MATCH("Impact Area",'RAID Log'!$1:$1,0)),"")))</f>
        <v/>
      </c>
      <c r="F838" s="85" t="str">
        <f>IF($B838="","",IF(IFERROR(INDEX('RAID Log'!$1:$1048576,$B838,MATCH("Impact Area",'RAID Log'!$1:$1,0)),"")="","",IFERROR(INDEX('RAID Log'!$1:$1048576,$B838,MATCH("Impact Area",'RAID Log'!$1:$1,0)),"")))</f>
        <v/>
      </c>
      <c r="G838" s="85" t="str">
        <f>IF($B838="","",IF(IFERROR(INDEX('RAID Log'!$1:$1048576,$B838,MATCH("Impact Rating",'RAID Log'!$1:$1,0)),"")="","",IFERROR(INDEX('RAID Log'!$1:$1048576,$B838,MATCH("Impact Rating",'RAID Log'!$1:$1,0)),"")))</f>
        <v/>
      </c>
      <c r="H838" s="85" t="str">
        <f>IF($B838="","",IF(IFERROR(INDEX('RAID Log'!$1:$1048576,$B838,MATCH("Initial Probability",'RAID Log'!$1:$1,0)),"")="","",IFERROR(INDEX('RAID Log'!$1:$1048576,$B838,MATCH("Initial Probability",'RAID Log'!$1:$1,0)),"")))</f>
        <v/>
      </c>
      <c r="I838" s="86" t="str">
        <f t="shared" si="39"/>
        <v/>
      </c>
      <c r="J838" s="85" t="str">
        <f t="shared" si="40"/>
        <v/>
      </c>
      <c r="K838" s="86" t="str">
        <f t="shared" si="41"/>
        <v/>
      </c>
      <c r="L838" s="85" t="str">
        <f>IF($B838="","",IF(IFERROR(INDEX('RAID Log'!$1:$1048576,$B838,MATCH("Status",'RAID Log'!$1:$1,0)),"")="","",IFERROR(INDEX('RAID Log'!$1:$1048576,$B838,MATCH("Status",'RAID Log'!$1:$1,0)),"")))</f>
        <v/>
      </c>
      <c r="M838" s="85" t="str">
        <f>IF($B838="","",IF(IFERROR(INDEX('RAID Log'!$1:$1048576,$B838,MATCH("RAID Owner",'RAID Log'!$1:$1,0)),"")="","",IFERROR(INDEX('RAID Log'!$1:$1048576,$B838,MATCH("RAID Owner",'RAID Log'!$1:$1,0)),"")))</f>
        <v/>
      </c>
      <c r="N838" s="87" t="str">
        <f>IF($B838="","",IF(IFERROR(INDEX('RAID Log'!$1:$1048576,$B838,MATCH("Date Raised",'RAID Log'!$1:$1,0)),"")="","",IFERROR(INDEX('RAID Log'!$1:$1048576,$B838,MATCH("Date Raised",'RAID Log'!$1:$1,0)),"")))</f>
        <v/>
      </c>
      <c r="O838" s="87" t="str">
        <f>IF($B838="","",IF(IFERROR(INDEX('RAID Log'!$1:$1048576,$B838,MATCH("Closed Date",'RAID Log'!$1:$1,0)),"")="","",IFERROR(INDEX('RAID Log'!$1:$1048576,$B838,MATCH("Closed Date",'RAID Log'!$1:$1,0)),"")))</f>
        <v/>
      </c>
      <c r="P838" s="85" t="str">
        <f>IF($B838="","",IF(IFERROR(INDEX('RAID Log'!$1:$1048576,$B838,MATCH("Mitigation Strategy",'RAID Log'!$1:$1,0)),"")="","",IFERROR(INDEX('RAID Log'!$1:$1048576,$B838,MATCH("Mitigation Strategy",'RAID Log'!$1:$1,0)),"")))</f>
        <v/>
      </c>
      <c r="Q838" s="88" t="str">
        <f>IF($B838="","",IF(IFERROR(INDEX('RAID Log'!$1:$1048576,$B838,MATCH("RAID Response/Plan",'RAID Log'!$1:$1,0)),"")="","",IFERROR(INDEX('RAID Log'!$1:$1048576,$B838,MATCH("RAID Response/Plan",'RAID Log'!$1:$1,0)),"")))</f>
        <v/>
      </c>
    </row>
    <row r="839" spans="1:17" ht="14.25" customHeight="1">
      <c r="A839" s="82" t="str">
        <f>IF($B839="","",IF(IFERROR(INDEX('RAID Log'!$1:$1048576,$B839,MATCH("RAID ID",'RAID Log'!$1:$1,0)),"")="","",IFERROR(INDEX('RAID Log'!$1:$1048576,$B839,MATCH("RAID ID",'RAID Log'!$1:$1,0)),"")))</f>
        <v/>
      </c>
      <c r="B839" s="83" t="str">
        <f>IFERROR(MATCH(ROW()-1,'RAID Log'!$S:$S,0),"")</f>
        <v/>
      </c>
      <c r="C839" s="84" t="str">
        <f>IF($B839="","",IF(IFERROR(INDEX('RAID Log'!$1:$1048576,$B839,MATCH("Description",'RAID Log'!$1:$1,0)),"")="","",IFERROR(INDEX('RAID Log'!$1:$1048576,$B839,MATCH("Description",'RAID Log'!$1:$1,0)),"")))</f>
        <v/>
      </c>
      <c r="D839" s="84" t="str">
        <f>IF($B839="","",IF(IFERROR(INDEX('RAID Log'!$1:$1048576,$B839,MATCH("Impact/Effect of the RAID",'RAID Log'!$1:$1,0)),"")="","",IFERROR(INDEX('RAID Log'!$1:$1048576,$B839,MATCH("Impact/Effect of the RAID",'RAID Log'!$1:$1,0)),"")))</f>
        <v/>
      </c>
      <c r="E839" s="85" t="str">
        <f>IF($B839="","",IF(IFERROR(INDEX('RAID Log'!$1:$1048576,$B839,MATCH("Impact Area",'RAID Log'!$1:$1,0)),"")="","",IFERROR(INDEX('RAID Log'!$1:$1048576,$B839,MATCH("Impact Area",'RAID Log'!$1:$1,0)),"")))</f>
        <v/>
      </c>
      <c r="F839" s="85" t="str">
        <f>IF($B839="","",IF(IFERROR(INDEX('RAID Log'!$1:$1048576,$B839,MATCH("Impact Area",'RAID Log'!$1:$1,0)),"")="","",IFERROR(INDEX('RAID Log'!$1:$1048576,$B839,MATCH("Impact Area",'RAID Log'!$1:$1,0)),"")))</f>
        <v/>
      </c>
      <c r="G839" s="85" t="str">
        <f>IF($B839="","",IF(IFERROR(INDEX('RAID Log'!$1:$1048576,$B839,MATCH("Impact Rating",'RAID Log'!$1:$1,0)),"")="","",IFERROR(INDEX('RAID Log'!$1:$1048576,$B839,MATCH("Impact Rating",'RAID Log'!$1:$1,0)),"")))</f>
        <v/>
      </c>
      <c r="H839" s="85" t="str">
        <f>IF($B839="","",IF(IFERROR(INDEX('RAID Log'!$1:$1048576,$B839,MATCH("Initial Probability",'RAID Log'!$1:$1,0)),"")="","",IFERROR(INDEX('RAID Log'!$1:$1048576,$B839,MATCH("Initial Probability",'RAID Log'!$1:$1,0)),"")))</f>
        <v/>
      </c>
      <c r="I839" s="86" t="str">
        <f t="shared" si="39"/>
        <v/>
      </c>
      <c r="J839" s="85" t="str">
        <f t="shared" si="40"/>
        <v/>
      </c>
      <c r="K839" s="86" t="str">
        <f t="shared" si="41"/>
        <v/>
      </c>
      <c r="L839" s="85" t="str">
        <f>IF($B839="","",IF(IFERROR(INDEX('RAID Log'!$1:$1048576,$B839,MATCH("Status",'RAID Log'!$1:$1,0)),"")="","",IFERROR(INDEX('RAID Log'!$1:$1048576,$B839,MATCH("Status",'RAID Log'!$1:$1,0)),"")))</f>
        <v/>
      </c>
      <c r="M839" s="85" t="str">
        <f>IF($B839="","",IF(IFERROR(INDEX('RAID Log'!$1:$1048576,$B839,MATCH("RAID Owner",'RAID Log'!$1:$1,0)),"")="","",IFERROR(INDEX('RAID Log'!$1:$1048576,$B839,MATCH("RAID Owner",'RAID Log'!$1:$1,0)),"")))</f>
        <v/>
      </c>
      <c r="N839" s="87" t="str">
        <f>IF($B839="","",IF(IFERROR(INDEX('RAID Log'!$1:$1048576,$B839,MATCH("Date Raised",'RAID Log'!$1:$1,0)),"")="","",IFERROR(INDEX('RAID Log'!$1:$1048576,$B839,MATCH("Date Raised",'RAID Log'!$1:$1,0)),"")))</f>
        <v/>
      </c>
      <c r="O839" s="87" t="str">
        <f>IF($B839="","",IF(IFERROR(INDEX('RAID Log'!$1:$1048576,$B839,MATCH("Closed Date",'RAID Log'!$1:$1,0)),"")="","",IFERROR(INDEX('RAID Log'!$1:$1048576,$B839,MATCH("Closed Date",'RAID Log'!$1:$1,0)),"")))</f>
        <v/>
      </c>
      <c r="P839" s="85" t="str">
        <f>IF($B839="","",IF(IFERROR(INDEX('RAID Log'!$1:$1048576,$B839,MATCH("Mitigation Strategy",'RAID Log'!$1:$1,0)),"")="","",IFERROR(INDEX('RAID Log'!$1:$1048576,$B839,MATCH("Mitigation Strategy",'RAID Log'!$1:$1,0)),"")))</f>
        <v/>
      </c>
      <c r="Q839" s="88" t="str">
        <f>IF($B839="","",IF(IFERROR(INDEX('RAID Log'!$1:$1048576,$B839,MATCH("RAID Response/Plan",'RAID Log'!$1:$1,0)),"")="","",IFERROR(INDEX('RAID Log'!$1:$1048576,$B839,MATCH("RAID Response/Plan",'RAID Log'!$1:$1,0)),"")))</f>
        <v/>
      </c>
    </row>
    <row r="840" spans="1:17" ht="14.25" customHeight="1">
      <c r="A840" s="82" t="str">
        <f>IF($B840="","",IF(IFERROR(INDEX('RAID Log'!$1:$1048576,$B840,MATCH("RAID ID",'RAID Log'!$1:$1,0)),"")="","",IFERROR(INDEX('RAID Log'!$1:$1048576,$B840,MATCH("RAID ID",'RAID Log'!$1:$1,0)),"")))</f>
        <v/>
      </c>
      <c r="B840" s="83" t="str">
        <f>IFERROR(MATCH(ROW()-1,'RAID Log'!$S:$S,0),"")</f>
        <v/>
      </c>
      <c r="C840" s="84" t="str">
        <f>IF($B840="","",IF(IFERROR(INDEX('RAID Log'!$1:$1048576,$B840,MATCH("Description",'RAID Log'!$1:$1,0)),"")="","",IFERROR(INDEX('RAID Log'!$1:$1048576,$B840,MATCH("Description",'RAID Log'!$1:$1,0)),"")))</f>
        <v/>
      </c>
      <c r="D840" s="84" t="str">
        <f>IF($B840="","",IF(IFERROR(INDEX('RAID Log'!$1:$1048576,$B840,MATCH("Impact/Effect of the RAID",'RAID Log'!$1:$1,0)),"")="","",IFERROR(INDEX('RAID Log'!$1:$1048576,$B840,MATCH("Impact/Effect of the RAID",'RAID Log'!$1:$1,0)),"")))</f>
        <v/>
      </c>
      <c r="E840" s="85" t="str">
        <f>IF($B840="","",IF(IFERROR(INDEX('RAID Log'!$1:$1048576,$B840,MATCH("Impact Area",'RAID Log'!$1:$1,0)),"")="","",IFERROR(INDEX('RAID Log'!$1:$1048576,$B840,MATCH("Impact Area",'RAID Log'!$1:$1,0)),"")))</f>
        <v/>
      </c>
      <c r="F840" s="85" t="str">
        <f>IF($B840="","",IF(IFERROR(INDEX('RAID Log'!$1:$1048576,$B840,MATCH("Impact Area",'RAID Log'!$1:$1,0)),"")="","",IFERROR(INDEX('RAID Log'!$1:$1048576,$B840,MATCH("Impact Area",'RAID Log'!$1:$1,0)),"")))</f>
        <v/>
      </c>
      <c r="G840" s="85" t="str">
        <f>IF($B840="","",IF(IFERROR(INDEX('RAID Log'!$1:$1048576,$B840,MATCH("Impact Rating",'RAID Log'!$1:$1,0)),"")="","",IFERROR(INDEX('RAID Log'!$1:$1048576,$B840,MATCH("Impact Rating",'RAID Log'!$1:$1,0)),"")))</f>
        <v/>
      </c>
      <c r="H840" s="85" t="str">
        <f>IF($B840="","",IF(IFERROR(INDEX('RAID Log'!$1:$1048576,$B840,MATCH("Initial Probability",'RAID Log'!$1:$1,0)),"")="","",IFERROR(INDEX('RAID Log'!$1:$1048576,$B840,MATCH("Initial Probability",'RAID Log'!$1:$1,0)),"")))</f>
        <v/>
      </c>
      <c r="I840" s="86" t="str">
        <f t="shared" si="39"/>
        <v/>
      </c>
      <c r="J840" s="85" t="str">
        <f t="shared" si="40"/>
        <v/>
      </c>
      <c r="K840" s="86" t="str">
        <f t="shared" si="41"/>
        <v/>
      </c>
      <c r="L840" s="85" t="str">
        <f>IF($B840="","",IF(IFERROR(INDEX('RAID Log'!$1:$1048576,$B840,MATCH("Status",'RAID Log'!$1:$1,0)),"")="","",IFERROR(INDEX('RAID Log'!$1:$1048576,$B840,MATCH("Status",'RAID Log'!$1:$1,0)),"")))</f>
        <v/>
      </c>
      <c r="M840" s="85" t="str">
        <f>IF($B840="","",IF(IFERROR(INDEX('RAID Log'!$1:$1048576,$B840,MATCH("RAID Owner",'RAID Log'!$1:$1,0)),"")="","",IFERROR(INDEX('RAID Log'!$1:$1048576,$B840,MATCH("RAID Owner",'RAID Log'!$1:$1,0)),"")))</f>
        <v/>
      </c>
      <c r="N840" s="87" t="str">
        <f>IF($B840="","",IF(IFERROR(INDEX('RAID Log'!$1:$1048576,$B840,MATCH("Date Raised",'RAID Log'!$1:$1,0)),"")="","",IFERROR(INDEX('RAID Log'!$1:$1048576,$B840,MATCH("Date Raised",'RAID Log'!$1:$1,0)),"")))</f>
        <v/>
      </c>
      <c r="O840" s="87" t="str">
        <f>IF($B840="","",IF(IFERROR(INDEX('RAID Log'!$1:$1048576,$B840,MATCH("Closed Date",'RAID Log'!$1:$1,0)),"")="","",IFERROR(INDEX('RAID Log'!$1:$1048576,$B840,MATCH("Closed Date",'RAID Log'!$1:$1,0)),"")))</f>
        <v/>
      </c>
      <c r="P840" s="85" t="str">
        <f>IF($B840="","",IF(IFERROR(INDEX('RAID Log'!$1:$1048576,$B840,MATCH("Mitigation Strategy",'RAID Log'!$1:$1,0)),"")="","",IFERROR(INDEX('RAID Log'!$1:$1048576,$B840,MATCH("Mitigation Strategy",'RAID Log'!$1:$1,0)),"")))</f>
        <v/>
      </c>
      <c r="Q840" s="88" t="str">
        <f>IF($B840="","",IF(IFERROR(INDEX('RAID Log'!$1:$1048576,$B840,MATCH("RAID Response/Plan",'RAID Log'!$1:$1,0)),"")="","",IFERROR(INDEX('RAID Log'!$1:$1048576,$B840,MATCH("RAID Response/Plan",'RAID Log'!$1:$1,0)),"")))</f>
        <v/>
      </c>
    </row>
    <row r="841" spans="1:17" ht="14.25" customHeight="1">
      <c r="A841" s="82" t="str">
        <f>IF($B841="","",IF(IFERROR(INDEX('RAID Log'!$1:$1048576,$B841,MATCH("RAID ID",'RAID Log'!$1:$1,0)),"")="","",IFERROR(INDEX('RAID Log'!$1:$1048576,$B841,MATCH("RAID ID",'RAID Log'!$1:$1,0)),"")))</f>
        <v/>
      </c>
      <c r="B841" s="83" t="str">
        <f>IFERROR(MATCH(ROW()-1,'RAID Log'!$S:$S,0),"")</f>
        <v/>
      </c>
      <c r="C841" s="84" t="str">
        <f>IF($B841="","",IF(IFERROR(INDEX('RAID Log'!$1:$1048576,$B841,MATCH("Description",'RAID Log'!$1:$1,0)),"")="","",IFERROR(INDEX('RAID Log'!$1:$1048576,$B841,MATCH("Description",'RAID Log'!$1:$1,0)),"")))</f>
        <v/>
      </c>
      <c r="D841" s="84" t="str">
        <f>IF($B841="","",IF(IFERROR(INDEX('RAID Log'!$1:$1048576,$B841,MATCH("Impact/Effect of the RAID",'RAID Log'!$1:$1,0)),"")="","",IFERROR(INDEX('RAID Log'!$1:$1048576,$B841,MATCH("Impact/Effect of the RAID",'RAID Log'!$1:$1,0)),"")))</f>
        <v/>
      </c>
      <c r="E841" s="85" t="str">
        <f>IF($B841="","",IF(IFERROR(INDEX('RAID Log'!$1:$1048576,$B841,MATCH("Impact Area",'RAID Log'!$1:$1,0)),"")="","",IFERROR(INDEX('RAID Log'!$1:$1048576,$B841,MATCH("Impact Area",'RAID Log'!$1:$1,0)),"")))</f>
        <v/>
      </c>
      <c r="F841" s="85" t="str">
        <f>IF($B841="","",IF(IFERROR(INDEX('RAID Log'!$1:$1048576,$B841,MATCH("Impact Area",'RAID Log'!$1:$1,0)),"")="","",IFERROR(INDEX('RAID Log'!$1:$1048576,$B841,MATCH("Impact Area",'RAID Log'!$1:$1,0)),"")))</f>
        <v/>
      </c>
      <c r="G841" s="85" t="str">
        <f>IF($B841="","",IF(IFERROR(INDEX('RAID Log'!$1:$1048576,$B841,MATCH("Impact Rating",'RAID Log'!$1:$1,0)),"")="","",IFERROR(INDEX('RAID Log'!$1:$1048576,$B841,MATCH("Impact Rating",'RAID Log'!$1:$1,0)),"")))</f>
        <v/>
      </c>
      <c r="H841" s="85" t="str">
        <f>IF($B841="","",IF(IFERROR(INDEX('RAID Log'!$1:$1048576,$B841,MATCH("Initial Probability",'RAID Log'!$1:$1,0)),"")="","",IFERROR(INDEX('RAID Log'!$1:$1048576,$B841,MATCH("Initial Probability",'RAID Log'!$1:$1,0)),"")))</f>
        <v/>
      </c>
      <c r="I841" s="86" t="str">
        <f t="shared" si="39"/>
        <v/>
      </c>
      <c r="J841" s="85" t="str">
        <f t="shared" si="40"/>
        <v/>
      </c>
      <c r="K841" s="86" t="str">
        <f t="shared" si="41"/>
        <v/>
      </c>
      <c r="L841" s="85" t="str">
        <f>IF($B841="","",IF(IFERROR(INDEX('RAID Log'!$1:$1048576,$B841,MATCH("Status",'RAID Log'!$1:$1,0)),"")="","",IFERROR(INDEX('RAID Log'!$1:$1048576,$B841,MATCH("Status",'RAID Log'!$1:$1,0)),"")))</f>
        <v/>
      </c>
      <c r="M841" s="85" t="str">
        <f>IF($B841="","",IF(IFERROR(INDEX('RAID Log'!$1:$1048576,$B841,MATCH("RAID Owner",'RAID Log'!$1:$1,0)),"")="","",IFERROR(INDEX('RAID Log'!$1:$1048576,$B841,MATCH("RAID Owner",'RAID Log'!$1:$1,0)),"")))</f>
        <v/>
      </c>
      <c r="N841" s="87" t="str">
        <f>IF($B841="","",IF(IFERROR(INDEX('RAID Log'!$1:$1048576,$B841,MATCH("Date Raised",'RAID Log'!$1:$1,0)),"")="","",IFERROR(INDEX('RAID Log'!$1:$1048576,$B841,MATCH("Date Raised",'RAID Log'!$1:$1,0)),"")))</f>
        <v/>
      </c>
      <c r="O841" s="87" t="str">
        <f>IF($B841="","",IF(IFERROR(INDEX('RAID Log'!$1:$1048576,$B841,MATCH("Closed Date",'RAID Log'!$1:$1,0)),"")="","",IFERROR(INDEX('RAID Log'!$1:$1048576,$B841,MATCH("Closed Date",'RAID Log'!$1:$1,0)),"")))</f>
        <v/>
      </c>
      <c r="P841" s="85" t="str">
        <f>IF($B841="","",IF(IFERROR(INDEX('RAID Log'!$1:$1048576,$B841,MATCH("Mitigation Strategy",'RAID Log'!$1:$1,0)),"")="","",IFERROR(INDEX('RAID Log'!$1:$1048576,$B841,MATCH("Mitigation Strategy",'RAID Log'!$1:$1,0)),"")))</f>
        <v/>
      </c>
      <c r="Q841" s="88" t="str">
        <f>IF($B841="","",IF(IFERROR(INDEX('RAID Log'!$1:$1048576,$B841,MATCH("RAID Response/Plan",'RAID Log'!$1:$1,0)),"")="","",IFERROR(INDEX('RAID Log'!$1:$1048576,$B841,MATCH("RAID Response/Plan",'RAID Log'!$1:$1,0)),"")))</f>
        <v/>
      </c>
    </row>
    <row r="842" spans="1:17" ht="14.25" customHeight="1">
      <c r="A842" s="82" t="str">
        <f>IF($B842="","",IF(IFERROR(INDEX('RAID Log'!$1:$1048576,$B842,MATCH("RAID ID",'RAID Log'!$1:$1,0)),"")="","",IFERROR(INDEX('RAID Log'!$1:$1048576,$B842,MATCH("RAID ID",'RAID Log'!$1:$1,0)),"")))</f>
        <v/>
      </c>
      <c r="B842" s="83" t="str">
        <f>IFERROR(MATCH(ROW()-1,'RAID Log'!$S:$S,0),"")</f>
        <v/>
      </c>
      <c r="C842" s="84" t="str">
        <f>IF($B842="","",IF(IFERROR(INDEX('RAID Log'!$1:$1048576,$B842,MATCH("Description",'RAID Log'!$1:$1,0)),"")="","",IFERROR(INDEX('RAID Log'!$1:$1048576,$B842,MATCH("Description",'RAID Log'!$1:$1,0)),"")))</f>
        <v/>
      </c>
      <c r="D842" s="84" t="str">
        <f>IF($B842="","",IF(IFERROR(INDEX('RAID Log'!$1:$1048576,$B842,MATCH("Impact/Effect of the RAID",'RAID Log'!$1:$1,0)),"")="","",IFERROR(INDEX('RAID Log'!$1:$1048576,$B842,MATCH("Impact/Effect of the RAID",'RAID Log'!$1:$1,0)),"")))</f>
        <v/>
      </c>
      <c r="E842" s="85" t="str">
        <f>IF($B842="","",IF(IFERROR(INDEX('RAID Log'!$1:$1048576,$B842,MATCH("Impact Area",'RAID Log'!$1:$1,0)),"")="","",IFERROR(INDEX('RAID Log'!$1:$1048576,$B842,MATCH("Impact Area",'RAID Log'!$1:$1,0)),"")))</f>
        <v/>
      </c>
      <c r="F842" s="85" t="str">
        <f>IF($B842="","",IF(IFERROR(INDEX('RAID Log'!$1:$1048576,$B842,MATCH("Impact Area",'RAID Log'!$1:$1,0)),"")="","",IFERROR(INDEX('RAID Log'!$1:$1048576,$B842,MATCH("Impact Area",'RAID Log'!$1:$1,0)),"")))</f>
        <v/>
      </c>
      <c r="G842" s="85" t="str">
        <f>IF($B842="","",IF(IFERROR(INDEX('RAID Log'!$1:$1048576,$B842,MATCH("Impact Rating",'RAID Log'!$1:$1,0)),"")="","",IFERROR(INDEX('RAID Log'!$1:$1048576,$B842,MATCH("Impact Rating",'RAID Log'!$1:$1,0)),"")))</f>
        <v/>
      </c>
      <c r="H842" s="85" t="str">
        <f>IF($B842="","",IF(IFERROR(INDEX('RAID Log'!$1:$1048576,$B842,MATCH("Initial Probability",'RAID Log'!$1:$1,0)),"")="","",IFERROR(INDEX('RAID Log'!$1:$1048576,$B842,MATCH("Initial Probability",'RAID Log'!$1:$1,0)),"")))</f>
        <v/>
      </c>
      <c r="I842" s="86" t="str">
        <f t="shared" si="39"/>
        <v/>
      </c>
      <c r="J842" s="85" t="str">
        <f t="shared" si="40"/>
        <v/>
      </c>
      <c r="K842" s="86" t="str">
        <f t="shared" si="41"/>
        <v/>
      </c>
      <c r="L842" s="85" t="str">
        <f>IF($B842="","",IF(IFERROR(INDEX('RAID Log'!$1:$1048576,$B842,MATCH("Status",'RAID Log'!$1:$1,0)),"")="","",IFERROR(INDEX('RAID Log'!$1:$1048576,$B842,MATCH("Status",'RAID Log'!$1:$1,0)),"")))</f>
        <v/>
      </c>
      <c r="M842" s="85" t="str">
        <f>IF($B842="","",IF(IFERROR(INDEX('RAID Log'!$1:$1048576,$B842,MATCH("RAID Owner",'RAID Log'!$1:$1,0)),"")="","",IFERROR(INDEX('RAID Log'!$1:$1048576,$B842,MATCH("RAID Owner",'RAID Log'!$1:$1,0)),"")))</f>
        <v/>
      </c>
      <c r="N842" s="87" t="str">
        <f>IF($B842="","",IF(IFERROR(INDEX('RAID Log'!$1:$1048576,$B842,MATCH("Date Raised",'RAID Log'!$1:$1,0)),"")="","",IFERROR(INDEX('RAID Log'!$1:$1048576,$B842,MATCH("Date Raised",'RAID Log'!$1:$1,0)),"")))</f>
        <v/>
      </c>
      <c r="O842" s="87" t="str">
        <f>IF($B842="","",IF(IFERROR(INDEX('RAID Log'!$1:$1048576,$B842,MATCH("Closed Date",'RAID Log'!$1:$1,0)),"")="","",IFERROR(INDEX('RAID Log'!$1:$1048576,$B842,MATCH("Closed Date",'RAID Log'!$1:$1,0)),"")))</f>
        <v/>
      </c>
      <c r="P842" s="85" t="str">
        <f>IF($B842="","",IF(IFERROR(INDEX('RAID Log'!$1:$1048576,$B842,MATCH("Mitigation Strategy",'RAID Log'!$1:$1,0)),"")="","",IFERROR(INDEX('RAID Log'!$1:$1048576,$B842,MATCH("Mitigation Strategy",'RAID Log'!$1:$1,0)),"")))</f>
        <v/>
      </c>
      <c r="Q842" s="88" t="str">
        <f>IF($B842="","",IF(IFERROR(INDEX('RAID Log'!$1:$1048576,$B842,MATCH("RAID Response/Plan",'RAID Log'!$1:$1,0)),"")="","",IFERROR(INDEX('RAID Log'!$1:$1048576,$B842,MATCH("RAID Response/Plan",'RAID Log'!$1:$1,0)),"")))</f>
        <v/>
      </c>
    </row>
    <row r="843" spans="1:17" ht="14.25" customHeight="1">
      <c r="A843" s="82" t="str">
        <f>IF($B843="","",IF(IFERROR(INDEX('RAID Log'!$1:$1048576,$B843,MATCH("RAID ID",'RAID Log'!$1:$1,0)),"")="","",IFERROR(INDEX('RAID Log'!$1:$1048576,$B843,MATCH("RAID ID",'RAID Log'!$1:$1,0)),"")))</f>
        <v/>
      </c>
      <c r="B843" s="83" t="str">
        <f>IFERROR(MATCH(ROW()-1,'RAID Log'!$S:$S,0),"")</f>
        <v/>
      </c>
      <c r="C843" s="84" t="str">
        <f>IF($B843="","",IF(IFERROR(INDEX('RAID Log'!$1:$1048576,$B843,MATCH("Description",'RAID Log'!$1:$1,0)),"")="","",IFERROR(INDEX('RAID Log'!$1:$1048576,$B843,MATCH("Description",'RAID Log'!$1:$1,0)),"")))</f>
        <v/>
      </c>
      <c r="D843" s="84" t="str">
        <f>IF($B843="","",IF(IFERROR(INDEX('RAID Log'!$1:$1048576,$B843,MATCH("Impact/Effect of the RAID",'RAID Log'!$1:$1,0)),"")="","",IFERROR(INDEX('RAID Log'!$1:$1048576,$B843,MATCH("Impact/Effect of the RAID",'RAID Log'!$1:$1,0)),"")))</f>
        <v/>
      </c>
      <c r="E843" s="85" t="str">
        <f>IF($B843="","",IF(IFERROR(INDEX('RAID Log'!$1:$1048576,$B843,MATCH("Impact Area",'RAID Log'!$1:$1,0)),"")="","",IFERROR(INDEX('RAID Log'!$1:$1048576,$B843,MATCH("Impact Area",'RAID Log'!$1:$1,0)),"")))</f>
        <v/>
      </c>
      <c r="F843" s="85" t="str">
        <f>IF($B843="","",IF(IFERROR(INDEX('RAID Log'!$1:$1048576,$B843,MATCH("Impact Area",'RAID Log'!$1:$1,0)),"")="","",IFERROR(INDEX('RAID Log'!$1:$1048576,$B843,MATCH("Impact Area",'RAID Log'!$1:$1,0)),"")))</f>
        <v/>
      </c>
      <c r="G843" s="85" t="str">
        <f>IF($B843="","",IF(IFERROR(INDEX('RAID Log'!$1:$1048576,$B843,MATCH("Impact Rating",'RAID Log'!$1:$1,0)),"")="","",IFERROR(INDEX('RAID Log'!$1:$1048576,$B843,MATCH("Impact Rating",'RAID Log'!$1:$1,0)),"")))</f>
        <v/>
      </c>
      <c r="H843" s="85" t="str">
        <f>IF($B843="","",IF(IFERROR(INDEX('RAID Log'!$1:$1048576,$B843,MATCH("Initial Probability",'RAID Log'!$1:$1,0)),"")="","",IFERROR(INDEX('RAID Log'!$1:$1048576,$B843,MATCH("Initial Probability",'RAID Log'!$1:$1,0)),"")))</f>
        <v/>
      </c>
      <c r="I843" s="86" t="str">
        <f t="shared" si="39"/>
        <v/>
      </c>
      <c r="J843" s="85" t="str">
        <f t="shared" si="40"/>
        <v/>
      </c>
      <c r="K843" s="86" t="str">
        <f t="shared" si="41"/>
        <v/>
      </c>
      <c r="L843" s="85" t="str">
        <f>IF($B843="","",IF(IFERROR(INDEX('RAID Log'!$1:$1048576,$B843,MATCH("Status",'RAID Log'!$1:$1,0)),"")="","",IFERROR(INDEX('RAID Log'!$1:$1048576,$B843,MATCH("Status",'RAID Log'!$1:$1,0)),"")))</f>
        <v/>
      </c>
      <c r="M843" s="85" t="str">
        <f>IF($B843="","",IF(IFERROR(INDEX('RAID Log'!$1:$1048576,$B843,MATCH("RAID Owner",'RAID Log'!$1:$1,0)),"")="","",IFERROR(INDEX('RAID Log'!$1:$1048576,$B843,MATCH("RAID Owner",'RAID Log'!$1:$1,0)),"")))</f>
        <v/>
      </c>
      <c r="N843" s="87" t="str">
        <f>IF($B843="","",IF(IFERROR(INDEX('RAID Log'!$1:$1048576,$B843,MATCH("Date Raised",'RAID Log'!$1:$1,0)),"")="","",IFERROR(INDEX('RAID Log'!$1:$1048576,$B843,MATCH("Date Raised",'RAID Log'!$1:$1,0)),"")))</f>
        <v/>
      </c>
      <c r="O843" s="87" t="str">
        <f>IF($B843="","",IF(IFERROR(INDEX('RAID Log'!$1:$1048576,$B843,MATCH("Closed Date",'RAID Log'!$1:$1,0)),"")="","",IFERROR(INDEX('RAID Log'!$1:$1048576,$B843,MATCH("Closed Date",'RAID Log'!$1:$1,0)),"")))</f>
        <v/>
      </c>
      <c r="P843" s="85" t="str">
        <f>IF($B843="","",IF(IFERROR(INDEX('RAID Log'!$1:$1048576,$B843,MATCH("Mitigation Strategy",'RAID Log'!$1:$1,0)),"")="","",IFERROR(INDEX('RAID Log'!$1:$1048576,$B843,MATCH("Mitigation Strategy",'RAID Log'!$1:$1,0)),"")))</f>
        <v/>
      </c>
      <c r="Q843" s="88" t="str">
        <f>IF($B843="","",IF(IFERROR(INDEX('RAID Log'!$1:$1048576,$B843,MATCH("RAID Response/Plan",'RAID Log'!$1:$1,0)),"")="","",IFERROR(INDEX('RAID Log'!$1:$1048576,$B843,MATCH("RAID Response/Plan",'RAID Log'!$1:$1,0)),"")))</f>
        <v/>
      </c>
    </row>
    <row r="844" spans="1:17" ht="14.25" customHeight="1">
      <c r="A844" s="82" t="str">
        <f>IF($B844="","",IF(IFERROR(INDEX('RAID Log'!$1:$1048576,$B844,MATCH("RAID ID",'RAID Log'!$1:$1,0)),"")="","",IFERROR(INDEX('RAID Log'!$1:$1048576,$B844,MATCH("RAID ID",'RAID Log'!$1:$1,0)),"")))</f>
        <v/>
      </c>
      <c r="B844" s="83" t="str">
        <f>IFERROR(MATCH(ROW()-1,'RAID Log'!$S:$S,0),"")</f>
        <v/>
      </c>
      <c r="C844" s="84" t="str">
        <f>IF($B844="","",IF(IFERROR(INDEX('RAID Log'!$1:$1048576,$B844,MATCH("Description",'RAID Log'!$1:$1,0)),"")="","",IFERROR(INDEX('RAID Log'!$1:$1048576,$B844,MATCH("Description",'RAID Log'!$1:$1,0)),"")))</f>
        <v/>
      </c>
      <c r="D844" s="84" t="str">
        <f>IF($B844="","",IF(IFERROR(INDEX('RAID Log'!$1:$1048576,$B844,MATCH("Impact/Effect of the RAID",'RAID Log'!$1:$1,0)),"")="","",IFERROR(INDEX('RAID Log'!$1:$1048576,$B844,MATCH("Impact/Effect of the RAID",'RAID Log'!$1:$1,0)),"")))</f>
        <v/>
      </c>
      <c r="E844" s="85" t="str">
        <f>IF($B844="","",IF(IFERROR(INDEX('RAID Log'!$1:$1048576,$B844,MATCH("Impact Area",'RAID Log'!$1:$1,0)),"")="","",IFERROR(INDEX('RAID Log'!$1:$1048576,$B844,MATCH("Impact Area",'RAID Log'!$1:$1,0)),"")))</f>
        <v/>
      </c>
      <c r="F844" s="85" t="str">
        <f>IF($B844="","",IF(IFERROR(INDEX('RAID Log'!$1:$1048576,$B844,MATCH("Impact Area",'RAID Log'!$1:$1,0)),"")="","",IFERROR(INDEX('RAID Log'!$1:$1048576,$B844,MATCH("Impact Area",'RAID Log'!$1:$1,0)),"")))</f>
        <v/>
      </c>
      <c r="G844" s="85" t="str">
        <f>IF($B844="","",IF(IFERROR(INDEX('RAID Log'!$1:$1048576,$B844,MATCH("Impact Rating",'RAID Log'!$1:$1,0)),"")="","",IFERROR(INDEX('RAID Log'!$1:$1048576,$B844,MATCH("Impact Rating",'RAID Log'!$1:$1,0)),"")))</f>
        <v/>
      </c>
      <c r="H844" s="85" t="str">
        <f>IF($B844="","",IF(IFERROR(INDEX('RAID Log'!$1:$1048576,$B844,MATCH("Initial Probability",'RAID Log'!$1:$1,0)),"")="","",IFERROR(INDEX('RAID Log'!$1:$1048576,$B844,MATCH("Initial Probability",'RAID Log'!$1:$1,0)),"")))</f>
        <v/>
      </c>
      <c r="I844" s="86" t="str">
        <f t="shared" si="39"/>
        <v/>
      </c>
      <c r="J844" s="85" t="str">
        <f t="shared" si="40"/>
        <v/>
      </c>
      <c r="K844" s="86" t="str">
        <f t="shared" si="41"/>
        <v/>
      </c>
      <c r="L844" s="85" t="str">
        <f>IF($B844="","",IF(IFERROR(INDEX('RAID Log'!$1:$1048576,$B844,MATCH("Status",'RAID Log'!$1:$1,0)),"")="","",IFERROR(INDEX('RAID Log'!$1:$1048576,$B844,MATCH("Status",'RAID Log'!$1:$1,0)),"")))</f>
        <v/>
      </c>
      <c r="M844" s="85" t="str">
        <f>IF($B844="","",IF(IFERROR(INDEX('RAID Log'!$1:$1048576,$B844,MATCH("RAID Owner",'RAID Log'!$1:$1,0)),"")="","",IFERROR(INDEX('RAID Log'!$1:$1048576,$B844,MATCH("RAID Owner",'RAID Log'!$1:$1,0)),"")))</f>
        <v/>
      </c>
      <c r="N844" s="87" t="str">
        <f>IF($B844="","",IF(IFERROR(INDEX('RAID Log'!$1:$1048576,$B844,MATCH("Date Raised",'RAID Log'!$1:$1,0)),"")="","",IFERROR(INDEX('RAID Log'!$1:$1048576,$B844,MATCH("Date Raised",'RAID Log'!$1:$1,0)),"")))</f>
        <v/>
      </c>
      <c r="O844" s="87" t="str">
        <f>IF($B844="","",IF(IFERROR(INDEX('RAID Log'!$1:$1048576,$B844,MATCH("Closed Date",'RAID Log'!$1:$1,0)),"")="","",IFERROR(INDEX('RAID Log'!$1:$1048576,$B844,MATCH("Closed Date",'RAID Log'!$1:$1,0)),"")))</f>
        <v/>
      </c>
      <c r="P844" s="85" t="str">
        <f>IF($B844="","",IF(IFERROR(INDEX('RAID Log'!$1:$1048576,$B844,MATCH("Mitigation Strategy",'RAID Log'!$1:$1,0)),"")="","",IFERROR(INDEX('RAID Log'!$1:$1048576,$B844,MATCH("Mitigation Strategy",'RAID Log'!$1:$1,0)),"")))</f>
        <v/>
      </c>
      <c r="Q844" s="88" t="str">
        <f>IF($B844="","",IF(IFERROR(INDEX('RAID Log'!$1:$1048576,$B844,MATCH("RAID Response/Plan",'RAID Log'!$1:$1,0)),"")="","",IFERROR(INDEX('RAID Log'!$1:$1048576,$B844,MATCH("RAID Response/Plan",'RAID Log'!$1:$1,0)),"")))</f>
        <v/>
      </c>
    </row>
    <row r="845" spans="1:17" ht="14.25" customHeight="1">
      <c r="A845" s="82" t="str">
        <f>IF($B845="","",IF(IFERROR(INDEX('RAID Log'!$1:$1048576,$B845,MATCH("RAID ID",'RAID Log'!$1:$1,0)),"")="","",IFERROR(INDEX('RAID Log'!$1:$1048576,$B845,MATCH("RAID ID",'RAID Log'!$1:$1,0)),"")))</f>
        <v/>
      </c>
      <c r="B845" s="83" t="str">
        <f>IFERROR(MATCH(ROW()-1,'RAID Log'!$S:$S,0),"")</f>
        <v/>
      </c>
      <c r="C845" s="84" t="str">
        <f>IF($B845="","",IF(IFERROR(INDEX('RAID Log'!$1:$1048576,$B845,MATCH("Description",'RAID Log'!$1:$1,0)),"")="","",IFERROR(INDEX('RAID Log'!$1:$1048576,$B845,MATCH("Description",'RAID Log'!$1:$1,0)),"")))</f>
        <v/>
      </c>
      <c r="D845" s="84" t="str">
        <f>IF($B845="","",IF(IFERROR(INDEX('RAID Log'!$1:$1048576,$B845,MATCH("Impact/Effect of the RAID",'RAID Log'!$1:$1,0)),"")="","",IFERROR(INDEX('RAID Log'!$1:$1048576,$B845,MATCH("Impact/Effect of the RAID",'RAID Log'!$1:$1,0)),"")))</f>
        <v/>
      </c>
      <c r="E845" s="85" t="str">
        <f>IF($B845="","",IF(IFERROR(INDEX('RAID Log'!$1:$1048576,$B845,MATCH("Impact Area",'RAID Log'!$1:$1,0)),"")="","",IFERROR(INDEX('RAID Log'!$1:$1048576,$B845,MATCH("Impact Area",'RAID Log'!$1:$1,0)),"")))</f>
        <v/>
      </c>
      <c r="F845" s="85" t="str">
        <f>IF($B845="","",IF(IFERROR(INDEX('RAID Log'!$1:$1048576,$B845,MATCH("Impact Area",'RAID Log'!$1:$1,0)),"")="","",IFERROR(INDEX('RAID Log'!$1:$1048576,$B845,MATCH("Impact Area",'RAID Log'!$1:$1,0)),"")))</f>
        <v/>
      </c>
      <c r="G845" s="85" t="str">
        <f>IF($B845="","",IF(IFERROR(INDEX('RAID Log'!$1:$1048576,$B845,MATCH("Impact Rating",'RAID Log'!$1:$1,0)),"")="","",IFERROR(INDEX('RAID Log'!$1:$1048576,$B845,MATCH("Impact Rating",'RAID Log'!$1:$1,0)),"")))</f>
        <v/>
      </c>
      <c r="H845" s="85" t="str">
        <f>IF($B845="","",IF(IFERROR(INDEX('RAID Log'!$1:$1048576,$B845,MATCH("Initial Probability",'RAID Log'!$1:$1,0)),"")="","",IFERROR(INDEX('RAID Log'!$1:$1048576,$B845,MATCH("Initial Probability",'RAID Log'!$1:$1,0)),"")))</f>
        <v/>
      </c>
      <c r="I845" s="86" t="str">
        <f t="shared" si="39"/>
        <v/>
      </c>
      <c r="J845" s="85" t="str">
        <f t="shared" si="40"/>
        <v/>
      </c>
      <c r="K845" s="86" t="str">
        <f t="shared" si="41"/>
        <v/>
      </c>
      <c r="L845" s="85" t="str">
        <f>IF($B845="","",IF(IFERROR(INDEX('RAID Log'!$1:$1048576,$B845,MATCH("Status",'RAID Log'!$1:$1,0)),"")="","",IFERROR(INDEX('RAID Log'!$1:$1048576,$B845,MATCH("Status",'RAID Log'!$1:$1,0)),"")))</f>
        <v/>
      </c>
      <c r="M845" s="85" t="str">
        <f>IF($B845="","",IF(IFERROR(INDEX('RAID Log'!$1:$1048576,$B845,MATCH("RAID Owner",'RAID Log'!$1:$1,0)),"")="","",IFERROR(INDEX('RAID Log'!$1:$1048576,$B845,MATCH("RAID Owner",'RAID Log'!$1:$1,0)),"")))</f>
        <v/>
      </c>
      <c r="N845" s="87" t="str">
        <f>IF($B845="","",IF(IFERROR(INDEX('RAID Log'!$1:$1048576,$B845,MATCH("Date Raised",'RAID Log'!$1:$1,0)),"")="","",IFERROR(INDEX('RAID Log'!$1:$1048576,$B845,MATCH("Date Raised",'RAID Log'!$1:$1,0)),"")))</f>
        <v/>
      </c>
      <c r="O845" s="87" t="str">
        <f>IF($B845="","",IF(IFERROR(INDEX('RAID Log'!$1:$1048576,$B845,MATCH("Closed Date",'RAID Log'!$1:$1,0)),"")="","",IFERROR(INDEX('RAID Log'!$1:$1048576,$B845,MATCH("Closed Date",'RAID Log'!$1:$1,0)),"")))</f>
        <v/>
      </c>
      <c r="P845" s="85" t="str">
        <f>IF($B845="","",IF(IFERROR(INDEX('RAID Log'!$1:$1048576,$B845,MATCH("Mitigation Strategy",'RAID Log'!$1:$1,0)),"")="","",IFERROR(INDEX('RAID Log'!$1:$1048576,$B845,MATCH("Mitigation Strategy",'RAID Log'!$1:$1,0)),"")))</f>
        <v/>
      </c>
      <c r="Q845" s="88" t="str">
        <f>IF($B845="","",IF(IFERROR(INDEX('RAID Log'!$1:$1048576,$B845,MATCH("RAID Response/Plan",'RAID Log'!$1:$1,0)),"")="","",IFERROR(INDEX('RAID Log'!$1:$1048576,$B845,MATCH("RAID Response/Plan",'RAID Log'!$1:$1,0)),"")))</f>
        <v/>
      </c>
    </row>
    <row r="846" spans="1:17" ht="14.25" customHeight="1">
      <c r="A846" s="82" t="str">
        <f>IF($B846="","",IF(IFERROR(INDEX('RAID Log'!$1:$1048576,$B846,MATCH("RAID ID",'RAID Log'!$1:$1,0)),"")="","",IFERROR(INDEX('RAID Log'!$1:$1048576,$B846,MATCH("RAID ID",'RAID Log'!$1:$1,0)),"")))</f>
        <v/>
      </c>
      <c r="B846" s="83" t="str">
        <f>IFERROR(MATCH(ROW()-1,'RAID Log'!$S:$S,0),"")</f>
        <v/>
      </c>
      <c r="C846" s="84" t="str">
        <f>IF($B846="","",IF(IFERROR(INDEX('RAID Log'!$1:$1048576,$B846,MATCH("Description",'RAID Log'!$1:$1,0)),"")="","",IFERROR(INDEX('RAID Log'!$1:$1048576,$B846,MATCH("Description",'RAID Log'!$1:$1,0)),"")))</f>
        <v/>
      </c>
      <c r="D846" s="84" t="str">
        <f>IF($B846="","",IF(IFERROR(INDEX('RAID Log'!$1:$1048576,$B846,MATCH("Impact/Effect of the RAID",'RAID Log'!$1:$1,0)),"")="","",IFERROR(INDEX('RAID Log'!$1:$1048576,$B846,MATCH("Impact/Effect of the RAID",'RAID Log'!$1:$1,0)),"")))</f>
        <v/>
      </c>
      <c r="E846" s="85" t="str">
        <f>IF($B846="","",IF(IFERROR(INDEX('RAID Log'!$1:$1048576,$B846,MATCH("Impact Area",'RAID Log'!$1:$1,0)),"")="","",IFERROR(INDEX('RAID Log'!$1:$1048576,$B846,MATCH("Impact Area",'RAID Log'!$1:$1,0)),"")))</f>
        <v/>
      </c>
      <c r="F846" s="85" t="str">
        <f>IF($B846="","",IF(IFERROR(INDEX('RAID Log'!$1:$1048576,$B846,MATCH("Impact Area",'RAID Log'!$1:$1,0)),"")="","",IFERROR(INDEX('RAID Log'!$1:$1048576,$B846,MATCH("Impact Area",'RAID Log'!$1:$1,0)),"")))</f>
        <v/>
      </c>
      <c r="G846" s="85" t="str">
        <f>IF($B846="","",IF(IFERROR(INDEX('RAID Log'!$1:$1048576,$B846,MATCH("Impact Rating",'RAID Log'!$1:$1,0)),"")="","",IFERROR(INDEX('RAID Log'!$1:$1048576,$B846,MATCH("Impact Rating",'RAID Log'!$1:$1,0)),"")))</f>
        <v/>
      </c>
      <c r="H846" s="85" t="str">
        <f>IF($B846="","",IF(IFERROR(INDEX('RAID Log'!$1:$1048576,$B846,MATCH("Initial Probability",'RAID Log'!$1:$1,0)),"")="","",IFERROR(INDEX('RAID Log'!$1:$1048576,$B846,MATCH("Initial Probability",'RAID Log'!$1:$1,0)),"")))</f>
        <v/>
      </c>
      <c r="I846" s="86" t="str">
        <f t="shared" si="39"/>
        <v/>
      </c>
      <c r="J846" s="85" t="str">
        <f t="shared" si="40"/>
        <v/>
      </c>
      <c r="K846" s="86" t="str">
        <f t="shared" si="41"/>
        <v/>
      </c>
      <c r="L846" s="85" t="str">
        <f>IF($B846="","",IF(IFERROR(INDEX('RAID Log'!$1:$1048576,$B846,MATCH("Status",'RAID Log'!$1:$1,0)),"")="","",IFERROR(INDEX('RAID Log'!$1:$1048576,$B846,MATCH("Status",'RAID Log'!$1:$1,0)),"")))</f>
        <v/>
      </c>
      <c r="M846" s="85" t="str">
        <f>IF($B846="","",IF(IFERROR(INDEX('RAID Log'!$1:$1048576,$B846,MATCH("RAID Owner",'RAID Log'!$1:$1,0)),"")="","",IFERROR(INDEX('RAID Log'!$1:$1048576,$B846,MATCH("RAID Owner",'RAID Log'!$1:$1,0)),"")))</f>
        <v/>
      </c>
      <c r="N846" s="87" t="str">
        <f>IF($B846="","",IF(IFERROR(INDEX('RAID Log'!$1:$1048576,$B846,MATCH("Date Raised",'RAID Log'!$1:$1,0)),"")="","",IFERROR(INDEX('RAID Log'!$1:$1048576,$B846,MATCH("Date Raised",'RAID Log'!$1:$1,0)),"")))</f>
        <v/>
      </c>
      <c r="O846" s="87" t="str">
        <f>IF($B846="","",IF(IFERROR(INDEX('RAID Log'!$1:$1048576,$B846,MATCH("Closed Date",'RAID Log'!$1:$1,0)),"")="","",IFERROR(INDEX('RAID Log'!$1:$1048576,$B846,MATCH("Closed Date",'RAID Log'!$1:$1,0)),"")))</f>
        <v/>
      </c>
      <c r="P846" s="85" t="str">
        <f>IF($B846="","",IF(IFERROR(INDEX('RAID Log'!$1:$1048576,$B846,MATCH("Mitigation Strategy",'RAID Log'!$1:$1,0)),"")="","",IFERROR(INDEX('RAID Log'!$1:$1048576,$B846,MATCH("Mitigation Strategy",'RAID Log'!$1:$1,0)),"")))</f>
        <v/>
      </c>
      <c r="Q846" s="88" t="str">
        <f>IF($B846="","",IF(IFERROR(INDEX('RAID Log'!$1:$1048576,$B846,MATCH("RAID Response/Plan",'RAID Log'!$1:$1,0)),"")="","",IFERROR(INDEX('RAID Log'!$1:$1048576,$B846,MATCH("RAID Response/Plan",'RAID Log'!$1:$1,0)),"")))</f>
        <v/>
      </c>
    </row>
    <row r="847" spans="1:17" ht="14.25" customHeight="1">
      <c r="A847" s="82" t="str">
        <f>IF($B847="","",IF(IFERROR(INDEX('RAID Log'!$1:$1048576,$B847,MATCH("RAID ID",'RAID Log'!$1:$1,0)),"")="","",IFERROR(INDEX('RAID Log'!$1:$1048576,$B847,MATCH("RAID ID",'RAID Log'!$1:$1,0)),"")))</f>
        <v/>
      </c>
      <c r="B847" s="83" t="str">
        <f>IFERROR(MATCH(ROW()-1,'RAID Log'!$S:$S,0),"")</f>
        <v/>
      </c>
      <c r="C847" s="84" t="str">
        <f>IF($B847="","",IF(IFERROR(INDEX('RAID Log'!$1:$1048576,$B847,MATCH("Description",'RAID Log'!$1:$1,0)),"")="","",IFERROR(INDEX('RAID Log'!$1:$1048576,$B847,MATCH("Description",'RAID Log'!$1:$1,0)),"")))</f>
        <v/>
      </c>
      <c r="D847" s="84" t="str">
        <f>IF($B847="","",IF(IFERROR(INDEX('RAID Log'!$1:$1048576,$B847,MATCH("Impact/Effect of the RAID",'RAID Log'!$1:$1,0)),"")="","",IFERROR(INDEX('RAID Log'!$1:$1048576,$B847,MATCH("Impact/Effect of the RAID",'RAID Log'!$1:$1,0)),"")))</f>
        <v/>
      </c>
      <c r="E847" s="85" t="str">
        <f>IF($B847="","",IF(IFERROR(INDEX('RAID Log'!$1:$1048576,$B847,MATCH("Impact Area",'RAID Log'!$1:$1,0)),"")="","",IFERROR(INDEX('RAID Log'!$1:$1048576,$B847,MATCH("Impact Area",'RAID Log'!$1:$1,0)),"")))</f>
        <v/>
      </c>
      <c r="F847" s="85" t="str">
        <f>IF($B847="","",IF(IFERROR(INDEX('RAID Log'!$1:$1048576,$B847,MATCH("Impact Area",'RAID Log'!$1:$1,0)),"")="","",IFERROR(INDEX('RAID Log'!$1:$1048576,$B847,MATCH("Impact Area",'RAID Log'!$1:$1,0)),"")))</f>
        <v/>
      </c>
      <c r="G847" s="85" t="str">
        <f>IF($B847="","",IF(IFERROR(INDEX('RAID Log'!$1:$1048576,$B847,MATCH("Impact Rating",'RAID Log'!$1:$1,0)),"")="","",IFERROR(INDEX('RAID Log'!$1:$1048576,$B847,MATCH("Impact Rating",'RAID Log'!$1:$1,0)),"")))</f>
        <v/>
      </c>
      <c r="H847" s="85" t="str">
        <f>IF($B847="","",IF(IFERROR(INDEX('RAID Log'!$1:$1048576,$B847,MATCH("Initial Probability",'RAID Log'!$1:$1,0)),"")="","",IFERROR(INDEX('RAID Log'!$1:$1048576,$B847,MATCH("Initial Probability",'RAID Log'!$1:$1,0)),"")))</f>
        <v/>
      </c>
      <c r="I847" s="86" t="str">
        <f t="shared" si="39"/>
        <v/>
      </c>
      <c r="J847" s="85" t="str">
        <f t="shared" si="40"/>
        <v/>
      </c>
      <c r="K847" s="86" t="str">
        <f t="shared" si="41"/>
        <v/>
      </c>
      <c r="L847" s="85" t="str">
        <f>IF($B847="","",IF(IFERROR(INDEX('RAID Log'!$1:$1048576,$B847,MATCH("Status",'RAID Log'!$1:$1,0)),"")="","",IFERROR(INDEX('RAID Log'!$1:$1048576,$B847,MATCH("Status",'RAID Log'!$1:$1,0)),"")))</f>
        <v/>
      </c>
      <c r="M847" s="85" t="str">
        <f>IF($B847="","",IF(IFERROR(INDEX('RAID Log'!$1:$1048576,$B847,MATCH("RAID Owner",'RAID Log'!$1:$1,0)),"")="","",IFERROR(INDEX('RAID Log'!$1:$1048576,$B847,MATCH("RAID Owner",'RAID Log'!$1:$1,0)),"")))</f>
        <v/>
      </c>
      <c r="N847" s="87" t="str">
        <f>IF($B847="","",IF(IFERROR(INDEX('RAID Log'!$1:$1048576,$B847,MATCH("Date Raised",'RAID Log'!$1:$1,0)),"")="","",IFERROR(INDEX('RAID Log'!$1:$1048576,$B847,MATCH("Date Raised",'RAID Log'!$1:$1,0)),"")))</f>
        <v/>
      </c>
      <c r="O847" s="87" t="str">
        <f>IF($B847="","",IF(IFERROR(INDEX('RAID Log'!$1:$1048576,$B847,MATCH("Closed Date",'RAID Log'!$1:$1,0)),"")="","",IFERROR(INDEX('RAID Log'!$1:$1048576,$B847,MATCH("Closed Date",'RAID Log'!$1:$1,0)),"")))</f>
        <v/>
      </c>
      <c r="P847" s="85" t="str">
        <f>IF($B847="","",IF(IFERROR(INDEX('RAID Log'!$1:$1048576,$B847,MATCH("Mitigation Strategy",'RAID Log'!$1:$1,0)),"")="","",IFERROR(INDEX('RAID Log'!$1:$1048576,$B847,MATCH("Mitigation Strategy",'RAID Log'!$1:$1,0)),"")))</f>
        <v/>
      </c>
      <c r="Q847" s="88" t="str">
        <f>IF($B847="","",IF(IFERROR(INDEX('RAID Log'!$1:$1048576,$B847,MATCH("RAID Response/Plan",'RAID Log'!$1:$1,0)),"")="","",IFERROR(INDEX('RAID Log'!$1:$1048576,$B847,MATCH("RAID Response/Plan",'RAID Log'!$1:$1,0)),"")))</f>
        <v/>
      </c>
    </row>
    <row r="848" spans="1:17" ht="14.25" customHeight="1">
      <c r="A848" s="82" t="str">
        <f>IF($B848="","",IF(IFERROR(INDEX('RAID Log'!$1:$1048576,$B848,MATCH("RAID ID",'RAID Log'!$1:$1,0)),"")="","",IFERROR(INDEX('RAID Log'!$1:$1048576,$B848,MATCH("RAID ID",'RAID Log'!$1:$1,0)),"")))</f>
        <v/>
      </c>
      <c r="B848" s="83" t="str">
        <f>IFERROR(MATCH(ROW()-1,'RAID Log'!$S:$S,0),"")</f>
        <v/>
      </c>
      <c r="C848" s="84" t="str">
        <f>IF($B848="","",IF(IFERROR(INDEX('RAID Log'!$1:$1048576,$B848,MATCH("Description",'RAID Log'!$1:$1,0)),"")="","",IFERROR(INDEX('RAID Log'!$1:$1048576,$B848,MATCH("Description",'RAID Log'!$1:$1,0)),"")))</f>
        <v/>
      </c>
      <c r="D848" s="84" t="str">
        <f>IF($B848="","",IF(IFERROR(INDEX('RAID Log'!$1:$1048576,$B848,MATCH("Impact/Effect of the RAID",'RAID Log'!$1:$1,0)),"")="","",IFERROR(INDEX('RAID Log'!$1:$1048576,$B848,MATCH("Impact/Effect of the RAID",'RAID Log'!$1:$1,0)),"")))</f>
        <v/>
      </c>
      <c r="E848" s="85" t="str">
        <f>IF($B848="","",IF(IFERROR(INDEX('RAID Log'!$1:$1048576,$B848,MATCH("Impact Area",'RAID Log'!$1:$1,0)),"")="","",IFERROR(INDEX('RAID Log'!$1:$1048576,$B848,MATCH("Impact Area",'RAID Log'!$1:$1,0)),"")))</f>
        <v/>
      </c>
      <c r="F848" s="85" t="str">
        <f>IF($B848="","",IF(IFERROR(INDEX('RAID Log'!$1:$1048576,$B848,MATCH("Impact Area",'RAID Log'!$1:$1,0)),"")="","",IFERROR(INDEX('RAID Log'!$1:$1048576,$B848,MATCH("Impact Area",'RAID Log'!$1:$1,0)),"")))</f>
        <v/>
      </c>
      <c r="G848" s="85" t="str">
        <f>IF($B848="","",IF(IFERROR(INDEX('RAID Log'!$1:$1048576,$B848,MATCH("Impact Rating",'RAID Log'!$1:$1,0)),"")="","",IFERROR(INDEX('RAID Log'!$1:$1048576,$B848,MATCH("Impact Rating",'RAID Log'!$1:$1,0)),"")))</f>
        <v/>
      </c>
      <c r="H848" s="85" t="str">
        <f>IF($B848="","",IF(IFERROR(INDEX('RAID Log'!$1:$1048576,$B848,MATCH("Initial Probability",'RAID Log'!$1:$1,0)),"")="","",IFERROR(INDEX('RAID Log'!$1:$1048576,$B848,MATCH("Initial Probability",'RAID Log'!$1:$1,0)),"")))</f>
        <v/>
      </c>
      <c r="I848" s="86" t="str">
        <f t="shared" si="39"/>
        <v/>
      </c>
      <c r="J848" s="85" t="str">
        <f t="shared" si="40"/>
        <v/>
      </c>
      <c r="K848" s="86" t="str">
        <f t="shared" si="41"/>
        <v/>
      </c>
      <c r="L848" s="85" t="str">
        <f>IF($B848="","",IF(IFERROR(INDEX('RAID Log'!$1:$1048576,$B848,MATCH("Status",'RAID Log'!$1:$1,0)),"")="","",IFERROR(INDEX('RAID Log'!$1:$1048576,$B848,MATCH("Status",'RAID Log'!$1:$1,0)),"")))</f>
        <v/>
      </c>
      <c r="M848" s="85" t="str">
        <f>IF($B848="","",IF(IFERROR(INDEX('RAID Log'!$1:$1048576,$B848,MATCH("RAID Owner",'RAID Log'!$1:$1,0)),"")="","",IFERROR(INDEX('RAID Log'!$1:$1048576,$B848,MATCH("RAID Owner",'RAID Log'!$1:$1,0)),"")))</f>
        <v/>
      </c>
      <c r="N848" s="87" t="str">
        <f>IF($B848="","",IF(IFERROR(INDEX('RAID Log'!$1:$1048576,$B848,MATCH("Date Raised",'RAID Log'!$1:$1,0)),"")="","",IFERROR(INDEX('RAID Log'!$1:$1048576,$B848,MATCH("Date Raised",'RAID Log'!$1:$1,0)),"")))</f>
        <v/>
      </c>
      <c r="O848" s="87" t="str">
        <f>IF($B848="","",IF(IFERROR(INDEX('RAID Log'!$1:$1048576,$B848,MATCH("Closed Date",'RAID Log'!$1:$1,0)),"")="","",IFERROR(INDEX('RAID Log'!$1:$1048576,$B848,MATCH("Closed Date",'RAID Log'!$1:$1,0)),"")))</f>
        <v/>
      </c>
      <c r="P848" s="85" t="str">
        <f>IF($B848="","",IF(IFERROR(INDEX('RAID Log'!$1:$1048576,$B848,MATCH("Mitigation Strategy",'RAID Log'!$1:$1,0)),"")="","",IFERROR(INDEX('RAID Log'!$1:$1048576,$B848,MATCH("Mitigation Strategy",'RAID Log'!$1:$1,0)),"")))</f>
        <v/>
      </c>
      <c r="Q848" s="88" t="str">
        <f>IF($B848="","",IF(IFERROR(INDEX('RAID Log'!$1:$1048576,$B848,MATCH("RAID Response/Plan",'RAID Log'!$1:$1,0)),"")="","",IFERROR(INDEX('RAID Log'!$1:$1048576,$B848,MATCH("RAID Response/Plan",'RAID Log'!$1:$1,0)),"")))</f>
        <v/>
      </c>
    </row>
    <row r="849" spans="1:17" ht="14.25" customHeight="1">
      <c r="A849" s="82" t="str">
        <f>IF($B849="","",IF(IFERROR(INDEX('RAID Log'!$1:$1048576,$B849,MATCH("RAID ID",'RAID Log'!$1:$1,0)),"")="","",IFERROR(INDEX('RAID Log'!$1:$1048576,$B849,MATCH("RAID ID",'RAID Log'!$1:$1,0)),"")))</f>
        <v/>
      </c>
      <c r="B849" s="83" t="str">
        <f>IFERROR(MATCH(ROW()-1,'RAID Log'!$S:$S,0),"")</f>
        <v/>
      </c>
      <c r="C849" s="84" t="str">
        <f>IF($B849="","",IF(IFERROR(INDEX('RAID Log'!$1:$1048576,$B849,MATCH("Description",'RAID Log'!$1:$1,0)),"")="","",IFERROR(INDEX('RAID Log'!$1:$1048576,$B849,MATCH("Description",'RAID Log'!$1:$1,0)),"")))</f>
        <v/>
      </c>
      <c r="D849" s="84" t="str">
        <f>IF($B849="","",IF(IFERROR(INDEX('RAID Log'!$1:$1048576,$B849,MATCH("Impact/Effect of the RAID",'RAID Log'!$1:$1,0)),"")="","",IFERROR(INDEX('RAID Log'!$1:$1048576,$B849,MATCH("Impact/Effect of the RAID",'RAID Log'!$1:$1,0)),"")))</f>
        <v/>
      </c>
      <c r="E849" s="85" t="str">
        <f>IF($B849="","",IF(IFERROR(INDEX('RAID Log'!$1:$1048576,$B849,MATCH("Impact Area",'RAID Log'!$1:$1,0)),"")="","",IFERROR(INDEX('RAID Log'!$1:$1048576,$B849,MATCH("Impact Area",'RAID Log'!$1:$1,0)),"")))</f>
        <v/>
      </c>
      <c r="F849" s="85" t="str">
        <f>IF($B849="","",IF(IFERROR(INDEX('RAID Log'!$1:$1048576,$B849,MATCH("Impact Area",'RAID Log'!$1:$1,0)),"")="","",IFERROR(INDEX('RAID Log'!$1:$1048576,$B849,MATCH("Impact Area",'RAID Log'!$1:$1,0)),"")))</f>
        <v/>
      </c>
      <c r="G849" s="85" t="str">
        <f>IF($B849="","",IF(IFERROR(INDEX('RAID Log'!$1:$1048576,$B849,MATCH("Impact Rating",'RAID Log'!$1:$1,0)),"")="","",IFERROR(INDEX('RAID Log'!$1:$1048576,$B849,MATCH("Impact Rating",'RAID Log'!$1:$1,0)),"")))</f>
        <v/>
      </c>
      <c r="H849" s="85" t="str">
        <f>IF($B849="","",IF(IFERROR(INDEX('RAID Log'!$1:$1048576,$B849,MATCH("Initial Probability",'RAID Log'!$1:$1,0)),"")="","",IFERROR(INDEX('RAID Log'!$1:$1048576,$B849,MATCH("Initial Probability",'RAID Log'!$1:$1,0)),"")))</f>
        <v/>
      </c>
      <c r="I849" s="86" t="str">
        <f t="shared" si="39"/>
        <v/>
      </c>
      <c r="J849" s="85" t="str">
        <f t="shared" si="40"/>
        <v/>
      </c>
      <c r="K849" s="86" t="str">
        <f t="shared" si="41"/>
        <v/>
      </c>
      <c r="L849" s="85" t="str">
        <f>IF($B849="","",IF(IFERROR(INDEX('RAID Log'!$1:$1048576,$B849,MATCH("Status",'RAID Log'!$1:$1,0)),"")="","",IFERROR(INDEX('RAID Log'!$1:$1048576,$B849,MATCH("Status",'RAID Log'!$1:$1,0)),"")))</f>
        <v/>
      </c>
      <c r="M849" s="85" t="str">
        <f>IF($B849="","",IF(IFERROR(INDEX('RAID Log'!$1:$1048576,$B849,MATCH("RAID Owner",'RAID Log'!$1:$1,0)),"")="","",IFERROR(INDEX('RAID Log'!$1:$1048576,$B849,MATCH("RAID Owner",'RAID Log'!$1:$1,0)),"")))</f>
        <v/>
      </c>
      <c r="N849" s="87" t="str">
        <f>IF($B849="","",IF(IFERROR(INDEX('RAID Log'!$1:$1048576,$B849,MATCH("Date Raised",'RAID Log'!$1:$1,0)),"")="","",IFERROR(INDEX('RAID Log'!$1:$1048576,$B849,MATCH("Date Raised",'RAID Log'!$1:$1,0)),"")))</f>
        <v/>
      </c>
      <c r="O849" s="87" t="str">
        <f>IF($B849="","",IF(IFERROR(INDEX('RAID Log'!$1:$1048576,$B849,MATCH("Closed Date",'RAID Log'!$1:$1,0)),"")="","",IFERROR(INDEX('RAID Log'!$1:$1048576,$B849,MATCH("Closed Date",'RAID Log'!$1:$1,0)),"")))</f>
        <v/>
      </c>
      <c r="P849" s="85" t="str">
        <f>IF($B849="","",IF(IFERROR(INDEX('RAID Log'!$1:$1048576,$B849,MATCH("Mitigation Strategy",'RAID Log'!$1:$1,0)),"")="","",IFERROR(INDEX('RAID Log'!$1:$1048576,$B849,MATCH("Mitigation Strategy",'RAID Log'!$1:$1,0)),"")))</f>
        <v/>
      </c>
      <c r="Q849" s="88" t="str">
        <f>IF($B849="","",IF(IFERROR(INDEX('RAID Log'!$1:$1048576,$B849,MATCH("RAID Response/Plan",'RAID Log'!$1:$1,0)),"")="","",IFERROR(INDEX('RAID Log'!$1:$1048576,$B849,MATCH("RAID Response/Plan",'RAID Log'!$1:$1,0)),"")))</f>
        <v/>
      </c>
    </row>
    <row r="850" spans="1:17" ht="14.25" customHeight="1">
      <c r="A850" s="82" t="str">
        <f>IF($B850="","",IF(IFERROR(INDEX('RAID Log'!$1:$1048576,$B850,MATCH("RAID ID",'RAID Log'!$1:$1,0)),"")="","",IFERROR(INDEX('RAID Log'!$1:$1048576,$B850,MATCH("RAID ID",'RAID Log'!$1:$1,0)),"")))</f>
        <v/>
      </c>
      <c r="B850" s="83" t="str">
        <f>IFERROR(MATCH(ROW()-1,'RAID Log'!$S:$S,0),"")</f>
        <v/>
      </c>
      <c r="C850" s="84" t="str">
        <f>IF($B850="","",IF(IFERROR(INDEX('RAID Log'!$1:$1048576,$B850,MATCH("Description",'RAID Log'!$1:$1,0)),"")="","",IFERROR(INDEX('RAID Log'!$1:$1048576,$B850,MATCH("Description",'RAID Log'!$1:$1,0)),"")))</f>
        <v/>
      </c>
      <c r="D850" s="84" t="str">
        <f>IF($B850="","",IF(IFERROR(INDEX('RAID Log'!$1:$1048576,$B850,MATCH("Impact/Effect of the RAID",'RAID Log'!$1:$1,0)),"")="","",IFERROR(INDEX('RAID Log'!$1:$1048576,$B850,MATCH("Impact/Effect of the RAID",'RAID Log'!$1:$1,0)),"")))</f>
        <v/>
      </c>
      <c r="E850" s="85" t="str">
        <f>IF($B850="","",IF(IFERROR(INDEX('RAID Log'!$1:$1048576,$B850,MATCH("Impact Area",'RAID Log'!$1:$1,0)),"")="","",IFERROR(INDEX('RAID Log'!$1:$1048576,$B850,MATCH("Impact Area",'RAID Log'!$1:$1,0)),"")))</f>
        <v/>
      </c>
      <c r="F850" s="85" t="str">
        <f>IF($B850="","",IF(IFERROR(INDEX('RAID Log'!$1:$1048576,$B850,MATCH("Impact Area",'RAID Log'!$1:$1,0)),"")="","",IFERROR(INDEX('RAID Log'!$1:$1048576,$B850,MATCH("Impact Area",'RAID Log'!$1:$1,0)),"")))</f>
        <v/>
      </c>
      <c r="G850" s="85" t="str">
        <f>IF($B850="","",IF(IFERROR(INDEX('RAID Log'!$1:$1048576,$B850,MATCH("Impact Rating",'RAID Log'!$1:$1,0)),"")="","",IFERROR(INDEX('RAID Log'!$1:$1048576,$B850,MATCH("Impact Rating",'RAID Log'!$1:$1,0)),"")))</f>
        <v/>
      </c>
      <c r="H850" s="85" t="str">
        <f>IF($B850="","",IF(IFERROR(INDEX('RAID Log'!$1:$1048576,$B850,MATCH("Initial Probability",'RAID Log'!$1:$1,0)),"")="","",IFERROR(INDEX('RAID Log'!$1:$1048576,$B850,MATCH("Initial Probability",'RAID Log'!$1:$1,0)),"")))</f>
        <v/>
      </c>
      <c r="I850" s="86" t="str">
        <f t="shared" si="39"/>
        <v/>
      </c>
      <c r="J850" s="85" t="str">
        <f t="shared" si="40"/>
        <v/>
      </c>
      <c r="K850" s="86" t="str">
        <f t="shared" si="41"/>
        <v/>
      </c>
      <c r="L850" s="85" t="str">
        <f>IF($B850="","",IF(IFERROR(INDEX('RAID Log'!$1:$1048576,$B850,MATCH("Status",'RAID Log'!$1:$1,0)),"")="","",IFERROR(INDEX('RAID Log'!$1:$1048576,$B850,MATCH("Status",'RAID Log'!$1:$1,0)),"")))</f>
        <v/>
      </c>
      <c r="M850" s="85" t="str">
        <f>IF($B850="","",IF(IFERROR(INDEX('RAID Log'!$1:$1048576,$B850,MATCH("RAID Owner",'RAID Log'!$1:$1,0)),"")="","",IFERROR(INDEX('RAID Log'!$1:$1048576,$B850,MATCH("RAID Owner",'RAID Log'!$1:$1,0)),"")))</f>
        <v/>
      </c>
      <c r="N850" s="87" t="str">
        <f>IF($B850="","",IF(IFERROR(INDEX('RAID Log'!$1:$1048576,$B850,MATCH("Date Raised",'RAID Log'!$1:$1,0)),"")="","",IFERROR(INDEX('RAID Log'!$1:$1048576,$B850,MATCH("Date Raised",'RAID Log'!$1:$1,0)),"")))</f>
        <v/>
      </c>
      <c r="O850" s="87" t="str">
        <f>IF($B850="","",IF(IFERROR(INDEX('RAID Log'!$1:$1048576,$B850,MATCH("Closed Date",'RAID Log'!$1:$1,0)),"")="","",IFERROR(INDEX('RAID Log'!$1:$1048576,$B850,MATCH("Closed Date",'RAID Log'!$1:$1,0)),"")))</f>
        <v/>
      </c>
      <c r="P850" s="85" t="str">
        <f>IF($B850="","",IF(IFERROR(INDEX('RAID Log'!$1:$1048576,$B850,MATCH("Mitigation Strategy",'RAID Log'!$1:$1,0)),"")="","",IFERROR(INDEX('RAID Log'!$1:$1048576,$B850,MATCH("Mitigation Strategy",'RAID Log'!$1:$1,0)),"")))</f>
        <v/>
      </c>
      <c r="Q850" s="88" t="str">
        <f>IF($B850="","",IF(IFERROR(INDEX('RAID Log'!$1:$1048576,$B850,MATCH("RAID Response/Plan",'RAID Log'!$1:$1,0)),"")="","",IFERROR(INDEX('RAID Log'!$1:$1048576,$B850,MATCH("RAID Response/Plan",'RAID Log'!$1:$1,0)),"")))</f>
        <v/>
      </c>
    </row>
    <row r="851" spans="1:17" ht="14.25" customHeight="1">
      <c r="A851" s="82" t="str">
        <f>IF($B851="","",IF(IFERROR(INDEX('RAID Log'!$1:$1048576,$B851,MATCH("RAID ID",'RAID Log'!$1:$1,0)),"")="","",IFERROR(INDEX('RAID Log'!$1:$1048576,$B851,MATCH("RAID ID",'RAID Log'!$1:$1,0)),"")))</f>
        <v/>
      </c>
      <c r="B851" s="83" t="str">
        <f>IFERROR(MATCH(ROW()-1,'RAID Log'!$S:$S,0),"")</f>
        <v/>
      </c>
      <c r="C851" s="84" t="str">
        <f>IF($B851="","",IF(IFERROR(INDEX('RAID Log'!$1:$1048576,$B851,MATCH("Description",'RAID Log'!$1:$1,0)),"")="","",IFERROR(INDEX('RAID Log'!$1:$1048576,$B851,MATCH("Description",'RAID Log'!$1:$1,0)),"")))</f>
        <v/>
      </c>
      <c r="D851" s="84" t="str">
        <f>IF($B851="","",IF(IFERROR(INDEX('RAID Log'!$1:$1048576,$B851,MATCH("Impact/Effect of the RAID",'RAID Log'!$1:$1,0)),"")="","",IFERROR(INDEX('RAID Log'!$1:$1048576,$B851,MATCH("Impact/Effect of the RAID",'RAID Log'!$1:$1,0)),"")))</f>
        <v/>
      </c>
      <c r="E851" s="85" t="str">
        <f>IF($B851="","",IF(IFERROR(INDEX('RAID Log'!$1:$1048576,$B851,MATCH("Impact Area",'RAID Log'!$1:$1,0)),"")="","",IFERROR(INDEX('RAID Log'!$1:$1048576,$B851,MATCH("Impact Area",'RAID Log'!$1:$1,0)),"")))</f>
        <v/>
      </c>
      <c r="F851" s="85" t="str">
        <f>IF($B851="","",IF(IFERROR(INDEX('RAID Log'!$1:$1048576,$B851,MATCH("Impact Area",'RAID Log'!$1:$1,0)),"")="","",IFERROR(INDEX('RAID Log'!$1:$1048576,$B851,MATCH("Impact Area",'RAID Log'!$1:$1,0)),"")))</f>
        <v/>
      </c>
      <c r="G851" s="85" t="str">
        <f>IF($B851="","",IF(IFERROR(INDEX('RAID Log'!$1:$1048576,$B851,MATCH("Impact Rating",'RAID Log'!$1:$1,0)),"")="","",IFERROR(INDEX('RAID Log'!$1:$1048576,$B851,MATCH("Impact Rating",'RAID Log'!$1:$1,0)),"")))</f>
        <v/>
      </c>
      <c r="H851" s="85" t="str">
        <f>IF($B851="","",IF(IFERROR(INDEX('RAID Log'!$1:$1048576,$B851,MATCH("Initial Probability",'RAID Log'!$1:$1,0)),"")="","",IFERROR(INDEX('RAID Log'!$1:$1048576,$B851,MATCH("Initial Probability",'RAID Log'!$1:$1,0)),"")))</f>
        <v/>
      </c>
      <c r="I851" s="86" t="str">
        <f t="shared" si="39"/>
        <v/>
      </c>
      <c r="J851" s="85" t="str">
        <f t="shared" si="40"/>
        <v/>
      </c>
      <c r="K851" s="86" t="str">
        <f t="shared" si="41"/>
        <v/>
      </c>
      <c r="L851" s="85" t="str">
        <f>IF($B851="","",IF(IFERROR(INDEX('RAID Log'!$1:$1048576,$B851,MATCH("Status",'RAID Log'!$1:$1,0)),"")="","",IFERROR(INDEX('RAID Log'!$1:$1048576,$B851,MATCH("Status",'RAID Log'!$1:$1,0)),"")))</f>
        <v/>
      </c>
      <c r="M851" s="85" t="str">
        <f>IF($B851="","",IF(IFERROR(INDEX('RAID Log'!$1:$1048576,$B851,MATCH("RAID Owner",'RAID Log'!$1:$1,0)),"")="","",IFERROR(INDEX('RAID Log'!$1:$1048576,$B851,MATCH("RAID Owner",'RAID Log'!$1:$1,0)),"")))</f>
        <v/>
      </c>
      <c r="N851" s="87" t="str">
        <f>IF($B851="","",IF(IFERROR(INDEX('RAID Log'!$1:$1048576,$B851,MATCH("Date Raised",'RAID Log'!$1:$1,0)),"")="","",IFERROR(INDEX('RAID Log'!$1:$1048576,$B851,MATCH("Date Raised",'RAID Log'!$1:$1,0)),"")))</f>
        <v/>
      </c>
      <c r="O851" s="87" t="str">
        <f>IF($B851="","",IF(IFERROR(INDEX('RAID Log'!$1:$1048576,$B851,MATCH("Closed Date",'RAID Log'!$1:$1,0)),"")="","",IFERROR(INDEX('RAID Log'!$1:$1048576,$B851,MATCH("Closed Date",'RAID Log'!$1:$1,0)),"")))</f>
        <v/>
      </c>
      <c r="P851" s="85" t="str">
        <f>IF($B851="","",IF(IFERROR(INDEX('RAID Log'!$1:$1048576,$B851,MATCH("Mitigation Strategy",'RAID Log'!$1:$1,0)),"")="","",IFERROR(INDEX('RAID Log'!$1:$1048576,$B851,MATCH("Mitigation Strategy",'RAID Log'!$1:$1,0)),"")))</f>
        <v/>
      </c>
      <c r="Q851" s="88" t="str">
        <f>IF($B851="","",IF(IFERROR(INDEX('RAID Log'!$1:$1048576,$B851,MATCH("RAID Response/Plan",'RAID Log'!$1:$1,0)),"")="","",IFERROR(INDEX('RAID Log'!$1:$1048576,$B851,MATCH("RAID Response/Plan",'RAID Log'!$1:$1,0)),"")))</f>
        <v/>
      </c>
    </row>
    <row r="852" spans="1:17" ht="14.25" customHeight="1">
      <c r="A852" s="82" t="str">
        <f>IF($B852="","",IF(IFERROR(INDEX('RAID Log'!$1:$1048576,$B852,MATCH("RAID ID",'RAID Log'!$1:$1,0)),"")="","",IFERROR(INDEX('RAID Log'!$1:$1048576,$B852,MATCH("RAID ID",'RAID Log'!$1:$1,0)),"")))</f>
        <v/>
      </c>
      <c r="B852" s="83" t="str">
        <f>IFERROR(MATCH(ROW()-1,'RAID Log'!$S:$S,0),"")</f>
        <v/>
      </c>
      <c r="C852" s="84" t="str">
        <f>IF($B852="","",IF(IFERROR(INDEX('RAID Log'!$1:$1048576,$B852,MATCH("Description",'RAID Log'!$1:$1,0)),"")="","",IFERROR(INDEX('RAID Log'!$1:$1048576,$B852,MATCH("Description",'RAID Log'!$1:$1,0)),"")))</f>
        <v/>
      </c>
      <c r="D852" s="84" t="str">
        <f>IF($B852="","",IF(IFERROR(INDEX('RAID Log'!$1:$1048576,$B852,MATCH("Impact/Effect of the RAID",'RAID Log'!$1:$1,0)),"")="","",IFERROR(INDEX('RAID Log'!$1:$1048576,$B852,MATCH("Impact/Effect of the RAID",'RAID Log'!$1:$1,0)),"")))</f>
        <v/>
      </c>
      <c r="E852" s="85" t="str">
        <f>IF($B852="","",IF(IFERROR(INDEX('RAID Log'!$1:$1048576,$B852,MATCH("Impact Area",'RAID Log'!$1:$1,0)),"")="","",IFERROR(INDEX('RAID Log'!$1:$1048576,$B852,MATCH("Impact Area",'RAID Log'!$1:$1,0)),"")))</f>
        <v/>
      </c>
      <c r="F852" s="85" t="str">
        <f>IF($B852="","",IF(IFERROR(INDEX('RAID Log'!$1:$1048576,$B852,MATCH("Impact Area",'RAID Log'!$1:$1,0)),"")="","",IFERROR(INDEX('RAID Log'!$1:$1048576,$B852,MATCH("Impact Area",'RAID Log'!$1:$1,0)),"")))</f>
        <v/>
      </c>
      <c r="G852" s="85" t="str">
        <f>IF($B852="","",IF(IFERROR(INDEX('RAID Log'!$1:$1048576,$B852,MATCH("Impact Rating",'RAID Log'!$1:$1,0)),"")="","",IFERROR(INDEX('RAID Log'!$1:$1048576,$B852,MATCH("Impact Rating",'RAID Log'!$1:$1,0)),"")))</f>
        <v/>
      </c>
      <c r="H852" s="85" t="str">
        <f>IF($B852="","",IF(IFERROR(INDEX('RAID Log'!$1:$1048576,$B852,MATCH("Initial Probability",'RAID Log'!$1:$1,0)),"")="","",IFERROR(INDEX('RAID Log'!$1:$1048576,$B852,MATCH("Initial Probability",'RAID Log'!$1:$1,0)),"")))</f>
        <v/>
      </c>
      <c r="I852" s="86" t="str">
        <f t="shared" si="39"/>
        <v/>
      </c>
      <c r="J852" s="85" t="str">
        <f t="shared" si="40"/>
        <v/>
      </c>
      <c r="K852" s="86" t="str">
        <f t="shared" si="41"/>
        <v/>
      </c>
      <c r="L852" s="85" t="str">
        <f>IF($B852="","",IF(IFERROR(INDEX('RAID Log'!$1:$1048576,$B852,MATCH("Status",'RAID Log'!$1:$1,0)),"")="","",IFERROR(INDEX('RAID Log'!$1:$1048576,$B852,MATCH("Status",'RAID Log'!$1:$1,0)),"")))</f>
        <v/>
      </c>
      <c r="M852" s="85" t="str">
        <f>IF($B852="","",IF(IFERROR(INDEX('RAID Log'!$1:$1048576,$B852,MATCH("RAID Owner",'RAID Log'!$1:$1,0)),"")="","",IFERROR(INDEX('RAID Log'!$1:$1048576,$B852,MATCH("RAID Owner",'RAID Log'!$1:$1,0)),"")))</f>
        <v/>
      </c>
      <c r="N852" s="87" t="str">
        <f>IF($B852="","",IF(IFERROR(INDEX('RAID Log'!$1:$1048576,$B852,MATCH("Date Raised",'RAID Log'!$1:$1,0)),"")="","",IFERROR(INDEX('RAID Log'!$1:$1048576,$B852,MATCH("Date Raised",'RAID Log'!$1:$1,0)),"")))</f>
        <v/>
      </c>
      <c r="O852" s="87" t="str">
        <f>IF($B852="","",IF(IFERROR(INDEX('RAID Log'!$1:$1048576,$B852,MATCH("Closed Date",'RAID Log'!$1:$1,0)),"")="","",IFERROR(INDEX('RAID Log'!$1:$1048576,$B852,MATCH("Closed Date",'RAID Log'!$1:$1,0)),"")))</f>
        <v/>
      </c>
      <c r="P852" s="85" t="str">
        <f>IF($B852="","",IF(IFERROR(INDEX('RAID Log'!$1:$1048576,$B852,MATCH("Mitigation Strategy",'RAID Log'!$1:$1,0)),"")="","",IFERROR(INDEX('RAID Log'!$1:$1048576,$B852,MATCH("Mitigation Strategy",'RAID Log'!$1:$1,0)),"")))</f>
        <v/>
      </c>
      <c r="Q852" s="88" t="str">
        <f>IF($B852="","",IF(IFERROR(INDEX('RAID Log'!$1:$1048576,$B852,MATCH("RAID Response/Plan",'RAID Log'!$1:$1,0)),"")="","",IFERROR(INDEX('RAID Log'!$1:$1048576,$B852,MATCH("RAID Response/Plan",'RAID Log'!$1:$1,0)),"")))</f>
        <v/>
      </c>
    </row>
    <row r="853" spans="1:17" ht="14.25" customHeight="1">
      <c r="A853" s="82" t="str">
        <f>IF($B853="","",IF(IFERROR(INDEX('RAID Log'!$1:$1048576,$B853,MATCH("RAID ID",'RAID Log'!$1:$1,0)),"")="","",IFERROR(INDEX('RAID Log'!$1:$1048576,$B853,MATCH("RAID ID",'RAID Log'!$1:$1,0)),"")))</f>
        <v/>
      </c>
      <c r="B853" s="83" t="str">
        <f>IFERROR(MATCH(ROW()-1,'RAID Log'!$S:$S,0),"")</f>
        <v/>
      </c>
      <c r="C853" s="84" t="str">
        <f>IF($B853="","",IF(IFERROR(INDEX('RAID Log'!$1:$1048576,$B853,MATCH("Description",'RAID Log'!$1:$1,0)),"")="","",IFERROR(INDEX('RAID Log'!$1:$1048576,$B853,MATCH("Description",'RAID Log'!$1:$1,0)),"")))</f>
        <v/>
      </c>
      <c r="D853" s="84" t="str">
        <f>IF($B853="","",IF(IFERROR(INDEX('RAID Log'!$1:$1048576,$B853,MATCH("Impact/Effect of the RAID",'RAID Log'!$1:$1,0)),"")="","",IFERROR(INDEX('RAID Log'!$1:$1048576,$B853,MATCH("Impact/Effect of the RAID",'RAID Log'!$1:$1,0)),"")))</f>
        <v/>
      </c>
      <c r="E853" s="85" t="str">
        <f>IF($B853="","",IF(IFERROR(INDEX('RAID Log'!$1:$1048576,$B853,MATCH("Impact Area",'RAID Log'!$1:$1,0)),"")="","",IFERROR(INDEX('RAID Log'!$1:$1048576,$B853,MATCH("Impact Area",'RAID Log'!$1:$1,0)),"")))</f>
        <v/>
      </c>
      <c r="F853" s="85" t="str">
        <f>IF($B853="","",IF(IFERROR(INDEX('RAID Log'!$1:$1048576,$B853,MATCH("Impact Area",'RAID Log'!$1:$1,0)),"")="","",IFERROR(INDEX('RAID Log'!$1:$1048576,$B853,MATCH("Impact Area",'RAID Log'!$1:$1,0)),"")))</f>
        <v/>
      </c>
      <c r="G853" s="85" t="str">
        <f>IF($B853="","",IF(IFERROR(INDEX('RAID Log'!$1:$1048576,$B853,MATCH("Impact Rating",'RAID Log'!$1:$1,0)),"")="","",IFERROR(INDEX('RAID Log'!$1:$1048576,$B853,MATCH("Impact Rating",'RAID Log'!$1:$1,0)),"")))</f>
        <v/>
      </c>
      <c r="H853" s="85" t="str">
        <f>IF($B853="","",IF(IFERROR(INDEX('RAID Log'!$1:$1048576,$B853,MATCH("Initial Probability",'RAID Log'!$1:$1,0)),"")="","",IFERROR(INDEX('RAID Log'!$1:$1048576,$B853,MATCH("Initial Probability",'RAID Log'!$1:$1,0)),"")))</f>
        <v/>
      </c>
      <c r="I853" s="86" t="str">
        <f t="shared" si="39"/>
        <v/>
      </c>
      <c r="J853" s="85" t="str">
        <f t="shared" si="40"/>
        <v/>
      </c>
      <c r="K853" s="86" t="str">
        <f t="shared" si="41"/>
        <v/>
      </c>
      <c r="L853" s="85" t="str">
        <f>IF($B853="","",IF(IFERROR(INDEX('RAID Log'!$1:$1048576,$B853,MATCH("Status",'RAID Log'!$1:$1,0)),"")="","",IFERROR(INDEX('RAID Log'!$1:$1048576,$B853,MATCH("Status",'RAID Log'!$1:$1,0)),"")))</f>
        <v/>
      </c>
      <c r="M853" s="85" t="str">
        <f>IF($B853="","",IF(IFERROR(INDEX('RAID Log'!$1:$1048576,$B853,MATCH("RAID Owner",'RAID Log'!$1:$1,0)),"")="","",IFERROR(INDEX('RAID Log'!$1:$1048576,$B853,MATCH("RAID Owner",'RAID Log'!$1:$1,0)),"")))</f>
        <v/>
      </c>
      <c r="N853" s="87" t="str">
        <f>IF($B853="","",IF(IFERROR(INDEX('RAID Log'!$1:$1048576,$B853,MATCH("Date Raised",'RAID Log'!$1:$1,0)),"")="","",IFERROR(INDEX('RAID Log'!$1:$1048576,$B853,MATCH("Date Raised",'RAID Log'!$1:$1,0)),"")))</f>
        <v/>
      </c>
      <c r="O853" s="87" t="str">
        <f>IF($B853="","",IF(IFERROR(INDEX('RAID Log'!$1:$1048576,$B853,MATCH("Closed Date",'RAID Log'!$1:$1,0)),"")="","",IFERROR(INDEX('RAID Log'!$1:$1048576,$B853,MATCH("Closed Date",'RAID Log'!$1:$1,0)),"")))</f>
        <v/>
      </c>
      <c r="P853" s="85" t="str">
        <f>IF($B853="","",IF(IFERROR(INDEX('RAID Log'!$1:$1048576,$B853,MATCH("Mitigation Strategy",'RAID Log'!$1:$1,0)),"")="","",IFERROR(INDEX('RAID Log'!$1:$1048576,$B853,MATCH("Mitigation Strategy",'RAID Log'!$1:$1,0)),"")))</f>
        <v/>
      </c>
      <c r="Q853" s="88" t="str">
        <f>IF($B853="","",IF(IFERROR(INDEX('RAID Log'!$1:$1048576,$B853,MATCH("RAID Response/Plan",'RAID Log'!$1:$1,0)),"")="","",IFERROR(INDEX('RAID Log'!$1:$1048576,$B853,MATCH("RAID Response/Plan",'RAID Log'!$1:$1,0)),"")))</f>
        <v/>
      </c>
    </row>
    <row r="854" spans="1:17" ht="14.25" customHeight="1">
      <c r="A854" s="82" t="str">
        <f>IF($B854="","",IF(IFERROR(INDEX('RAID Log'!$1:$1048576,$B854,MATCH("RAID ID",'RAID Log'!$1:$1,0)),"")="","",IFERROR(INDEX('RAID Log'!$1:$1048576,$B854,MATCH("RAID ID",'RAID Log'!$1:$1,0)),"")))</f>
        <v/>
      </c>
      <c r="B854" s="83" t="str">
        <f>IFERROR(MATCH(ROW()-1,'RAID Log'!$S:$S,0),"")</f>
        <v/>
      </c>
      <c r="C854" s="84" t="str">
        <f>IF($B854="","",IF(IFERROR(INDEX('RAID Log'!$1:$1048576,$B854,MATCH("Description",'RAID Log'!$1:$1,0)),"")="","",IFERROR(INDEX('RAID Log'!$1:$1048576,$B854,MATCH("Description",'RAID Log'!$1:$1,0)),"")))</f>
        <v/>
      </c>
      <c r="D854" s="84" t="str">
        <f>IF($B854="","",IF(IFERROR(INDEX('RAID Log'!$1:$1048576,$B854,MATCH("Impact/Effect of the RAID",'RAID Log'!$1:$1,0)),"")="","",IFERROR(INDEX('RAID Log'!$1:$1048576,$B854,MATCH("Impact/Effect of the RAID",'RAID Log'!$1:$1,0)),"")))</f>
        <v/>
      </c>
      <c r="E854" s="85" t="str">
        <f>IF($B854="","",IF(IFERROR(INDEX('RAID Log'!$1:$1048576,$B854,MATCH("Impact Area",'RAID Log'!$1:$1,0)),"")="","",IFERROR(INDEX('RAID Log'!$1:$1048576,$B854,MATCH("Impact Area",'RAID Log'!$1:$1,0)),"")))</f>
        <v/>
      </c>
      <c r="F854" s="85" t="str">
        <f>IF($B854="","",IF(IFERROR(INDEX('RAID Log'!$1:$1048576,$B854,MATCH("Impact Area",'RAID Log'!$1:$1,0)),"")="","",IFERROR(INDEX('RAID Log'!$1:$1048576,$B854,MATCH("Impact Area",'RAID Log'!$1:$1,0)),"")))</f>
        <v/>
      </c>
      <c r="G854" s="85" t="str">
        <f>IF($B854="","",IF(IFERROR(INDEX('RAID Log'!$1:$1048576,$B854,MATCH("Impact Rating",'RAID Log'!$1:$1,0)),"")="","",IFERROR(INDEX('RAID Log'!$1:$1048576,$B854,MATCH("Impact Rating",'RAID Log'!$1:$1,0)),"")))</f>
        <v/>
      </c>
      <c r="H854" s="85" t="str">
        <f>IF($B854="","",IF(IFERROR(INDEX('RAID Log'!$1:$1048576,$B854,MATCH("Initial Probability",'RAID Log'!$1:$1,0)),"")="","",IFERROR(INDEX('RAID Log'!$1:$1048576,$B854,MATCH("Initial Probability",'RAID Log'!$1:$1,0)),"")))</f>
        <v/>
      </c>
      <c r="I854" s="86" t="str">
        <f t="shared" si="39"/>
        <v/>
      </c>
      <c r="J854" s="85" t="str">
        <f t="shared" si="40"/>
        <v/>
      </c>
      <c r="K854" s="86" t="str">
        <f t="shared" si="41"/>
        <v/>
      </c>
      <c r="L854" s="85" t="str">
        <f>IF($B854="","",IF(IFERROR(INDEX('RAID Log'!$1:$1048576,$B854,MATCH("Status",'RAID Log'!$1:$1,0)),"")="","",IFERROR(INDEX('RAID Log'!$1:$1048576,$B854,MATCH("Status",'RAID Log'!$1:$1,0)),"")))</f>
        <v/>
      </c>
      <c r="M854" s="85" t="str">
        <f>IF($B854="","",IF(IFERROR(INDEX('RAID Log'!$1:$1048576,$B854,MATCH("RAID Owner",'RAID Log'!$1:$1,0)),"")="","",IFERROR(INDEX('RAID Log'!$1:$1048576,$B854,MATCH("RAID Owner",'RAID Log'!$1:$1,0)),"")))</f>
        <v/>
      </c>
      <c r="N854" s="87" t="str">
        <f>IF($B854="","",IF(IFERROR(INDEX('RAID Log'!$1:$1048576,$B854,MATCH("Date Raised",'RAID Log'!$1:$1,0)),"")="","",IFERROR(INDEX('RAID Log'!$1:$1048576,$B854,MATCH("Date Raised",'RAID Log'!$1:$1,0)),"")))</f>
        <v/>
      </c>
      <c r="O854" s="87" t="str">
        <f>IF($B854="","",IF(IFERROR(INDEX('RAID Log'!$1:$1048576,$B854,MATCH("Closed Date",'RAID Log'!$1:$1,0)),"")="","",IFERROR(INDEX('RAID Log'!$1:$1048576,$B854,MATCH("Closed Date",'RAID Log'!$1:$1,0)),"")))</f>
        <v/>
      </c>
      <c r="P854" s="85" t="str">
        <f>IF($B854="","",IF(IFERROR(INDEX('RAID Log'!$1:$1048576,$B854,MATCH("Mitigation Strategy",'RAID Log'!$1:$1,0)),"")="","",IFERROR(INDEX('RAID Log'!$1:$1048576,$B854,MATCH("Mitigation Strategy",'RAID Log'!$1:$1,0)),"")))</f>
        <v/>
      </c>
      <c r="Q854" s="88" t="str">
        <f>IF($B854="","",IF(IFERROR(INDEX('RAID Log'!$1:$1048576,$B854,MATCH("RAID Response/Plan",'RAID Log'!$1:$1,0)),"")="","",IFERROR(INDEX('RAID Log'!$1:$1048576,$B854,MATCH("RAID Response/Plan",'RAID Log'!$1:$1,0)),"")))</f>
        <v/>
      </c>
    </row>
    <row r="855" spans="1:17" ht="14.25" customHeight="1">
      <c r="A855" s="82" t="str">
        <f>IF($B855="","",IF(IFERROR(INDEX('RAID Log'!$1:$1048576,$B855,MATCH("RAID ID",'RAID Log'!$1:$1,0)),"")="","",IFERROR(INDEX('RAID Log'!$1:$1048576,$B855,MATCH("RAID ID",'RAID Log'!$1:$1,0)),"")))</f>
        <v/>
      </c>
      <c r="B855" s="83" t="str">
        <f>IFERROR(MATCH(ROW()-1,'RAID Log'!$S:$S,0),"")</f>
        <v/>
      </c>
      <c r="C855" s="84" t="str">
        <f>IF($B855="","",IF(IFERROR(INDEX('RAID Log'!$1:$1048576,$B855,MATCH("Description",'RAID Log'!$1:$1,0)),"")="","",IFERROR(INDEX('RAID Log'!$1:$1048576,$B855,MATCH("Description",'RAID Log'!$1:$1,0)),"")))</f>
        <v/>
      </c>
      <c r="D855" s="84" t="str">
        <f>IF($B855="","",IF(IFERROR(INDEX('RAID Log'!$1:$1048576,$B855,MATCH("Impact/Effect of the RAID",'RAID Log'!$1:$1,0)),"")="","",IFERROR(INDEX('RAID Log'!$1:$1048576,$B855,MATCH("Impact/Effect of the RAID",'RAID Log'!$1:$1,0)),"")))</f>
        <v/>
      </c>
      <c r="E855" s="85" t="str">
        <f>IF($B855="","",IF(IFERROR(INDEX('RAID Log'!$1:$1048576,$B855,MATCH("Impact Area",'RAID Log'!$1:$1,0)),"")="","",IFERROR(INDEX('RAID Log'!$1:$1048576,$B855,MATCH("Impact Area",'RAID Log'!$1:$1,0)),"")))</f>
        <v/>
      </c>
      <c r="F855" s="85" t="str">
        <f>IF($B855="","",IF(IFERROR(INDEX('RAID Log'!$1:$1048576,$B855,MATCH("Impact Area",'RAID Log'!$1:$1,0)),"")="","",IFERROR(INDEX('RAID Log'!$1:$1048576,$B855,MATCH("Impact Area",'RAID Log'!$1:$1,0)),"")))</f>
        <v/>
      </c>
      <c r="G855" s="85" t="str">
        <f>IF($B855="","",IF(IFERROR(INDEX('RAID Log'!$1:$1048576,$B855,MATCH("Impact Rating",'RAID Log'!$1:$1,0)),"")="","",IFERROR(INDEX('RAID Log'!$1:$1048576,$B855,MATCH("Impact Rating",'RAID Log'!$1:$1,0)),"")))</f>
        <v/>
      </c>
      <c r="H855" s="85" t="str">
        <f>IF($B855="","",IF(IFERROR(INDEX('RAID Log'!$1:$1048576,$B855,MATCH("Initial Probability",'RAID Log'!$1:$1,0)),"")="","",IFERROR(INDEX('RAID Log'!$1:$1048576,$B855,MATCH("Initial Probability",'RAID Log'!$1:$1,0)),"")))</f>
        <v/>
      </c>
      <c r="I855" s="86" t="str">
        <f t="shared" si="39"/>
        <v/>
      </c>
      <c r="J855" s="85" t="str">
        <f t="shared" si="40"/>
        <v/>
      </c>
      <c r="K855" s="86" t="str">
        <f t="shared" si="41"/>
        <v/>
      </c>
      <c r="L855" s="85" t="str">
        <f>IF($B855="","",IF(IFERROR(INDEX('RAID Log'!$1:$1048576,$B855,MATCH("Status",'RAID Log'!$1:$1,0)),"")="","",IFERROR(INDEX('RAID Log'!$1:$1048576,$B855,MATCH("Status",'RAID Log'!$1:$1,0)),"")))</f>
        <v/>
      </c>
      <c r="M855" s="85" t="str">
        <f>IF($B855="","",IF(IFERROR(INDEX('RAID Log'!$1:$1048576,$B855,MATCH("RAID Owner",'RAID Log'!$1:$1,0)),"")="","",IFERROR(INDEX('RAID Log'!$1:$1048576,$B855,MATCH("RAID Owner",'RAID Log'!$1:$1,0)),"")))</f>
        <v/>
      </c>
      <c r="N855" s="87" t="str">
        <f>IF($B855="","",IF(IFERROR(INDEX('RAID Log'!$1:$1048576,$B855,MATCH("Date Raised",'RAID Log'!$1:$1,0)),"")="","",IFERROR(INDEX('RAID Log'!$1:$1048576,$B855,MATCH("Date Raised",'RAID Log'!$1:$1,0)),"")))</f>
        <v/>
      </c>
      <c r="O855" s="87" t="str">
        <f>IF($B855="","",IF(IFERROR(INDEX('RAID Log'!$1:$1048576,$B855,MATCH("Closed Date",'RAID Log'!$1:$1,0)),"")="","",IFERROR(INDEX('RAID Log'!$1:$1048576,$B855,MATCH("Closed Date",'RAID Log'!$1:$1,0)),"")))</f>
        <v/>
      </c>
      <c r="P855" s="85" t="str">
        <f>IF($B855="","",IF(IFERROR(INDEX('RAID Log'!$1:$1048576,$B855,MATCH("Mitigation Strategy",'RAID Log'!$1:$1,0)),"")="","",IFERROR(INDEX('RAID Log'!$1:$1048576,$B855,MATCH("Mitigation Strategy",'RAID Log'!$1:$1,0)),"")))</f>
        <v/>
      </c>
      <c r="Q855" s="88" t="str">
        <f>IF($B855="","",IF(IFERROR(INDEX('RAID Log'!$1:$1048576,$B855,MATCH("RAID Response/Plan",'RAID Log'!$1:$1,0)),"")="","",IFERROR(INDEX('RAID Log'!$1:$1048576,$B855,MATCH("RAID Response/Plan",'RAID Log'!$1:$1,0)),"")))</f>
        <v/>
      </c>
    </row>
    <row r="856" spans="1:17" ht="14.25" customHeight="1">
      <c r="A856" s="82" t="str">
        <f>IF($B856="","",IF(IFERROR(INDEX('RAID Log'!$1:$1048576,$B856,MATCH("RAID ID",'RAID Log'!$1:$1,0)),"")="","",IFERROR(INDEX('RAID Log'!$1:$1048576,$B856,MATCH("RAID ID",'RAID Log'!$1:$1,0)),"")))</f>
        <v/>
      </c>
      <c r="B856" s="83" t="str">
        <f>IFERROR(MATCH(ROW()-1,'RAID Log'!$S:$S,0),"")</f>
        <v/>
      </c>
      <c r="C856" s="84" t="str">
        <f>IF($B856="","",IF(IFERROR(INDEX('RAID Log'!$1:$1048576,$B856,MATCH("Description",'RAID Log'!$1:$1,0)),"")="","",IFERROR(INDEX('RAID Log'!$1:$1048576,$B856,MATCH("Description",'RAID Log'!$1:$1,0)),"")))</f>
        <v/>
      </c>
      <c r="D856" s="84" t="str">
        <f>IF($B856="","",IF(IFERROR(INDEX('RAID Log'!$1:$1048576,$B856,MATCH("Impact/Effect of the RAID",'RAID Log'!$1:$1,0)),"")="","",IFERROR(INDEX('RAID Log'!$1:$1048576,$B856,MATCH("Impact/Effect of the RAID",'RAID Log'!$1:$1,0)),"")))</f>
        <v/>
      </c>
      <c r="E856" s="85" t="str">
        <f>IF($B856="","",IF(IFERROR(INDEX('RAID Log'!$1:$1048576,$B856,MATCH("Impact Area",'RAID Log'!$1:$1,0)),"")="","",IFERROR(INDEX('RAID Log'!$1:$1048576,$B856,MATCH("Impact Area",'RAID Log'!$1:$1,0)),"")))</f>
        <v/>
      </c>
      <c r="F856" s="85" t="str">
        <f>IF($B856="","",IF(IFERROR(INDEX('RAID Log'!$1:$1048576,$B856,MATCH("Impact Area",'RAID Log'!$1:$1,0)),"")="","",IFERROR(INDEX('RAID Log'!$1:$1048576,$B856,MATCH("Impact Area",'RAID Log'!$1:$1,0)),"")))</f>
        <v/>
      </c>
      <c r="G856" s="85" t="str">
        <f>IF($B856="","",IF(IFERROR(INDEX('RAID Log'!$1:$1048576,$B856,MATCH("Impact Rating",'RAID Log'!$1:$1,0)),"")="","",IFERROR(INDEX('RAID Log'!$1:$1048576,$B856,MATCH("Impact Rating",'RAID Log'!$1:$1,0)),"")))</f>
        <v/>
      </c>
      <c r="H856" s="85" t="str">
        <f>IF($B856="","",IF(IFERROR(INDEX('RAID Log'!$1:$1048576,$B856,MATCH("Initial Probability",'RAID Log'!$1:$1,0)),"")="","",IFERROR(INDEX('RAID Log'!$1:$1048576,$B856,MATCH("Initial Probability",'RAID Log'!$1:$1,0)),"")))</f>
        <v/>
      </c>
      <c r="I856" s="86" t="str">
        <f t="shared" si="39"/>
        <v/>
      </c>
      <c r="J856" s="85" t="str">
        <f t="shared" si="40"/>
        <v/>
      </c>
      <c r="K856" s="86" t="str">
        <f t="shared" si="41"/>
        <v/>
      </c>
      <c r="L856" s="85" t="str">
        <f>IF($B856="","",IF(IFERROR(INDEX('RAID Log'!$1:$1048576,$B856,MATCH("Status",'RAID Log'!$1:$1,0)),"")="","",IFERROR(INDEX('RAID Log'!$1:$1048576,$B856,MATCH("Status",'RAID Log'!$1:$1,0)),"")))</f>
        <v/>
      </c>
      <c r="M856" s="85" t="str">
        <f>IF($B856="","",IF(IFERROR(INDEX('RAID Log'!$1:$1048576,$B856,MATCH("RAID Owner",'RAID Log'!$1:$1,0)),"")="","",IFERROR(INDEX('RAID Log'!$1:$1048576,$B856,MATCH("RAID Owner",'RAID Log'!$1:$1,0)),"")))</f>
        <v/>
      </c>
      <c r="N856" s="87" t="str">
        <f>IF($B856="","",IF(IFERROR(INDEX('RAID Log'!$1:$1048576,$B856,MATCH("Date Raised",'RAID Log'!$1:$1,0)),"")="","",IFERROR(INDEX('RAID Log'!$1:$1048576,$B856,MATCH("Date Raised",'RAID Log'!$1:$1,0)),"")))</f>
        <v/>
      </c>
      <c r="O856" s="87" t="str">
        <f>IF($B856="","",IF(IFERROR(INDEX('RAID Log'!$1:$1048576,$B856,MATCH("Closed Date",'RAID Log'!$1:$1,0)),"")="","",IFERROR(INDEX('RAID Log'!$1:$1048576,$B856,MATCH("Closed Date",'RAID Log'!$1:$1,0)),"")))</f>
        <v/>
      </c>
      <c r="P856" s="85" t="str">
        <f>IF($B856="","",IF(IFERROR(INDEX('RAID Log'!$1:$1048576,$B856,MATCH("Mitigation Strategy",'RAID Log'!$1:$1,0)),"")="","",IFERROR(INDEX('RAID Log'!$1:$1048576,$B856,MATCH("Mitigation Strategy",'RAID Log'!$1:$1,0)),"")))</f>
        <v/>
      </c>
      <c r="Q856" s="88" t="str">
        <f>IF($B856="","",IF(IFERROR(INDEX('RAID Log'!$1:$1048576,$B856,MATCH("RAID Response/Plan",'RAID Log'!$1:$1,0)),"")="","",IFERROR(INDEX('RAID Log'!$1:$1048576,$B856,MATCH("RAID Response/Plan",'RAID Log'!$1:$1,0)),"")))</f>
        <v/>
      </c>
    </row>
    <row r="857" spans="1:17" ht="14.25" customHeight="1">
      <c r="A857" s="82" t="str">
        <f>IF($B857="","",IF(IFERROR(INDEX('RAID Log'!$1:$1048576,$B857,MATCH("RAID ID",'RAID Log'!$1:$1,0)),"")="","",IFERROR(INDEX('RAID Log'!$1:$1048576,$B857,MATCH("RAID ID",'RAID Log'!$1:$1,0)),"")))</f>
        <v/>
      </c>
      <c r="B857" s="83" t="str">
        <f>IFERROR(MATCH(ROW()-1,'RAID Log'!$S:$S,0),"")</f>
        <v/>
      </c>
      <c r="C857" s="84" t="str">
        <f>IF($B857="","",IF(IFERROR(INDEX('RAID Log'!$1:$1048576,$B857,MATCH("Description",'RAID Log'!$1:$1,0)),"")="","",IFERROR(INDEX('RAID Log'!$1:$1048576,$B857,MATCH("Description",'RAID Log'!$1:$1,0)),"")))</f>
        <v/>
      </c>
      <c r="D857" s="84" t="str">
        <f>IF($B857="","",IF(IFERROR(INDEX('RAID Log'!$1:$1048576,$B857,MATCH("Impact/Effect of the RAID",'RAID Log'!$1:$1,0)),"")="","",IFERROR(INDEX('RAID Log'!$1:$1048576,$B857,MATCH("Impact/Effect of the RAID",'RAID Log'!$1:$1,0)),"")))</f>
        <v/>
      </c>
      <c r="E857" s="85" t="str">
        <f>IF($B857="","",IF(IFERROR(INDEX('RAID Log'!$1:$1048576,$B857,MATCH("Impact Area",'RAID Log'!$1:$1,0)),"")="","",IFERROR(INDEX('RAID Log'!$1:$1048576,$B857,MATCH("Impact Area",'RAID Log'!$1:$1,0)),"")))</f>
        <v/>
      </c>
      <c r="F857" s="85" t="str">
        <f>IF($B857="","",IF(IFERROR(INDEX('RAID Log'!$1:$1048576,$B857,MATCH("Impact Area",'RAID Log'!$1:$1,0)),"")="","",IFERROR(INDEX('RAID Log'!$1:$1048576,$B857,MATCH("Impact Area",'RAID Log'!$1:$1,0)),"")))</f>
        <v/>
      </c>
      <c r="G857" s="85" t="str">
        <f>IF($B857="","",IF(IFERROR(INDEX('RAID Log'!$1:$1048576,$B857,MATCH("Impact Rating",'RAID Log'!$1:$1,0)),"")="","",IFERROR(INDEX('RAID Log'!$1:$1048576,$B857,MATCH("Impact Rating",'RAID Log'!$1:$1,0)),"")))</f>
        <v/>
      </c>
      <c r="H857" s="85" t="str">
        <f>IF($B857="","",IF(IFERROR(INDEX('RAID Log'!$1:$1048576,$B857,MATCH("Initial Probability",'RAID Log'!$1:$1,0)),"")="","",IFERROR(INDEX('RAID Log'!$1:$1048576,$B857,MATCH("Initial Probability",'RAID Log'!$1:$1,0)),"")))</f>
        <v/>
      </c>
      <c r="I857" s="86" t="str">
        <f t="shared" si="39"/>
        <v/>
      </c>
      <c r="J857" s="85" t="str">
        <f t="shared" si="40"/>
        <v/>
      </c>
      <c r="K857" s="86" t="str">
        <f t="shared" si="41"/>
        <v/>
      </c>
      <c r="L857" s="85" t="str">
        <f>IF($B857="","",IF(IFERROR(INDEX('RAID Log'!$1:$1048576,$B857,MATCH("Status",'RAID Log'!$1:$1,0)),"")="","",IFERROR(INDEX('RAID Log'!$1:$1048576,$B857,MATCH("Status",'RAID Log'!$1:$1,0)),"")))</f>
        <v/>
      </c>
      <c r="M857" s="85" t="str">
        <f>IF($B857="","",IF(IFERROR(INDEX('RAID Log'!$1:$1048576,$B857,MATCH("RAID Owner",'RAID Log'!$1:$1,0)),"")="","",IFERROR(INDEX('RAID Log'!$1:$1048576,$B857,MATCH("RAID Owner",'RAID Log'!$1:$1,0)),"")))</f>
        <v/>
      </c>
      <c r="N857" s="87" t="str">
        <f>IF($B857="","",IF(IFERROR(INDEX('RAID Log'!$1:$1048576,$B857,MATCH("Date Raised",'RAID Log'!$1:$1,0)),"")="","",IFERROR(INDEX('RAID Log'!$1:$1048576,$B857,MATCH("Date Raised",'RAID Log'!$1:$1,0)),"")))</f>
        <v/>
      </c>
      <c r="O857" s="87" t="str">
        <f>IF($B857="","",IF(IFERROR(INDEX('RAID Log'!$1:$1048576,$B857,MATCH("Closed Date",'RAID Log'!$1:$1,0)),"")="","",IFERROR(INDEX('RAID Log'!$1:$1048576,$B857,MATCH("Closed Date",'RAID Log'!$1:$1,0)),"")))</f>
        <v/>
      </c>
      <c r="P857" s="85" t="str">
        <f>IF($B857="","",IF(IFERROR(INDEX('RAID Log'!$1:$1048576,$B857,MATCH("Mitigation Strategy",'RAID Log'!$1:$1,0)),"")="","",IFERROR(INDEX('RAID Log'!$1:$1048576,$B857,MATCH("Mitigation Strategy",'RAID Log'!$1:$1,0)),"")))</f>
        <v/>
      </c>
      <c r="Q857" s="88" t="str">
        <f>IF($B857="","",IF(IFERROR(INDEX('RAID Log'!$1:$1048576,$B857,MATCH("RAID Response/Plan",'RAID Log'!$1:$1,0)),"")="","",IFERROR(INDEX('RAID Log'!$1:$1048576,$B857,MATCH("RAID Response/Plan",'RAID Log'!$1:$1,0)),"")))</f>
        <v/>
      </c>
    </row>
    <row r="858" spans="1:17" ht="14.25" customHeight="1">
      <c r="A858" s="82" t="str">
        <f>IF($B858="","",IF(IFERROR(INDEX('RAID Log'!$1:$1048576,$B858,MATCH("RAID ID",'RAID Log'!$1:$1,0)),"")="","",IFERROR(INDEX('RAID Log'!$1:$1048576,$B858,MATCH("RAID ID",'RAID Log'!$1:$1,0)),"")))</f>
        <v/>
      </c>
      <c r="B858" s="83" t="str">
        <f>IFERROR(MATCH(ROW()-1,'RAID Log'!$S:$S,0),"")</f>
        <v/>
      </c>
      <c r="C858" s="84" t="str">
        <f>IF($B858="","",IF(IFERROR(INDEX('RAID Log'!$1:$1048576,$B858,MATCH("Description",'RAID Log'!$1:$1,0)),"")="","",IFERROR(INDEX('RAID Log'!$1:$1048576,$B858,MATCH("Description",'RAID Log'!$1:$1,0)),"")))</f>
        <v/>
      </c>
      <c r="D858" s="84" t="str">
        <f>IF($B858="","",IF(IFERROR(INDEX('RAID Log'!$1:$1048576,$B858,MATCH("Impact/Effect of the RAID",'RAID Log'!$1:$1,0)),"")="","",IFERROR(INDEX('RAID Log'!$1:$1048576,$B858,MATCH("Impact/Effect of the RAID",'RAID Log'!$1:$1,0)),"")))</f>
        <v/>
      </c>
      <c r="E858" s="85" t="str">
        <f>IF($B858="","",IF(IFERROR(INDEX('RAID Log'!$1:$1048576,$B858,MATCH("Impact Area",'RAID Log'!$1:$1,0)),"")="","",IFERROR(INDEX('RAID Log'!$1:$1048576,$B858,MATCH("Impact Area",'RAID Log'!$1:$1,0)),"")))</f>
        <v/>
      </c>
      <c r="F858" s="85" t="str">
        <f>IF($B858="","",IF(IFERROR(INDEX('RAID Log'!$1:$1048576,$B858,MATCH("Impact Area",'RAID Log'!$1:$1,0)),"")="","",IFERROR(INDEX('RAID Log'!$1:$1048576,$B858,MATCH("Impact Area",'RAID Log'!$1:$1,0)),"")))</f>
        <v/>
      </c>
      <c r="G858" s="85" t="str">
        <f>IF($B858="","",IF(IFERROR(INDEX('RAID Log'!$1:$1048576,$B858,MATCH("Impact Rating",'RAID Log'!$1:$1,0)),"")="","",IFERROR(INDEX('RAID Log'!$1:$1048576,$B858,MATCH("Impact Rating",'RAID Log'!$1:$1,0)),"")))</f>
        <v/>
      </c>
      <c r="H858" s="85" t="str">
        <f>IF($B858="","",IF(IFERROR(INDEX('RAID Log'!$1:$1048576,$B858,MATCH("Initial Probability",'RAID Log'!$1:$1,0)),"")="","",IFERROR(INDEX('RAID Log'!$1:$1048576,$B858,MATCH("Initial Probability",'RAID Log'!$1:$1,0)),"")))</f>
        <v/>
      </c>
      <c r="I858" s="86" t="str">
        <f t="shared" si="39"/>
        <v/>
      </c>
      <c r="J858" s="85" t="str">
        <f t="shared" si="40"/>
        <v/>
      </c>
      <c r="K858" s="86" t="str">
        <f t="shared" si="41"/>
        <v/>
      </c>
      <c r="L858" s="85" t="str">
        <f>IF($B858="","",IF(IFERROR(INDEX('RAID Log'!$1:$1048576,$B858,MATCH("Status",'RAID Log'!$1:$1,0)),"")="","",IFERROR(INDEX('RAID Log'!$1:$1048576,$B858,MATCH("Status",'RAID Log'!$1:$1,0)),"")))</f>
        <v/>
      </c>
      <c r="M858" s="85" t="str">
        <f>IF($B858="","",IF(IFERROR(INDEX('RAID Log'!$1:$1048576,$B858,MATCH("RAID Owner",'RAID Log'!$1:$1,0)),"")="","",IFERROR(INDEX('RAID Log'!$1:$1048576,$B858,MATCH("RAID Owner",'RAID Log'!$1:$1,0)),"")))</f>
        <v/>
      </c>
      <c r="N858" s="87" t="str">
        <f>IF($B858="","",IF(IFERROR(INDEX('RAID Log'!$1:$1048576,$B858,MATCH("Date Raised",'RAID Log'!$1:$1,0)),"")="","",IFERROR(INDEX('RAID Log'!$1:$1048576,$B858,MATCH("Date Raised",'RAID Log'!$1:$1,0)),"")))</f>
        <v/>
      </c>
      <c r="O858" s="87" t="str">
        <f>IF($B858="","",IF(IFERROR(INDEX('RAID Log'!$1:$1048576,$B858,MATCH("Closed Date",'RAID Log'!$1:$1,0)),"")="","",IFERROR(INDEX('RAID Log'!$1:$1048576,$B858,MATCH("Closed Date",'RAID Log'!$1:$1,0)),"")))</f>
        <v/>
      </c>
      <c r="P858" s="85" t="str">
        <f>IF($B858="","",IF(IFERROR(INDEX('RAID Log'!$1:$1048576,$B858,MATCH("Mitigation Strategy",'RAID Log'!$1:$1,0)),"")="","",IFERROR(INDEX('RAID Log'!$1:$1048576,$B858,MATCH("Mitigation Strategy",'RAID Log'!$1:$1,0)),"")))</f>
        <v/>
      </c>
      <c r="Q858" s="88" t="str">
        <f>IF($B858="","",IF(IFERROR(INDEX('RAID Log'!$1:$1048576,$B858,MATCH("RAID Response/Plan",'RAID Log'!$1:$1,0)),"")="","",IFERROR(INDEX('RAID Log'!$1:$1048576,$B858,MATCH("RAID Response/Plan",'RAID Log'!$1:$1,0)),"")))</f>
        <v/>
      </c>
    </row>
    <row r="859" spans="1:17" ht="14.25" customHeight="1">
      <c r="A859" s="82" t="str">
        <f>IF($B859="","",IF(IFERROR(INDEX('RAID Log'!$1:$1048576,$B859,MATCH("RAID ID",'RAID Log'!$1:$1,0)),"")="","",IFERROR(INDEX('RAID Log'!$1:$1048576,$B859,MATCH("RAID ID",'RAID Log'!$1:$1,0)),"")))</f>
        <v/>
      </c>
      <c r="B859" s="83" t="str">
        <f>IFERROR(MATCH(ROW()-1,'RAID Log'!$S:$S,0),"")</f>
        <v/>
      </c>
      <c r="C859" s="84" t="str">
        <f>IF($B859="","",IF(IFERROR(INDEX('RAID Log'!$1:$1048576,$B859,MATCH("Description",'RAID Log'!$1:$1,0)),"")="","",IFERROR(INDEX('RAID Log'!$1:$1048576,$B859,MATCH("Description",'RAID Log'!$1:$1,0)),"")))</f>
        <v/>
      </c>
      <c r="D859" s="84" t="str">
        <f>IF($B859="","",IF(IFERROR(INDEX('RAID Log'!$1:$1048576,$B859,MATCH("Impact/Effect of the RAID",'RAID Log'!$1:$1,0)),"")="","",IFERROR(INDEX('RAID Log'!$1:$1048576,$B859,MATCH("Impact/Effect of the RAID",'RAID Log'!$1:$1,0)),"")))</f>
        <v/>
      </c>
      <c r="E859" s="85" t="str">
        <f>IF($B859="","",IF(IFERROR(INDEX('RAID Log'!$1:$1048576,$B859,MATCH("Impact Area",'RAID Log'!$1:$1,0)),"")="","",IFERROR(INDEX('RAID Log'!$1:$1048576,$B859,MATCH("Impact Area",'RAID Log'!$1:$1,0)),"")))</f>
        <v/>
      </c>
      <c r="F859" s="85" t="str">
        <f>IF($B859="","",IF(IFERROR(INDEX('RAID Log'!$1:$1048576,$B859,MATCH("Impact Area",'RAID Log'!$1:$1,0)),"")="","",IFERROR(INDEX('RAID Log'!$1:$1048576,$B859,MATCH("Impact Area",'RAID Log'!$1:$1,0)),"")))</f>
        <v/>
      </c>
      <c r="G859" s="85" t="str">
        <f>IF($B859="","",IF(IFERROR(INDEX('RAID Log'!$1:$1048576,$B859,MATCH("Impact Rating",'RAID Log'!$1:$1,0)),"")="","",IFERROR(INDEX('RAID Log'!$1:$1048576,$B859,MATCH("Impact Rating",'RAID Log'!$1:$1,0)),"")))</f>
        <v/>
      </c>
      <c r="H859" s="85" t="str">
        <f>IF($B859="","",IF(IFERROR(INDEX('RAID Log'!$1:$1048576,$B859,MATCH("Initial Probability",'RAID Log'!$1:$1,0)),"")="","",IFERROR(INDEX('RAID Log'!$1:$1048576,$B859,MATCH("Initial Probability",'RAID Log'!$1:$1,0)),"")))</f>
        <v/>
      </c>
      <c r="I859" s="86" t="str">
        <f t="shared" si="39"/>
        <v/>
      </c>
      <c r="J859" s="85" t="str">
        <f t="shared" si="40"/>
        <v/>
      </c>
      <c r="K859" s="86" t="str">
        <f t="shared" si="41"/>
        <v/>
      </c>
      <c r="L859" s="85" t="str">
        <f>IF($B859="","",IF(IFERROR(INDEX('RAID Log'!$1:$1048576,$B859,MATCH("Status",'RAID Log'!$1:$1,0)),"")="","",IFERROR(INDEX('RAID Log'!$1:$1048576,$B859,MATCH("Status",'RAID Log'!$1:$1,0)),"")))</f>
        <v/>
      </c>
      <c r="M859" s="85" t="str">
        <f>IF($B859="","",IF(IFERROR(INDEX('RAID Log'!$1:$1048576,$B859,MATCH("RAID Owner",'RAID Log'!$1:$1,0)),"")="","",IFERROR(INDEX('RAID Log'!$1:$1048576,$B859,MATCH("RAID Owner",'RAID Log'!$1:$1,0)),"")))</f>
        <v/>
      </c>
      <c r="N859" s="87" t="str">
        <f>IF($B859="","",IF(IFERROR(INDEX('RAID Log'!$1:$1048576,$B859,MATCH("Date Raised",'RAID Log'!$1:$1,0)),"")="","",IFERROR(INDEX('RAID Log'!$1:$1048576,$B859,MATCH("Date Raised",'RAID Log'!$1:$1,0)),"")))</f>
        <v/>
      </c>
      <c r="O859" s="87" t="str">
        <f>IF($B859="","",IF(IFERROR(INDEX('RAID Log'!$1:$1048576,$B859,MATCH("Closed Date",'RAID Log'!$1:$1,0)),"")="","",IFERROR(INDEX('RAID Log'!$1:$1048576,$B859,MATCH("Closed Date",'RAID Log'!$1:$1,0)),"")))</f>
        <v/>
      </c>
      <c r="P859" s="85" t="str">
        <f>IF($B859="","",IF(IFERROR(INDEX('RAID Log'!$1:$1048576,$B859,MATCH("Mitigation Strategy",'RAID Log'!$1:$1,0)),"")="","",IFERROR(INDEX('RAID Log'!$1:$1048576,$B859,MATCH("Mitigation Strategy",'RAID Log'!$1:$1,0)),"")))</f>
        <v/>
      </c>
      <c r="Q859" s="88" t="str">
        <f>IF($B859="","",IF(IFERROR(INDEX('RAID Log'!$1:$1048576,$B859,MATCH("RAID Response/Plan",'RAID Log'!$1:$1,0)),"")="","",IFERROR(INDEX('RAID Log'!$1:$1048576,$B859,MATCH("RAID Response/Plan",'RAID Log'!$1:$1,0)),"")))</f>
        <v/>
      </c>
    </row>
    <row r="860" spans="1:17" ht="14.25" customHeight="1">
      <c r="A860" s="82" t="str">
        <f>IF($B860="","",IF(IFERROR(INDEX('RAID Log'!$1:$1048576,$B860,MATCH("RAID ID",'RAID Log'!$1:$1,0)),"")="","",IFERROR(INDEX('RAID Log'!$1:$1048576,$B860,MATCH("RAID ID",'RAID Log'!$1:$1,0)),"")))</f>
        <v/>
      </c>
      <c r="B860" s="83" t="str">
        <f>IFERROR(MATCH(ROW()-1,'RAID Log'!$S:$S,0),"")</f>
        <v/>
      </c>
      <c r="C860" s="84" t="str">
        <f>IF($B860="","",IF(IFERROR(INDEX('RAID Log'!$1:$1048576,$B860,MATCH("Description",'RAID Log'!$1:$1,0)),"")="","",IFERROR(INDEX('RAID Log'!$1:$1048576,$B860,MATCH("Description",'RAID Log'!$1:$1,0)),"")))</f>
        <v/>
      </c>
      <c r="D860" s="84" t="str">
        <f>IF($B860="","",IF(IFERROR(INDEX('RAID Log'!$1:$1048576,$B860,MATCH("Impact/Effect of the RAID",'RAID Log'!$1:$1,0)),"")="","",IFERROR(INDEX('RAID Log'!$1:$1048576,$B860,MATCH("Impact/Effect of the RAID",'RAID Log'!$1:$1,0)),"")))</f>
        <v/>
      </c>
      <c r="E860" s="85" t="str">
        <f>IF($B860="","",IF(IFERROR(INDEX('RAID Log'!$1:$1048576,$B860,MATCH("Impact Area",'RAID Log'!$1:$1,0)),"")="","",IFERROR(INDEX('RAID Log'!$1:$1048576,$B860,MATCH("Impact Area",'RAID Log'!$1:$1,0)),"")))</f>
        <v/>
      </c>
      <c r="F860" s="85" t="str">
        <f>IF($B860="","",IF(IFERROR(INDEX('RAID Log'!$1:$1048576,$B860,MATCH("Impact Area",'RAID Log'!$1:$1,0)),"")="","",IFERROR(INDEX('RAID Log'!$1:$1048576,$B860,MATCH("Impact Area",'RAID Log'!$1:$1,0)),"")))</f>
        <v/>
      </c>
      <c r="G860" s="85" t="str">
        <f>IF($B860="","",IF(IFERROR(INDEX('RAID Log'!$1:$1048576,$B860,MATCH("Impact Rating",'RAID Log'!$1:$1,0)),"")="","",IFERROR(INDEX('RAID Log'!$1:$1048576,$B860,MATCH("Impact Rating",'RAID Log'!$1:$1,0)),"")))</f>
        <v/>
      </c>
      <c r="H860" s="85" t="str">
        <f>IF($B860="","",IF(IFERROR(INDEX('RAID Log'!$1:$1048576,$B860,MATCH("Initial Probability",'RAID Log'!$1:$1,0)),"")="","",IFERROR(INDEX('RAID Log'!$1:$1048576,$B860,MATCH("Initial Probability",'RAID Log'!$1:$1,0)),"")))</f>
        <v/>
      </c>
      <c r="I860" s="86" t="str">
        <f t="shared" si="39"/>
        <v/>
      </c>
      <c r="J860" s="85" t="str">
        <f t="shared" si="40"/>
        <v/>
      </c>
      <c r="K860" s="86" t="str">
        <f t="shared" si="41"/>
        <v/>
      </c>
      <c r="L860" s="85" t="str">
        <f>IF($B860="","",IF(IFERROR(INDEX('RAID Log'!$1:$1048576,$B860,MATCH("Status",'RAID Log'!$1:$1,0)),"")="","",IFERROR(INDEX('RAID Log'!$1:$1048576,$B860,MATCH("Status",'RAID Log'!$1:$1,0)),"")))</f>
        <v/>
      </c>
      <c r="M860" s="85" t="str">
        <f>IF($B860="","",IF(IFERROR(INDEX('RAID Log'!$1:$1048576,$B860,MATCH("RAID Owner",'RAID Log'!$1:$1,0)),"")="","",IFERROR(INDEX('RAID Log'!$1:$1048576,$B860,MATCH("RAID Owner",'RAID Log'!$1:$1,0)),"")))</f>
        <v/>
      </c>
      <c r="N860" s="87" t="str">
        <f>IF($B860="","",IF(IFERROR(INDEX('RAID Log'!$1:$1048576,$B860,MATCH("Date Raised",'RAID Log'!$1:$1,0)),"")="","",IFERROR(INDEX('RAID Log'!$1:$1048576,$B860,MATCH("Date Raised",'RAID Log'!$1:$1,0)),"")))</f>
        <v/>
      </c>
      <c r="O860" s="87" t="str">
        <f>IF($B860="","",IF(IFERROR(INDEX('RAID Log'!$1:$1048576,$B860,MATCH("Closed Date",'RAID Log'!$1:$1,0)),"")="","",IFERROR(INDEX('RAID Log'!$1:$1048576,$B860,MATCH("Closed Date",'RAID Log'!$1:$1,0)),"")))</f>
        <v/>
      </c>
      <c r="P860" s="85" t="str">
        <f>IF($B860="","",IF(IFERROR(INDEX('RAID Log'!$1:$1048576,$B860,MATCH("Mitigation Strategy",'RAID Log'!$1:$1,0)),"")="","",IFERROR(INDEX('RAID Log'!$1:$1048576,$B860,MATCH("Mitigation Strategy",'RAID Log'!$1:$1,0)),"")))</f>
        <v/>
      </c>
      <c r="Q860" s="88" t="str">
        <f>IF($B860="","",IF(IFERROR(INDEX('RAID Log'!$1:$1048576,$B860,MATCH("RAID Response/Plan",'RAID Log'!$1:$1,0)),"")="","",IFERROR(INDEX('RAID Log'!$1:$1048576,$B860,MATCH("RAID Response/Plan",'RAID Log'!$1:$1,0)),"")))</f>
        <v/>
      </c>
    </row>
    <row r="861" spans="1:17" ht="14.25" customHeight="1">
      <c r="A861" s="82" t="str">
        <f>IF($B861="","",IF(IFERROR(INDEX('RAID Log'!$1:$1048576,$B861,MATCH("RAID ID",'RAID Log'!$1:$1,0)),"")="","",IFERROR(INDEX('RAID Log'!$1:$1048576,$B861,MATCH("RAID ID",'RAID Log'!$1:$1,0)),"")))</f>
        <v/>
      </c>
      <c r="B861" s="83" t="str">
        <f>IFERROR(MATCH(ROW()-1,'RAID Log'!$S:$S,0),"")</f>
        <v/>
      </c>
      <c r="C861" s="84" t="str">
        <f>IF($B861="","",IF(IFERROR(INDEX('RAID Log'!$1:$1048576,$B861,MATCH("Description",'RAID Log'!$1:$1,0)),"")="","",IFERROR(INDEX('RAID Log'!$1:$1048576,$B861,MATCH("Description",'RAID Log'!$1:$1,0)),"")))</f>
        <v/>
      </c>
      <c r="D861" s="84" t="str">
        <f>IF($B861="","",IF(IFERROR(INDEX('RAID Log'!$1:$1048576,$B861,MATCH("Impact/Effect of the RAID",'RAID Log'!$1:$1,0)),"")="","",IFERROR(INDEX('RAID Log'!$1:$1048576,$B861,MATCH("Impact/Effect of the RAID",'RAID Log'!$1:$1,0)),"")))</f>
        <v/>
      </c>
      <c r="E861" s="85" t="str">
        <f>IF($B861="","",IF(IFERROR(INDEX('RAID Log'!$1:$1048576,$B861,MATCH("Impact Area",'RAID Log'!$1:$1,0)),"")="","",IFERROR(INDEX('RAID Log'!$1:$1048576,$B861,MATCH("Impact Area",'RAID Log'!$1:$1,0)),"")))</f>
        <v/>
      </c>
      <c r="F861" s="85" t="str">
        <f>IF($B861="","",IF(IFERROR(INDEX('RAID Log'!$1:$1048576,$B861,MATCH("Impact Area",'RAID Log'!$1:$1,0)),"")="","",IFERROR(INDEX('RAID Log'!$1:$1048576,$B861,MATCH("Impact Area",'RAID Log'!$1:$1,0)),"")))</f>
        <v/>
      </c>
      <c r="G861" s="85" t="str">
        <f>IF($B861="","",IF(IFERROR(INDEX('RAID Log'!$1:$1048576,$B861,MATCH("Impact Rating",'RAID Log'!$1:$1,0)),"")="","",IFERROR(INDEX('RAID Log'!$1:$1048576,$B861,MATCH("Impact Rating",'RAID Log'!$1:$1,0)),"")))</f>
        <v/>
      </c>
      <c r="H861" s="85" t="str">
        <f>IF($B861="","",IF(IFERROR(INDEX('RAID Log'!$1:$1048576,$B861,MATCH("Initial Probability",'RAID Log'!$1:$1,0)),"")="","",IFERROR(INDEX('RAID Log'!$1:$1048576,$B861,MATCH("Initial Probability",'RAID Log'!$1:$1,0)),"")))</f>
        <v/>
      </c>
      <c r="I861" s="86" t="str">
        <f t="shared" si="39"/>
        <v/>
      </c>
      <c r="J861" s="85" t="str">
        <f t="shared" si="40"/>
        <v/>
      </c>
      <c r="K861" s="86" t="str">
        <f t="shared" si="41"/>
        <v/>
      </c>
      <c r="L861" s="85" t="str">
        <f>IF($B861="","",IF(IFERROR(INDEX('RAID Log'!$1:$1048576,$B861,MATCH("Status",'RAID Log'!$1:$1,0)),"")="","",IFERROR(INDEX('RAID Log'!$1:$1048576,$B861,MATCH("Status",'RAID Log'!$1:$1,0)),"")))</f>
        <v/>
      </c>
      <c r="M861" s="85" t="str">
        <f>IF($B861="","",IF(IFERROR(INDEX('RAID Log'!$1:$1048576,$B861,MATCH("RAID Owner",'RAID Log'!$1:$1,0)),"")="","",IFERROR(INDEX('RAID Log'!$1:$1048576,$B861,MATCH("RAID Owner",'RAID Log'!$1:$1,0)),"")))</f>
        <v/>
      </c>
      <c r="N861" s="87" t="str">
        <f>IF($B861="","",IF(IFERROR(INDEX('RAID Log'!$1:$1048576,$B861,MATCH("Date Raised",'RAID Log'!$1:$1,0)),"")="","",IFERROR(INDEX('RAID Log'!$1:$1048576,$B861,MATCH("Date Raised",'RAID Log'!$1:$1,0)),"")))</f>
        <v/>
      </c>
      <c r="O861" s="87" t="str">
        <f>IF($B861="","",IF(IFERROR(INDEX('RAID Log'!$1:$1048576,$B861,MATCH("Closed Date",'RAID Log'!$1:$1,0)),"")="","",IFERROR(INDEX('RAID Log'!$1:$1048576,$B861,MATCH("Closed Date",'RAID Log'!$1:$1,0)),"")))</f>
        <v/>
      </c>
      <c r="P861" s="85" t="str">
        <f>IF($B861="","",IF(IFERROR(INDEX('RAID Log'!$1:$1048576,$B861,MATCH("Mitigation Strategy",'RAID Log'!$1:$1,0)),"")="","",IFERROR(INDEX('RAID Log'!$1:$1048576,$B861,MATCH("Mitigation Strategy",'RAID Log'!$1:$1,0)),"")))</f>
        <v/>
      </c>
      <c r="Q861" s="88" t="str">
        <f>IF($B861="","",IF(IFERROR(INDEX('RAID Log'!$1:$1048576,$B861,MATCH("RAID Response/Plan",'RAID Log'!$1:$1,0)),"")="","",IFERROR(INDEX('RAID Log'!$1:$1048576,$B861,MATCH("RAID Response/Plan",'RAID Log'!$1:$1,0)),"")))</f>
        <v/>
      </c>
    </row>
    <row r="862" spans="1:17" ht="14.25" customHeight="1">
      <c r="A862" s="82" t="str">
        <f>IF($B862="","",IF(IFERROR(INDEX('RAID Log'!$1:$1048576,$B862,MATCH("RAID ID",'RAID Log'!$1:$1,0)),"")="","",IFERROR(INDEX('RAID Log'!$1:$1048576,$B862,MATCH("RAID ID",'RAID Log'!$1:$1,0)),"")))</f>
        <v/>
      </c>
      <c r="B862" s="83" t="str">
        <f>IFERROR(MATCH(ROW()-1,'RAID Log'!$S:$S,0),"")</f>
        <v/>
      </c>
      <c r="C862" s="84" t="str">
        <f>IF($B862="","",IF(IFERROR(INDEX('RAID Log'!$1:$1048576,$B862,MATCH("Description",'RAID Log'!$1:$1,0)),"")="","",IFERROR(INDEX('RAID Log'!$1:$1048576,$B862,MATCH("Description",'RAID Log'!$1:$1,0)),"")))</f>
        <v/>
      </c>
      <c r="D862" s="84" t="str">
        <f>IF($B862="","",IF(IFERROR(INDEX('RAID Log'!$1:$1048576,$B862,MATCH("Impact/Effect of the RAID",'RAID Log'!$1:$1,0)),"")="","",IFERROR(INDEX('RAID Log'!$1:$1048576,$B862,MATCH("Impact/Effect of the RAID",'RAID Log'!$1:$1,0)),"")))</f>
        <v/>
      </c>
      <c r="E862" s="85" t="str">
        <f>IF($B862="","",IF(IFERROR(INDEX('RAID Log'!$1:$1048576,$B862,MATCH("Impact Area",'RAID Log'!$1:$1,0)),"")="","",IFERROR(INDEX('RAID Log'!$1:$1048576,$B862,MATCH("Impact Area",'RAID Log'!$1:$1,0)),"")))</f>
        <v/>
      </c>
      <c r="F862" s="85" t="str">
        <f>IF($B862="","",IF(IFERROR(INDEX('RAID Log'!$1:$1048576,$B862,MATCH("Impact Area",'RAID Log'!$1:$1,0)),"")="","",IFERROR(INDEX('RAID Log'!$1:$1048576,$B862,MATCH("Impact Area",'RAID Log'!$1:$1,0)),"")))</f>
        <v/>
      </c>
      <c r="G862" s="85" t="str">
        <f>IF($B862="","",IF(IFERROR(INDEX('RAID Log'!$1:$1048576,$B862,MATCH("Impact Rating",'RAID Log'!$1:$1,0)),"")="","",IFERROR(INDEX('RAID Log'!$1:$1048576,$B862,MATCH("Impact Rating",'RAID Log'!$1:$1,0)),"")))</f>
        <v/>
      </c>
      <c r="H862" s="85" t="str">
        <f>IF($B862="","",IF(IFERROR(INDEX('RAID Log'!$1:$1048576,$B862,MATCH("Initial Probability",'RAID Log'!$1:$1,0)),"")="","",IFERROR(INDEX('RAID Log'!$1:$1048576,$B862,MATCH("Initial Probability",'RAID Log'!$1:$1,0)),"")))</f>
        <v/>
      </c>
      <c r="I862" s="86" t="str">
        <f t="shared" si="39"/>
        <v/>
      </c>
      <c r="J862" s="85" t="str">
        <f t="shared" si="40"/>
        <v/>
      </c>
      <c r="K862" s="86" t="str">
        <f t="shared" si="41"/>
        <v/>
      </c>
      <c r="L862" s="85" t="str">
        <f>IF($B862="","",IF(IFERROR(INDEX('RAID Log'!$1:$1048576,$B862,MATCH("Status",'RAID Log'!$1:$1,0)),"")="","",IFERROR(INDEX('RAID Log'!$1:$1048576,$B862,MATCH("Status",'RAID Log'!$1:$1,0)),"")))</f>
        <v/>
      </c>
      <c r="M862" s="85" t="str">
        <f>IF($B862="","",IF(IFERROR(INDEX('RAID Log'!$1:$1048576,$B862,MATCH("RAID Owner",'RAID Log'!$1:$1,0)),"")="","",IFERROR(INDEX('RAID Log'!$1:$1048576,$B862,MATCH("RAID Owner",'RAID Log'!$1:$1,0)),"")))</f>
        <v/>
      </c>
      <c r="N862" s="87" t="str">
        <f>IF($B862="","",IF(IFERROR(INDEX('RAID Log'!$1:$1048576,$B862,MATCH("Date Raised",'RAID Log'!$1:$1,0)),"")="","",IFERROR(INDEX('RAID Log'!$1:$1048576,$B862,MATCH("Date Raised",'RAID Log'!$1:$1,0)),"")))</f>
        <v/>
      </c>
      <c r="O862" s="87" t="str">
        <f>IF($B862="","",IF(IFERROR(INDEX('RAID Log'!$1:$1048576,$B862,MATCH("Closed Date",'RAID Log'!$1:$1,0)),"")="","",IFERROR(INDEX('RAID Log'!$1:$1048576,$B862,MATCH("Closed Date",'RAID Log'!$1:$1,0)),"")))</f>
        <v/>
      </c>
      <c r="P862" s="85" t="str">
        <f>IF($B862="","",IF(IFERROR(INDEX('RAID Log'!$1:$1048576,$B862,MATCH("Mitigation Strategy",'RAID Log'!$1:$1,0)),"")="","",IFERROR(INDEX('RAID Log'!$1:$1048576,$B862,MATCH("Mitigation Strategy",'RAID Log'!$1:$1,0)),"")))</f>
        <v/>
      </c>
      <c r="Q862" s="88" t="str">
        <f>IF($B862="","",IF(IFERROR(INDEX('RAID Log'!$1:$1048576,$B862,MATCH("RAID Response/Plan",'RAID Log'!$1:$1,0)),"")="","",IFERROR(INDEX('RAID Log'!$1:$1048576,$B862,MATCH("RAID Response/Plan",'RAID Log'!$1:$1,0)),"")))</f>
        <v/>
      </c>
    </row>
    <row r="863" spans="1:17" ht="14.25" customHeight="1">
      <c r="A863" s="82" t="str">
        <f>IF($B863="","",IF(IFERROR(INDEX('RAID Log'!$1:$1048576,$B863,MATCH("RAID ID",'RAID Log'!$1:$1,0)),"")="","",IFERROR(INDEX('RAID Log'!$1:$1048576,$B863,MATCH("RAID ID",'RAID Log'!$1:$1,0)),"")))</f>
        <v/>
      </c>
      <c r="B863" s="83" t="str">
        <f>IFERROR(MATCH(ROW()-1,'RAID Log'!$S:$S,0),"")</f>
        <v/>
      </c>
      <c r="C863" s="84" t="str">
        <f>IF($B863="","",IF(IFERROR(INDEX('RAID Log'!$1:$1048576,$B863,MATCH("Description",'RAID Log'!$1:$1,0)),"")="","",IFERROR(INDEX('RAID Log'!$1:$1048576,$B863,MATCH("Description",'RAID Log'!$1:$1,0)),"")))</f>
        <v/>
      </c>
      <c r="D863" s="84" t="str">
        <f>IF($B863="","",IF(IFERROR(INDEX('RAID Log'!$1:$1048576,$B863,MATCH("Impact/Effect of the RAID",'RAID Log'!$1:$1,0)),"")="","",IFERROR(INDEX('RAID Log'!$1:$1048576,$B863,MATCH("Impact/Effect of the RAID",'RAID Log'!$1:$1,0)),"")))</f>
        <v/>
      </c>
      <c r="E863" s="85" t="str">
        <f>IF($B863="","",IF(IFERROR(INDEX('RAID Log'!$1:$1048576,$B863,MATCH("Impact Area",'RAID Log'!$1:$1,0)),"")="","",IFERROR(INDEX('RAID Log'!$1:$1048576,$B863,MATCH("Impact Area",'RAID Log'!$1:$1,0)),"")))</f>
        <v/>
      </c>
      <c r="F863" s="85" t="str">
        <f>IF($B863="","",IF(IFERROR(INDEX('RAID Log'!$1:$1048576,$B863,MATCH("Impact Area",'RAID Log'!$1:$1,0)),"")="","",IFERROR(INDEX('RAID Log'!$1:$1048576,$B863,MATCH("Impact Area",'RAID Log'!$1:$1,0)),"")))</f>
        <v/>
      </c>
      <c r="G863" s="85" t="str">
        <f>IF($B863="","",IF(IFERROR(INDEX('RAID Log'!$1:$1048576,$B863,MATCH("Impact Rating",'RAID Log'!$1:$1,0)),"")="","",IFERROR(INDEX('RAID Log'!$1:$1048576,$B863,MATCH("Impact Rating",'RAID Log'!$1:$1,0)),"")))</f>
        <v/>
      </c>
      <c r="H863" s="85" t="str">
        <f>IF($B863="","",IF(IFERROR(INDEX('RAID Log'!$1:$1048576,$B863,MATCH("Initial Probability",'RAID Log'!$1:$1,0)),"")="","",IFERROR(INDEX('RAID Log'!$1:$1048576,$B863,MATCH("Initial Probability",'RAID Log'!$1:$1,0)),"")))</f>
        <v/>
      </c>
      <c r="I863" s="86" t="str">
        <f t="shared" si="39"/>
        <v/>
      </c>
      <c r="J863" s="85" t="str">
        <f t="shared" si="40"/>
        <v/>
      </c>
      <c r="K863" s="86" t="str">
        <f t="shared" si="41"/>
        <v/>
      </c>
      <c r="L863" s="85" t="str">
        <f>IF($B863="","",IF(IFERROR(INDEX('RAID Log'!$1:$1048576,$B863,MATCH("Status",'RAID Log'!$1:$1,0)),"")="","",IFERROR(INDEX('RAID Log'!$1:$1048576,$B863,MATCH("Status",'RAID Log'!$1:$1,0)),"")))</f>
        <v/>
      </c>
      <c r="M863" s="85" t="str">
        <f>IF($B863="","",IF(IFERROR(INDEX('RAID Log'!$1:$1048576,$B863,MATCH("RAID Owner",'RAID Log'!$1:$1,0)),"")="","",IFERROR(INDEX('RAID Log'!$1:$1048576,$B863,MATCH("RAID Owner",'RAID Log'!$1:$1,0)),"")))</f>
        <v/>
      </c>
      <c r="N863" s="87" t="str">
        <f>IF($B863="","",IF(IFERROR(INDEX('RAID Log'!$1:$1048576,$B863,MATCH("Date Raised",'RAID Log'!$1:$1,0)),"")="","",IFERROR(INDEX('RAID Log'!$1:$1048576,$B863,MATCH("Date Raised",'RAID Log'!$1:$1,0)),"")))</f>
        <v/>
      </c>
      <c r="O863" s="87" t="str">
        <f>IF($B863="","",IF(IFERROR(INDEX('RAID Log'!$1:$1048576,$B863,MATCH("Closed Date",'RAID Log'!$1:$1,0)),"")="","",IFERROR(INDEX('RAID Log'!$1:$1048576,$B863,MATCH("Closed Date",'RAID Log'!$1:$1,0)),"")))</f>
        <v/>
      </c>
      <c r="P863" s="85" t="str">
        <f>IF($B863="","",IF(IFERROR(INDEX('RAID Log'!$1:$1048576,$B863,MATCH("Mitigation Strategy",'RAID Log'!$1:$1,0)),"")="","",IFERROR(INDEX('RAID Log'!$1:$1048576,$B863,MATCH("Mitigation Strategy",'RAID Log'!$1:$1,0)),"")))</f>
        <v/>
      </c>
      <c r="Q863" s="88" t="str">
        <f>IF($B863="","",IF(IFERROR(INDEX('RAID Log'!$1:$1048576,$B863,MATCH("RAID Response/Plan",'RAID Log'!$1:$1,0)),"")="","",IFERROR(INDEX('RAID Log'!$1:$1048576,$B863,MATCH("RAID Response/Plan",'RAID Log'!$1:$1,0)),"")))</f>
        <v/>
      </c>
    </row>
    <row r="864" spans="1:17" ht="14.25" customHeight="1">
      <c r="A864" s="82" t="str">
        <f>IF($B864="","",IF(IFERROR(INDEX('RAID Log'!$1:$1048576,$B864,MATCH("RAID ID",'RAID Log'!$1:$1,0)),"")="","",IFERROR(INDEX('RAID Log'!$1:$1048576,$B864,MATCH("RAID ID",'RAID Log'!$1:$1,0)),"")))</f>
        <v/>
      </c>
      <c r="B864" s="83" t="str">
        <f>IFERROR(MATCH(ROW()-1,'RAID Log'!$S:$S,0),"")</f>
        <v/>
      </c>
      <c r="C864" s="84" t="str">
        <f>IF($B864="","",IF(IFERROR(INDEX('RAID Log'!$1:$1048576,$B864,MATCH("Description",'RAID Log'!$1:$1,0)),"")="","",IFERROR(INDEX('RAID Log'!$1:$1048576,$B864,MATCH("Description",'RAID Log'!$1:$1,0)),"")))</f>
        <v/>
      </c>
      <c r="D864" s="84" t="str">
        <f>IF($B864="","",IF(IFERROR(INDEX('RAID Log'!$1:$1048576,$B864,MATCH("Impact/Effect of the RAID",'RAID Log'!$1:$1,0)),"")="","",IFERROR(INDEX('RAID Log'!$1:$1048576,$B864,MATCH("Impact/Effect of the RAID",'RAID Log'!$1:$1,0)),"")))</f>
        <v/>
      </c>
      <c r="E864" s="85" t="str">
        <f>IF($B864="","",IF(IFERROR(INDEX('RAID Log'!$1:$1048576,$B864,MATCH("Impact Area",'RAID Log'!$1:$1,0)),"")="","",IFERROR(INDEX('RAID Log'!$1:$1048576,$B864,MATCH("Impact Area",'RAID Log'!$1:$1,0)),"")))</f>
        <v/>
      </c>
      <c r="F864" s="85" t="str">
        <f>IF($B864="","",IF(IFERROR(INDEX('RAID Log'!$1:$1048576,$B864,MATCH("Impact Area",'RAID Log'!$1:$1,0)),"")="","",IFERROR(INDEX('RAID Log'!$1:$1048576,$B864,MATCH("Impact Area",'RAID Log'!$1:$1,0)),"")))</f>
        <v/>
      </c>
      <c r="G864" s="85" t="str">
        <f>IF($B864="","",IF(IFERROR(INDEX('RAID Log'!$1:$1048576,$B864,MATCH("Impact Rating",'RAID Log'!$1:$1,0)),"")="","",IFERROR(INDEX('RAID Log'!$1:$1048576,$B864,MATCH("Impact Rating",'RAID Log'!$1:$1,0)),"")))</f>
        <v/>
      </c>
      <c r="H864" s="85" t="str">
        <f>IF($B864="","",IF(IFERROR(INDEX('RAID Log'!$1:$1048576,$B864,MATCH("Initial Probability",'RAID Log'!$1:$1,0)),"")="","",IFERROR(INDEX('RAID Log'!$1:$1048576,$B864,MATCH("Initial Probability",'RAID Log'!$1:$1,0)),"")))</f>
        <v/>
      </c>
      <c r="I864" s="86" t="str">
        <f t="shared" si="39"/>
        <v/>
      </c>
      <c r="J864" s="85" t="str">
        <f t="shared" si="40"/>
        <v/>
      </c>
      <c r="K864" s="86" t="str">
        <f t="shared" si="41"/>
        <v/>
      </c>
      <c r="L864" s="85" t="str">
        <f>IF($B864="","",IF(IFERROR(INDEX('RAID Log'!$1:$1048576,$B864,MATCH("Status",'RAID Log'!$1:$1,0)),"")="","",IFERROR(INDEX('RAID Log'!$1:$1048576,$B864,MATCH("Status",'RAID Log'!$1:$1,0)),"")))</f>
        <v/>
      </c>
      <c r="M864" s="85" t="str">
        <f>IF($B864="","",IF(IFERROR(INDEX('RAID Log'!$1:$1048576,$B864,MATCH("RAID Owner",'RAID Log'!$1:$1,0)),"")="","",IFERROR(INDEX('RAID Log'!$1:$1048576,$B864,MATCH("RAID Owner",'RAID Log'!$1:$1,0)),"")))</f>
        <v/>
      </c>
      <c r="N864" s="87" t="str">
        <f>IF($B864="","",IF(IFERROR(INDEX('RAID Log'!$1:$1048576,$B864,MATCH("Date Raised",'RAID Log'!$1:$1,0)),"")="","",IFERROR(INDEX('RAID Log'!$1:$1048576,$B864,MATCH("Date Raised",'RAID Log'!$1:$1,0)),"")))</f>
        <v/>
      </c>
      <c r="O864" s="87" t="str">
        <f>IF($B864="","",IF(IFERROR(INDEX('RAID Log'!$1:$1048576,$B864,MATCH("Closed Date",'RAID Log'!$1:$1,0)),"")="","",IFERROR(INDEX('RAID Log'!$1:$1048576,$B864,MATCH("Closed Date",'RAID Log'!$1:$1,0)),"")))</f>
        <v/>
      </c>
      <c r="P864" s="85" t="str">
        <f>IF($B864="","",IF(IFERROR(INDEX('RAID Log'!$1:$1048576,$B864,MATCH("Mitigation Strategy",'RAID Log'!$1:$1,0)),"")="","",IFERROR(INDEX('RAID Log'!$1:$1048576,$B864,MATCH("Mitigation Strategy",'RAID Log'!$1:$1,0)),"")))</f>
        <v/>
      </c>
      <c r="Q864" s="88" t="str">
        <f>IF($B864="","",IF(IFERROR(INDEX('RAID Log'!$1:$1048576,$B864,MATCH("RAID Response/Plan",'RAID Log'!$1:$1,0)),"")="","",IFERROR(INDEX('RAID Log'!$1:$1048576,$B864,MATCH("RAID Response/Plan",'RAID Log'!$1:$1,0)),"")))</f>
        <v/>
      </c>
    </row>
    <row r="865" spans="1:17" ht="14.25" customHeight="1">
      <c r="A865" s="82" t="str">
        <f>IF($B865="","",IF(IFERROR(INDEX('RAID Log'!$1:$1048576,$B865,MATCH("RAID ID",'RAID Log'!$1:$1,0)),"")="","",IFERROR(INDEX('RAID Log'!$1:$1048576,$B865,MATCH("RAID ID",'RAID Log'!$1:$1,0)),"")))</f>
        <v/>
      </c>
      <c r="B865" s="83" t="str">
        <f>IFERROR(MATCH(ROW()-1,'RAID Log'!$S:$S,0),"")</f>
        <v/>
      </c>
      <c r="C865" s="84" t="str">
        <f>IF($B865="","",IF(IFERROR(INDEX('RAID Log'!$1:$1048576,$B865,MATCH("Description",'RAID Log'!$1:$1,0)),"")="","",IFERROR(INDEX('RAID Log'!$1:$1048576,$B865,MATCH("Description",'RAID Log'!$1:$1,0)),"")))</f>
        <v/>
      </c>
      <c r="D865" s="84" t="str">
        <f>IF($B865="","",IF(IFERROR(INDEX('RAID Log'!$1:$1048576,$B865,MATCH("Impact/Effect of the RAID",'RAID Log'!$1:$1,0)),"")="","",IFERROR(INDEX('RAID Log'!$1:$1048576,$B865,MATCH("Impact/Effect of the RAID",'RAID Log'!$1:$1,0)),"")))</f>
        <v/>
      </c>
      <c r="E865" s="85" t="str">
        <f>IF($B865="","",IF(IFERROR(INDEX('RAID Log'!$1:$1048576,$B865,MATCH("Impact Area",'RAID Log'!$1:$1,0)),"")="","",IFERROR(INDEX('RAID Log'!$1:$1048576,$B865,MATCH("Impact Area",'RAID Log'!$1:$1,0)),"")))</f>
        <v/>
      </c>
      <c r="F865" s="85" t="str">
        <f>IF($B865="","",IF(IFERROR(INDEX('RAID Log'!$1:$1048576,$B865,MATCH("Impact Area",'RAID Log'!$1:$1,0)),"")="","",IFERROR(INDEX('RAID Log'!$1:$1048576,$B865,MATCH("Impact Area",'RAID Log'!$1:$1,0)),"")))</f>
        <v/>
      </c>
      <c r="G865" s="85" t="str">
        <f>IF($B865="","",IF(IFERROR(INDEX('RAID Log'!$1:$1048576,$B865,MATCH("Impact Rating",'RAID Log'!$1:$1,0)),"")="","",IFERROR(INDEX('RAID Log'!$1:$1048576,$B865,MATCH("Impact Rating",'RAID Log'!$1:$1,0)),"")))</f>
        <v/>
      </c>
      <c r="H865" s="85" t="str">
        <f>IF($B865="","",IF(IFERROR(INDEX('RAID Log'!$1:$1048576,$B865,MATCH("Initial Probability",'RAID Log'!$1:$1,0)),"")="","",IFERROR(INDEX('RAID Log'!$1:$1048576,$B865,MATCH("Initial Probability",'RAID Log'!$1:$1,0)),"")))</f>
        <v/>
      </c>
      <c r="I865" s="86" t="str">
        <f t="shared" si="39"/>
        <v/>
      </c>
      <c r="J865" s="85" t="str">
        <f t="shared" si="40"/>
        <v/>
      </c>
      <c r="K865" s="86" t="str">
        <f t="shared" si="41"/>
        <v/>
      </c>
      <c r="L865" s="85" t="str">
        <f>IF($B865="","",IF(IFERROR(INDEX('RAID Log'!$1:$1048576,$B865,MATCH("Status",'RAID Log'!$1:$1,0)),"")="","",IFERROR(INDEX('RAID Log'!$1:$1048576,$B865,MATCH("Status",'RAID Log'!$1:$1,0)),"")))</f>
        <v/>
      </c>
      <c r="M865" s="85" t="str">
        <f>IF($B865="","",IF(IFERROR(INDEX('RAID Log'!$1:$1048576,$B865,MATCH("RAID Owner",'RAID Log'!$1:$1,0)),"")="","",IFERROR(INDEX('RAID Log'!$1:$1048576,$B865,MATCH("RAID Owner",'RAID Log'!$1:$1,0)),"")))</f>
        <v/>
      </c>
      <c r="N865" s="87" t="str">
        <f>IF($B865="","",IF(IFERROR(INDEX('RAID Log'!$1:$1048576,$B865,MATCH("Date Raised",'RAID Log'!$1:$1,0)),"")="","",IFERROR(INDEX('RAID Log'!$1:$1048576,$B865,MATCH("Date Raised",'RAID Log'!$1:$1,0)),"")))</f>
        <v/>
      </c>
      <c r="O865" s="87" t="str">
        <f>IF($B865="","",IF(IFERROR(INDEX('RAID Log'!$1:$1048576,$B865,MATCH("Closed Date",'RAID Log'!$1:$1,0)),"")="","",IFERROR(INDEX('RAID Log'!$1:$1048576,$B865,MATCH("Closed Date",'RAID Log'!$1:$1,0)),"")))</f>
        <v/>
      </c>
      <c r="P865" s="85" t="str">
        <f>IF($B865="","",IF(IFERROR(INDEX('RAID Log'!$1:$1048576,$B865,MATCH("Mitigation Strategy",'RAID Log'!$1:$1,0)),"")="","",IFERROR(INDEX('RAID Log'!$1:$1048576,$B865,MATCH("Mitigation Strategy",'RAID Log'!$1:$1,0)),"")))</f>
        <v/>
      </c>
      <c r="Q865" s="88" t="str">
        <f>IF($B865="","",IF(IFERROR(INDEX('RAID Log'!$1:$1048576,$B865,MATCH("RAID Response/Plan",'RAID Log'!$1:$1,0)),"")="","",IFERROR(INDEX('RAID Log'!$1:$1048576,$B865,MATCH("RAID Response/Plan",'RAID Log'!$1:$1,0)),"")))</f>
        <v/>
      </c>
    </row>
    <row r="866" spans="1:17" ht="14.25" customHeight="1">
      <c r="A866" s="82" t="str">
        <f>IF($B866="","",IF(IFERROR(INDEX('RAID Log'!$1:$1048576,$B866,MATCH("RAID ID",'RAID Log'!$1:$1,0)),"")="","",IFERROR(INDEX('RAID Log'!$1:$1048576,$B866,MATCH("RAID ID",'RAID Log'!$1:$1,0)),"")))</f>
        <v/>
      </c>
      <c r="B866" s="83" t="str">
        <f>IFERROR(MATCH(ROW()-1,'RAID Log'!$S:$S,0),"")</f>
        <v/>
      </c>
      <c r="C866" s="84" t="str">
        <f>IF($B866="","",IF(IFERROR(INDEX('RAID Log'!$1:$1048576,$B866,MATCH("Description",'RAID Log'!$1:$1,0)),"")="","",IFERROR(INDEX('RAID Log'!$1:$1048576,$B866,MATCH("Description",'RAID Log'!$1:$1,0)),"")))</f>
        <v/>
      </c>
      <c r="D866" s="84" t="str">
        <f>IF($B866="","",IF(IFERROR(INDEX('RAID Log'!$1:$1048576,$B866,MATCH("Impact/Effect of the RAID",'RAID Log'!$1:$1,0)),"")="","",IFERROR(INDEX('RAID Log'!$1:$1048576,$B866,MATCH("Impact/Effect of the RAID",'RAID Log'!$1:$1,0)),"")))</f>
        <v/>
      </c>
      <c r="E866" s="85" t="str">
        <f>IF($B866="","",IF(IFERROR(INDEX('RAID Log'!$1:$1048576,$B866,MATCH("Impact Area",'RAID Log'!$1:$1,0)),"")="","",IFERROR(INDEX('RAID Log'!$1:$1048576,$B866,MATCH("Impact Area",'RAID Log'!$1:$1,0)),"")))</f>
        <v/>
      </c>
      <c r="F866" s="85" t="str">
        <f>IF($B866="","",IF(IFERROR(INDEX('RAID Log'!$1:$1048576,$B866,MATCH("Impact Area",'RAID Log'!$1:$1,0)),"")="","",IFERROR(INDEX('RAID Log'!$1:$1048576,$B866,MATCH("Impact Area",'RAID Log'!$1:$1,0)),"")))</f>
        <v/>
      </c>
      <c r="G866" s="85" t="str">
        <f>IF($B866="","",IF(IFERROR(INDEX('RAID Log'!$1:$1048576,$B866,MATCH("Impact Rating",'RAID Log'!$1:$1,0)),"")="","",IFERROR(INDEX('RAID Log'!$1:$1048576,$B866,MATCH("Impact Rating",'RAID Log'!$1:$1,0)),"")))</f>
        <v/>
      </c>
      <c r="H866" s="85" t="str">
        <f>IF($B866="","",IF(IFERROR(INDEX('RAID Log'!$1:$1048576,$B866,MATCH("Initial Probability",'RAID Log'!$1:$1,0)),"")="","",IFERROR(INDEX('RAID Log'!$1:$1048576,$B866,MATCH("Initial Probability",'RAID Log'!$1:$1,0)),"")))</f>
        <v/>
      </c>
      <c r="I866" s="86" t="str">
        <f t="shared" si="39"/>
        <v/>
      </c>
      <c r="J866" s="85" t="str">
        <f t="shared" si="40"/>
        <v/>
      </c>
      <c r="K866" s="86" t="str">
        <f t="shared" si="41"/>
        <v/>
      </c>
      <c r="L866" s="85" t="str">
        <f>IF($B866="","",IF(IFERROR(INDEX('RAID Log'!$1:$1048576,$B866,MATCH("Status",'RAID Log'!$1:$1,0)),"")="","",IFERROR(INDEX('RAID Log'!$1:$1048576,$B866,MATCH("Status",'RAID Log'!$1:$1,0)),"")))</f>
        <v/>
      </c>
      <c r="M866" s="85" t="str">
        <f>IF($B866="","",IF(IFERROR(INDEX('RAID Log'!$1:$1048576,$B866,MATCH("RAID Owner",'RAID Log'!$1:$1,0)),"")="","",IFERROR(INDEX('RAID Log'!$1:$1048576,$B866,MATCH("RAID Owner",'RAID Log'!$1:$1,0)),"")))</f>
        <v/>
      </c>
      <c r="N866" s="87" t="str">
        <f>IF($B866="","",IF(IFERROR(INDEX('RAID Log'!$1:$1048576,$B866,MATCH("Date Raised",'RAID Log'!$1:$1,0)),"")="","",IFERROR(INDEX('RAID Log'!$1:$1048576,$B866,MATCH("Date Raised",'RAID Log'!$1:$1,0)),"")))</f>
        <v/>
      </c>
      <c r="O866" s="87" t="str">
        <f>IF($B866="","",IF(IFERROR(INDEX('RAID Log'!$1:$1048576,$B866,MATCH("Closed Date",'RAID Log'!$1:$1,0)),"")="","",IFERROR(INDEX('RAID Log'!$1:$1048576,$B866,MATCH("Closed Date",'RAID Log'!$1:$1,0)),"")))</f>
        <v/>
      </c>
      <c r="P866" s="85" t="str">
        <f>IF($B866="","",IF(IFERROR(INDEX('RAID Log'!$1:$1048576,$B866,MATCH("Mitigation Strategy",'RAID Log'!$1:$1,0)),"")="","",IFERROR(INDEX('RAID Log'!$1:$1048576,$B866,MATCH("Mitigation Strategy",'RAID Log'!$1:$1,0)),"")))</f>
        <v/>
      </c>
      <c r="Q866" s="88" t="str">
        <f>IF($B866="","",IF(IFERROR(INDEX('RAID Log'!$1:$1048576,$B866,MATCH("RAID Response/Plan",'RAID Log'!$1:$1,0)),"")="","",IFERROR(INDEX('RAID Log'!$1:$1048576,$B866,MATCH("RAID Response/Plan",'RAID Log'!$1:$1,0)),"")))</f>
        <v/>
      </c>
    </row>
    <row r="867" spans="1:17" ht="14.25" customHeight="1">
      <c r="A867" s="82" t="str">
        <f>IF($B867="","",IF(IFERROR(INDEX('RAID Log'!$1:$1048576,$B867,MATCH("RAID ID",'RAID Log'!$1:$1,0)),"")="","",IFERROR(INDEX('RAID Log'!$1:$1048576,$B867,MATCH("RAID ID",'RAID Log'!$1:$1,0)),"")))</f>
        <v/>
      </c>
      <c r="B867" s="83" t="str">
        <f>IFERROR(MATCH(ROW()-1,'RAID Log'!$S:$S,0),"")</f>
        <v/>
      </c>
      <c r="C867" s="84" t="str">
        <f>IF($B867="","",IF(IFERROR(INDEX('RAID Log'!$1:$1048576,$B867,MATCH("Description",'RAID Log'!$1:$1,0)),"")="","",IFERROR(INDEX('RAID Log'!$1:$1048576,$B867,MATCH("Description",'RAID Log'!$1:$1,0)),"")))</f>
        <v/>
      </c>
      <c r="D867" s="84" t="str">
        <f>IF($B867="","",IF(IFERROR(INDEX('RAID Log'!$1:$1048576,$B867,MATCH("Impact/Effect of the RAID",'RAID Log'!$1:$1,0)),"")="","",IFERROR(INDEX('RAID Log'!$1:$1048576,$B867,MATCH("Impact/Effect of the RAID",'RAID Log'!$1:$1,0)),"")))</f>
        <v/>
      </c>
      <c r="E867" s="85" t="str">
        <f>IF($B867="","",IF(IFERROR(INDEX('RAID Log'!$1:$1048576,$B867,MATCH("Impact Area",'RAID Log'!$1:$1,0)),"")="","",IFERROR(INDEX('RAID Log'!$1:$1048576,$B867,MATCH("Impact Area",'RAID Log'!$1:$1,0)),"")))</f>
        <v/>
      </c>
      <c r="F867" s="85" t="str">
        <f>IF($B867="","",IF(IFERROR(INDEX('RAID Log'!$1:$1048576,$B867,MATCH("Impact Area",'RAID Log'!$1:$1,0)),"")="","",IFERROR(INDEX('RAID Log'!$1:$1048576,$B867,MATCH("Impact Area",'RAID Log'!$1:$1,0)),"")))</f>
        <v/>
      </c>
      <c r="G867" s="85" t="str">
        <f>IF($B867="","",IF(IFERROR(INDEX('RAID Log'!$1:$1048576,$B867,MATCH("Impact Rating",'RAID Log'!$1:$1,0)),"")="","",IFERROR(INDEX('RAID Log'!$1:$1048576,$B867,MATCH("Impact Rating",'RAID Log'!$1:$1,0)),"")))</f>
        <v/>
      </c>
      <c r="H867" s="85" t="str">
        <f>IF($B867="","",IF(IFERROR(INDEX('RAID Log'!$1:$1048576,$B867,MATCH("Initial Probability",'RAID Log'!$1:$1,0)),"")="","",IFERROR(INDEX('RAID Log'!$1:$1048576,$B867,MATCH("Initial Probability",'RAID Log'!$1:$1,0)),"")))</f>
        <v/>
      </c>
      <c r="I867" s="86" t="str">
        <f t="shared" si="39"/>
        <v/>
      </c>
      <c r="J867" s="85" t="str">
        <f t="shared" si="40"/>
        <v/>
      </c>
      <c r="K867" s="86" t="str">
        <f t="shared" si="41"/>
        <v/>
      </c>
      <c r="L867" s="85" t="str">
        <f>IF($B867="","",IF(IFERROR(INDEX('RAID Log'!$1:$1048576,$B867,MATCH("Status",'RAID Log'!$1:$1,0)),"")="","",IFERROR(INDEX('RAID Log'!$1:$1048576,$B867,MATCH("Status",'RAID Log'!$1:$1,0)),"")))</f>
        <v/>
      </c>
      <c r="M867" s="85" t="str">
        <f>IF($B867="","",IF(IFERROR(INDEX('RAID Log'!$1:$1048576,$B867,MATCH("RAID Owner",'RAID Log'!$1:$1,0)),"")="","",IFERROR(INDEX('RAID Log'!$1:$1048576,$B867,MATCH("RAID Owner",'RAID Log'!$1:$1,0)),"")))</f>
        <v/>
      </c>
      <c r="N867" s="87" t="str">
        <f>IF($B867="","",IF(IFERROR(INDEX('RAID Log'!$1:$1048576,$B867,MATCH("Date Raised",'RAID Log'!$1:$1,0)),"")="","",IFERROR(INDEX('RAID Log'!$1:$1048576,$B867,MATCH("Date Raised",'RAID Log'!$1:$1,0)),"")))</f>
        <v/>
      </c>
      <c r="O867" s="87" t="str">
        <f>IF($B867="","",IF(IFERROR(INDEX('RAID Log'!$1:$1048576,$B867,MATCH("Closed Date",'RAID Log'!$1:$1,0)),"")="","",IFERROR(INDEX('RAID Log'!$1:$1048576,$B867,MATCH("Closed Date",'RAID Log'!$1:$1,0)),"")))</f>
        <v/>
      </c>
      <c r="P867" s="85" t="str">
        <f>IF($B867="","",IF(IFERROR(INDEX('RAID Log'!$1:$1048576,$B867,MATCH("Mitigation Strategy",'RAID Log'!$1:$1,0)),"")="","",IFERROR(INDEX('RAID Log'!$1:$1048576,$B867,MATCH("Mitigation Strategy",'RAID Log'!$1:$1,0)),"")))</f>
        <v/>
      </c>
      <c r="Q867" s="88" t="str">
        <f>IF($B867="","",IF(IFERROR(INDEX('RAID Log'!$1:$1048576,$B867,MATCH("RAID Response/Plan",'RAID Log'!$1:$1,0)),"")="","",IFERROR(INDEX('RAID Log'!$1:$1048576,$B867,MATCH("RAID Response/Plan",'RAID Log'!$1:$1,0)),"")))</f>
        <v/>
      </c>
    </row>
    <row r="868" spans="1:17" ht="14.25" customHeight="1">
      <c r="A868" s="82" t="str">
        <f>IF($B868="","",IF(IFERROR(INDEX('RAID Log'!$1:$1048576,$B868,MATCH("RAID ID",'RAID Log'!$1:$1,0)),"")="","",IFERROR(INDEX('RAID Log'!$1:$1048576,$B868,MATCH("RAID ID",'RAID Log'!$1:$1,0)),"")))</f>
        <v/>
      </c>
      <c r="B868" s="83" t="str">
        <f>IFERROR(MATCH(ROW()-1,'RAID Log'!$S:$S,0),"")</f>
        <v/>
      </c>
      <c r="C868" s="84" t="str">
        <f>IF($B868="","",IF(IFERROR(INDEX('RAID Log'!$1:$1048576,$B868,MATCH("Description",'RAID Log'!$1:$1,0)),"")="","",IFERROR(INDEX('RAID Log'!$1:$1048576,$B868,MATCH("Description",'RAID Log'!$1:$1,0)),"")))</f>
        <v/>
      </c>
      <c r="D868" s="84" t="str">
        <f>IF($B868="","",IF(IFERROR(INDEX('RAID Log'!$1:$1048576,$B868,MATCH("Impact/Effect of the RAID",'RAID Log'!$1:$1,0)),"")="","",IFERROR(INDEX('RAID Log'!$1:$1048576,$B868,MATCH("Impact/Effect of the RAID",'RAID Log'!$1:$1,0)),"")))</f>
        <v/>
      </c>
      <c r="E868" s="85" t="str">
        <f>IF($B868="","",IF(IFERROR(INDEX('RAID Log'!$1:$1048576,$B868,MATCH("Impact Area",'RAID Log'!$1:$1,0)),"")="","",IFERROR(INDEX('RAID Log'!$1:$1048576,$B868,MATCH("Impact Area",'RAID Log'!$1:$1,0)),"")))</f>
        <v/>
      </c>
      <c r="F868" s="85" t="str">
        <f>IF($B868="","",IF(IFERROR(INDEX('RAID Log'!$1:$1048576,$B868,MATCH("Impact Area",'RAID Log'!$1:$1,0)),"")="","",IFERROR(INDEX('RAID Log'!$1:$1048576,$B868,MATCH("Impact Area",'RAID Log'!$1:$1,0)),"")))</f>
        <v/>
      </c>
      <c r="G868" s="85" t="str">
        <f>IF($B868="","",IF(IFERROR(INDEX('RAID Log'!$1:$1048576,$B868,MATCH("Impact Rating",'RAID Log'!$1:$1,0)),"")="","",IFERROR(INDEX('RAID Log'!$1:$1048576,$B868,MATCH("Impact Rating",'RAID Log'!$1:$1,0)),"")))</f>
        <v/>
      </c>
      <c r="H868" s="85" t="str">
        <f>IF($B868="","",IF(IFERROR(INDEX('RAID Log'!$1:$1048576,$B868,MATCH("Initial Probability",'RAID Log'!$1:$1,0)),"")="","",IFERROR(INDEX('RAID Log'!$1:$1048576,$B868,MATCH("Initial Probability",'RAID Log'!$1:$1,0)),"")))</f>
        <v/>
      </c>
      <c r="I868" s="86" t="str">
        <f t="shared" si="39"/>
        <v/>
      </c>
      <c r="J868" s="85" t="str">
        <f t="shared" si="40"/>
        <v/>
      </c>
      <c r="K868" s="86" t="str">
        <f t="shared" si="41"/>
        <v/>
      </c>
      <c r="L868" s="85" t="str">
        <f>IF($B868="","",IF(IFERROR(INDEX('RAID Log'!$1:$1048576,$B868,MATCH("Status",'RAID Log'!$1:$1,0)),"")="","",IFERROR(INDEX('RAID Log'!$1:$1048576,$B868,MATCH("Status",'RAID Log'!$1:$1,0)),"")))</f>
        <v/>
      </c>
      <c r="M868" s="85" t="str">
        <f>IF($B868="","",IF(IFERROR(INDEX('RAID Log'!$1:$1048576,$B868,MATCH("RAID Owner",'RAID Log'!$1:$1,0)),"")="","",IFERROR(INDEX('RAID Log'!$1:$1048576,$B868,MATCH("RAID Owner",'RAID Log'!$1:$1,0)),"")))</f>
        <v/>
      </c>
      <c r="N868" s="87" t="str">
        <f>IF($B868="","",IF(IFERROR(INDEX('RAID Log'!$1:$1048576,$B868,MATCH("Date Raised",'RAID Log'!$1:$1,0)),"")="","",IFERROR(INDEX('RAID Log'!$1:$1048576,$B868,MATCH("Date Raised",'RAID Log'!$1:$1,0)),"")))</f>
        <v/>
      </c>
      <c r="O868" s="87" t="str">
        <f>IF($B868="","",IF(IFERROR(INDEX('RAID Log'!$1:$1048576,$B868,MATCH("Closed Date",'RAID Log'!$1:$1,0)),"")="","",IFERROR(INDEX('RAID Log'!$1:$1048576,$B868,MATCH("Closed Date",'RAID Log'!$1:$1,0)),"")))</f>
        <v/>
      </c>
      <c r="P868" s="85" t="str">
        <f>IF($B868="","",IF(IFERROR(INDEX('RAID Log'!$1:$1048576,$B868,MATCH("Mitigation Strategy",'RAID Log'!$1:$1,0)),"")="","",IFERROR(INDEX('RAID Log'!$1:$1048576,$B868,MATCH("Mitigation Strategy",'RAID Log'!$1:$1,0)),"")))</f>
        <v/>
      </c>
      <c r="Q868" s="88" t="str">
        <f>IF($B868="","",IF(IFERROR(INDEX('RAID Log'!$1:$1048576,$B868,MATCH("RAID Response/Plan",'RAID Log'!$1:$1,0)),"")="","",IFERROR(INDEX('RAID Log'!$1:$1048576,$B868,MATCH("RAID Response/Plan",'RAID Log'!$1:$1,0)),"")))</f>
        <v/>
      </c>
    </row>
    <row r="869" spans="1:17" ht="14.25" customHeight="1">
      <c r="A869" s="82" t="str">
        <f>IF($B869="","",IF(IFERROR(INDEX('RAID Log'!$1:$1048576,$B869,MATCH("RAID ID",'RAID Log'!$1:$1,0)),"")="","",IFERROR(INDEX('RAID Log'!$1:$1048576,$B869,MATCH("RAID ID",'RAID Log'!$1:$1,0)),"")))</f>
        <v/>
      </c>
      <c r="B869" s="83" t="str">
        <f>IFERROR(MATCH(ROW()-1,'RAID Log'!$S:$S,0),"")</f>
        <v/>
      </c>
      <c r="C869" s="84" t="str">
        <f>IF($B869="","",IF(IFERROR(INDEX('RAID Log'!$1:$1048576,$B869,MATCH("Description",'RAID Log'!$1:$1,0)),"")="","",IFERROR(INDEX('RAID Log'!$1:$1048576,$B869,MATCH("Description",'RAID Log'!$1:$1,0)),"")))</f>
        <v/>
      </c>
      <c r="D869" s="84" t="str">
        <f>IF($B869="","",IF(IFERROR(INDEX('RAID Log'!$1:$1048576,$B869,MATCH("Impact/Effect of the RAID",'RAID Log'!$1:$1,0)),"")="","",IFERROR(INDEX('RAID Log'!$1:$1048576,$B869,MATCH("Impact/Effect of the RAID",'RAID Log'!$1:$1,0)),"")))</f>
        <v/>
      </c>
      <c r="E869" s="85" t="str">
        <f>IF($B869="","",IF(IFERROR(INDEX('RAID Log'!$1:$1048576,$B869,MATCH("Impact Area",'RAID Log'!$1:$1,0)),"")="","",IFERROR(INDEX('RAID Log'!$1:$1048576,$B869,MATCH("Impact Area",'RAID Log'!$1:$1,0)),"")))</f>
        <v/>
      </c>
      <c r="F869" s="85" t="str">
        <f>IF($B869="","",IF(IFERROR(INDEX('RAID Log'!$1:$1048576,$B869,MATCH("Impact Area",'RAID Log'!$1:$1,0)),"")="","",IFERROR(INDEX('RAID Log'!$1:$1048576,$B869,MATCH("Impact Area",'RAID Log'!$1:$1,0)),"")))</f>
        <v/>
      </c>
      <c r="G869" s="85" t="str">
        <f>IF($B869="","",IF(IFERROR(INDEX('RAID Log'!$1:$1048576,$B869,MATCH("Impact Rating",'RAID Log'!$1:$1,0)),"")="","",IFERROR(INDEX('RAID Log'!$1:$1048576,$B869,MATCH("Impact Rating",'RAID Log'!$1:$1,0)),"")))</f>
        <v/>
      </c>
      <c r="H869" s="85" t="str">
        <f>IF($B869="","",IF(IFERROR(INDEX('RAID Log'!$1:$1048576,$B869,MATCH("Initial Probability",'RAID Log'!$1:$1,0)),"")="","",IFERROR(INDEX('RAID Log'!$1:$1048576,$B869,MATCH("Initial Probability",'RAID Log'!$1:$1,0)),"")))</f>
        <v/>
      </c>
      <c r="I869" s="86" t="str">
        <f t="shared" si="39"/>
        <v/>
      </c>
      <c r="J869" s="85" t="str">
        <f t="shared" si="40"/>
        <v/>
      </c>
      <c r="K869" s="86" t="str">
        <f t="shared" si="41"/>
        <v/>
      </c>
      <c r="L869" s="85" t="str">
        <f>IF($B869="","",IF(IFERROR(INDEX('RAID Log'!$1:$1048576,$B869,MATCH("Status",'RAID Log'!$1:$1,0)),"")="","",IFERROR(INDEX('RAID Log'!$1:$1048576,$B869,MATCH("Status",'RAID Log'!$1:$1,0)),"")))</f>
        <v/>
      </c>
      <c r="M869" s="85" t="str">
        <f>IF($B869="","",IF(IFERROR(INDEX('RAID Log'!$1:$1048576,$B869,MATCH("RAID Owner",'RAID Log'!$1:$1,0)),"")="","",IFERROR(INDEX('RAID Log'!$1:$1048576,$B869,MATCH("RAID Owner",'RAID Log'!$1:$1,0)),"")))</f>
        <v/>
      </c>
      <c r="N869" s="87" t="str">
        <f>IF($B869="","",IF(IFERROR(INDEX('RAID Log'!$1:$1048576,$B869,MATCH("Date Raised",'RAID Log'!$1:$1,0)),"")="","",IFERROR(INDEX('RAID Log'!$1:$1048576,$B869,MATCH("Date Raised",'RAID Log'!$1:$1,0)),"")))</f>
        <v/>
      </c>
      <c r="O869" s="87" t="str">
        <f>IF($B869="","",IF(IFERROR(INDEX('RAID Log'!$1:$1048576,$B869,MATCH("Closed Date",'RAID Log'!$1:$1,0)),"")="","",IFERROR(INDEX('RAID Log'!$1:$1048576,$B869,MATCH("Closed Date",'RAID Log'!$1:$1,0)),"")))</f>
        <v/>
      </c>
      <c r="P869" s="85" t="str">
        <f>IF($B869="","",IF(IFERROR(INDEX('RAID Log'!$1:$1048576,$B869,MATCH("Mitigation Strategy",'RAID Log'!$1:$1,0)),"")="","",IFERROR(INDEX('RAID Log'!$1:$1048576,$B869,MATCH("Mitigation Strategy",'RAID Log'!$1:$1,0)),"")))</f>
        <v/>
      </c>
      <c r="Q869" s="88" t="str">
        <f>IF($B869="","",IF(IFERROR(INDEX('RAID Log'!$1:$1048576,$B869,MATCH("RAID Response/Plan",'RAID Log'!$1:$1,0)),"")="","",IFERROR(INDEX('RAID Log'!$1:$1048576,$B869,MATCH("RAID Response/Plan",'RAID Log'!$1:$1,0)),"")))</f>
        <v/>
      </c>
    </row>
    <row r="870" spans="1:17" ht="14.25" customHeight="1">
      <c r="A870" s="82" t="str">
        <f>IF($B870="","",IF(IFERROR(INDEX('RAID Log'!$1:$1048576,$B870,MATCH("RAID ID",'RAID Log'!$1:$1,0)),"")="","",IFERROR(INDEX('RAID Log'!$1:$1048576,$B870,MATCH("RAID ID",'RAID Log'!$1:$1,0)),"")))</f>
        <v/>
      </c>
      <c r="B870" s="83" t="str">
        <f>IFERROR(MATCH(ROW()-1,'RAID Log'!$S:$S,0),"")</f>
        <v/>
      </c>
      <c r="C870" s="84" t="str">
        <f>IF($B870="","",IF(IFERROR(INDEX('RAID Log'!$1:$1048576,$B870,MATCH("Description",'RAID Log'!$1:$1,0)),"")="","",IFERROR(INDEX('RAID Log'!$1:$1048576,$B870,MATCH("Description",'RAID Log'!$1:$1,0)),"")))</f>
        <v/>
      </c>
      <c r="D870" s="84" t="str">
        <f>IF($B870="","",IF(IFERROR(INDEX('RAID Log'!$1:$1048576,$B870,MATCH("Impact/Effect of the RAID",'RAID Log'!$1:$1,0)),"")="","",IFERROR(INDEX('RAID Log'!$1:$1048576,$B870,MATCH("Impact/Effect of the RAID",'RAID Log'!$1:$1,0)),"")))</f>
        <v/>
      </c>
      <c r="E870" s="85" t="str">
        <f>IF($B870="","",IF(IFERROR(INDEX('RAID Log'!$1:$1048576,$B870,MATCH("Impact Area",'RAID Log'!$1:$1,0)),"")="","",IFERROR(INDEX('RAID Log'!$1:$1048576,$B870,MATCH("Impact Area",'RAID Log'!$1:$1,0)),"")))</f>
        <v/>
      </c>
      <c r="F870" s="85" t="str">
        <f>IF($B870="","",IF(IFERROR(INDEX('RAID Log'!$1:$1048576,$B870,MATCH("Impact Area",'RAID Log'!$1:$1,0)),"")="","",IFERROR(INDEX('RAID Log'!$1:$1048576,$B870,MATCH("Impact Area",'RAID Log'!$1:$1,0)),"")))</f>
        <v/>
      </c>
      <c r="G870" s="85" t="str">
        <f>IF($B870="","",IF(IFERROR(INDEX('RAID Log'!$1:$1048576,$B870,MATCH("Impact Rating",'RAID Log'!$1:$1,0)),"")="","",IFERROR(INDEX('RAID Log'!$1:$1048576,$B870,MATCH("Impact Rating",'RAID Log'!$1:$1,0)),"")))</f>
        <v/>
      </c>
      <c r="H870" s="85" t="str">
        <f>IF($B870="","",IF(IFERROR(INDEX('RAID Log'!$1:$1048576,$B870,MATCH("Initial Probability",'RAID Log'!$1:$1,0)),"")="","",IFERROR(INDEX('RAID Log'!$1:$1048576,$B870,MATCH("Initial Probability",'RAID Log'!$1:$1,0)),"")))</f>
        <v/>
      </c>
      <c r="I870" s="86" t="str">
        <f t="shared" si="39"/>
        <v/>
      </c>
      <c r="J870" s="85" t="str">
        <f t="shared" si="40"/>
        <v/>
      </c>
      <c r="K870" s="86" t="str">
        <f t="shared" si="41"/>
        <v/>
      </c>
      <c r="L870" s="85" t="str">
        <f>IF($B870="","",IF(IFERROR(INDEX('RAID Log'!$1:$1048576,$B870,MATCH("Status",'RAID Log'!$1:$1,0)),"")="","",IFERROR(INDEX('RAID Log'!$1:$1048576,$B870,MATCH("Status",'RAID Log'!$1:$1,0)),"")))</f>
        <v/>
      </c>
      <c r="M870" s="85" t="str">
        <f>IF($B870="","",IF(IFERROR(INDEX('RAID Log'!$1:$1048576,$B870,MATCH("RAID Owner",'RAID Log'!$1:$1,0)),"")="","",IFERROR(INDEX('RAID Log'!$1:$1048576,$B870,MATCH("RAID Owner",'RAID Log'!$1:$1,0)),"")))</f>
        <v/>
      </c>
      <c r="N870" s="87" t="str">
        <f>IF($B870="","",IF(IFERROR(INDEX('RAID Log'!$1:$1048576,$B870,MATCH("Date Raised",'RAID Log'!$1:$1,0)),"")="","",IFERROR(INDEX('RAID Log'!$1:$1048576,$B870,MATCH("Date Raised",'RAID Log'!$1:$1,0)),"")))</f>
        <v/>
      </c>
      <c r="O870" s="87" t="str">
        <f>IF($B870="","",IF(IFERROR(INDEX('RAID Log'!$1:$1048576,$B870,MATCH("Closed Date",'RAID Log'!$1:$1,0)),"")="","",IFERROR(INDEX('RAID Log'!$1:$1048576,$B870,MATCH("Closed Date",'RAID Log'!$1:$1,0)),"")))</f>
        <v/>
      </c>
      <c r="P870" s="85" t="str">
        <f>IF($B870="","",IF(IFERROR(INDEX('RAID Log'!$1:$1048576,$B870,MATCH("Mitigation Strategy",'RAID Log'!$1:$1,0)),"")="","",IFERROR(INDEX('RAID Log'!$1:$1048576,$B870,MATCH("Mitigation Strategy",'RAID Log'!$1:$1,0)),"")))</f>
        <v/>
      </c>
      <c r="Q870" s="88" t="str">
        <f>IF($B870="","",IF(IFERROR(INDEX('RAID Log'!$1:$1048576,$B870,MATCH("RAID Response/Plan",'RAID Log'!$1:$1,0)),"")="","",IFERROR(INDEX('RAID Log'!$1:$1048576,$B870,MATCH("RAID Response/Plan",'RAID Log'!$1:$1,0)),"")))</f>
        <v/>
      </c>
    </row>
    <row r="871" spans="1:17" ht="14.25" customHeight="1">
      <c r="A871" s="82" t="str">
        <f>IF($B871="","",IF(IFERROR(INDEX('RAID Log'!$1:$1048576,$B871,MATCH("RAID ID",'RAID Log'!$1:$1,0)),"")="","",IFERROR(INDEX('RAID Log'!$1:$1048576,$B871,MATCH("RAID ID",'RAID Log'!$1:$1,0)),"")))</f>
        <v/>
      </c>
      <c r="B871" s="83" t="str">
        <f>IFERROR(MATCH(ROW()-1,'RAID Log'!$S:$S,0),"")</f>
        <v/>
      </c>
      <c r="C871" s="84" t="str">
        <f>IF($B871="","",IF(IFERROR(INDEX('RAID Log'!$1:$1048576,$B871,MATCH("Description",'RAID Log'!$1:$1,0)),"")="","",IFERROR(INDEX('RAID Log'!$1:$1048576,$B871,MATCH("Description",'RAID Log'!$1:$1,0)),"")))</f>
        <v/>
      </c>
      <c r="D871" s="84" t="str">
        <f>IF($B871="","",IF(IFERROR(INDEX('RAID Log'!$1:$1048576,$B871,MATCH("Impact/Effect of the RAID",'RAID Log'!$1:$1,0)),"")="","",IFERROR(INDEX('RAID Log'!$1:$1048576,$B871,MATCH("Impact/Effect of the RAID",'RAID Log'!$1:$1,0)),"")))</f>
        <v/>
      </c>
      <c r="E871" s="85" t="str">
        <f>IF($B871="","",IF(IFERROR(INDEX('RAID Log'!$1:$1048576,$B871,MATCH("Impact Area",'RAID Log'!$1:$1,0)),"")="","",IFERROR(INDEX('RAID Log'!$1:$1048576,$B871,MATCH("Impact Area",'RAID Log'!$1:$1,0)),"")))</f>
        <v/>
      </c>
      <c r="F871" s="85" t="str">
        <f>IF($B871="","",IF(IFERROR(INDEX('RAID Log'!$1:$1048576,$B871,MATCH("Impact Area",'RAID Log'!$1:$1,0)),"")="","",IFERROR(INDEX('RAID Log'!$1:$1048576,$B871,MATCH("Impact Area",'RAID Log'!$1:$1,0)),"")))</f>
        <v/>
      </c>
      <c r="G871" s="85" t="str">
        <f>IF($B871="","",IF(IFERROR(INDEX('RAID Log'!$1:$1048576,$B871,MATCH("Impact Rating",'RAID Log'!$1:$1,0)),"")="","",IFERROR(INDEX('RAID Log'!$1:$1048576,$B871,MATCH("Impact Rating",'RAID Log'!$1:$1,0)),"")))</f>
        <v/>
      </c>
      <c r="H871" s="85" t="str">
        <f>IF($B871="","",IF(IFERROR(INDEX('RAID Log'!$1:$1048576,$B871,MATCH("Initial Probability",'RAID Log'!$1:$1,0)),"")="","",IFERROR(INDEX('RAID Log'!$1:$1048576,$B871,MATCH("Initial Probability",'RAID Log'!$1:$1,0)),"")))</f>
        <v/>
      </c>
      <c r="I871" s="86" t="str">
        <f t="shared" si="39"/>
        <v/>
      </c>
      <c r="J871" s="85" t="str">
        <f t="shared" si="40"/>
        <v/>
      </c>
      <c r="K871" s="86" t="str">
        <f t="shared" si="41"/>
        <v/>
      </c>
      <c r="L871" s="85" t="str">
        <f>IF($B871="","",IF(IFERROR(INDEX('RAID Log'!$1:$1048576,$B871,MATCH("Status",'RAID Log'!$1:$1,0)),"")="","",IFERROR(INDEX('RAID Log'!$1:$1048576,$B871,MATCH("Status",'RAID Log'!$1:$1,0)),"")))</f>
        <v/>
      </c>
      <c r="M871" s="85" t="str">
        <f>IF($B871="","",IF(IFERROR(INDEX('RAID Log'!$1:$1048576,$B871,MATCH("RAID Owner",'RAID Log'!$1:$1,0)),"")="","",IFERROR(INDEX('RAID Log'!$1:$1048576,$B871,MATCH("RAID Owner",'RAID Log'!$1:$1,0)),"")))</f>
        <v/>
      </c>
      <c r="N871" s="87" t="str">
        <f>IF($B871="","",IF(IFERROR(INDEX('RAID Log'!$1:$1048576,$B871,MATCH("Date Raised",'RAID Log'!$1:$1,0)),"")="","",IFERROR(INDEX('RAID Log'!$1:$1048576,$B871,MATCH("Date Raised",'RAID Log'!$1:$1,0)),"")))</f>
        <v/>
      </c>
      <c r="O871" s="87" t="str">
        <f>IF($B871="","",IF(IFERROR(INDEX('RAID Log'!$1:$1048576,$B871,MATCH("Closed Date",'RAID Log'!$1:$1,0)),"")="","",IFERROR(INDEX('RAID Log'!$1:$1048576,$B871,MATCH("Closed Date",'RAID Log'!$1:$1,0)),"")))</f>
        <v/>
      </c>
      <c r="P871" s="85" t="str">
        <f>IF($B871="","",IF(IFERROR(INDEX('RAID Log'!$1:$1048576,$B871,MATCH("Mitigation Strategy",'RAID Log'!$1:$1,0)),"")="","",IFERROR(INDEX('RAID Log'!$1:$1048576,$B871,MATCH("Mitigation Strategy",'RAID Log'!$1:$1,0)),"")))</f>
        <v/>
      </c>
      <c r="Q871" s="88" t="str">
        <f>IF($B871="","",IF(IFERROR(INDEX('RAID Log'!$1:$1048576,$B871,MATCH("RAID Response/Plan",'RAID Log'!$1:$1,0)),"")="","",IFERROR(INDEX('RAID Log'!$1:$1048576,$B871,MATCH("RAID Response/Plan",'RAID Log'!$1:$1,0)),"")))</f>
        <v/>
      </c>
    </row>
    <row r="872" spans="1:17" ht="14.25" customHeight="1">
      <c r="A872" s="82" t="str">
        <f>IF($B872="","",IF(IFERROR(INDEX('RAID Log'!$1:$1048576,$B872,MATCH("RAID ID",'RAID Log'!$1:$1,0)),"")="","",IFERROR(INDEX('RAID Log'!$1:$1048576,$B872,MATCH("RAID ID",'RAID Log'!$1:$1,0)),"")))</f>
        <v/>
      </c>
      <c r="B872" s="83" t="str">
        <f>IFERROR(MATCH(ROW()-1,'RAID Log'!$S:$S,0),"")</f>
        <v/>
      </c>
      <c r="C872" s="84" t="str">
        <f>IF($B872="","",IF(IFERROR(INDEX('RAID Log'!$1:$1048576,$B872,MATCH("Description",'RAID Log'!$1:$1,0)),"")="","",IFERROR(INDEX('RAID Log'!$1:$1048576,$B872,MATCH("Description",'RAID Log'!$1:$1,0)),"")))</f>
        <v/>
      </c>
      <c r="D872" s="84" t="str">
        <f>IF($B872="","",IF(IFERROR(INDEX('RAID Log'!$1:$1048576,$B872,MATCH("Impact/Effect of the RAID",'RAID Log'!$1:$1,0)),"")="","",IFERROR(INDEX('RAID Log'!$1:$1048576,$B872,MATCH("Impact/Effect of the RAID",'RAID Log'!$1:$1,0)),"")))</f>
        <v/>
      </c>
      <c r="E872" s="85" t="str">
        <f>IF($B872="","",IF(IFERROR(INDEX('RAID Log'!$1:$1048576,$B872,MATCH("Impact Area",'RAID Log'!$1:$1,0)),"")="","",IFERROR(INDEX('RAID Log'!$1:$1048576,$B872,MATCH("Impact Area",'RAID Log'!$1:$1,0)),"")))</f>
        <v/>
      </c>
      <c r="F872" s="85" t="str">
        <f>IF($B872="","",IF(IFERROR(INDEX('RAID Log'!$1:$1048576,$B872,MATCH("Impact Area",'RAID Log'!$1:$1,0)),"")="","",IFERROR(INDEX('RAID Log'!$1:$1048576,$B872,MATCH("Impact Area",'RAID Log'!$1:$1,0)),"")))</f>
        <v/>
      </c>
      <c r="G872" s="85" t="str">
        <f>IF($B872="","",IF(IFERROR(INDEX('RAID Log'!$1:$1048576,$B872,MATCH("Impact Rating",'RAID Log'!$1:$1,0)),"")="","",IFERROR(INDEX('RAID Log'!$1:$1048576,$B872,MATCH("Impact Rating",'RAID Log'!$1:$1,0)),"")))</f>
        <v/>
      </c>
      <c r="H872" s="85" t="str">
        <f>IF($B872="","",IF(IFERROR(INDEX('RAID Log'!$1:$1048576,$B872,MATCH("Initial Probability",'RAID Log'!$1:$1,0)),"")="","",IFERROR(INDEX('RAID Log'!$1:$1048576,$B872,MATCH("Initial Probability",'RAID Log'!$1:$1,0)),"")))</f>
        <v/>
      </c>
      <c r="I872" s="86" t="str">
        <f t="shared" si="39"/>
        <v/>
      </c>
      <c r="J872" s="85" t="str">
        <f t="shared" si="40"/>
        <v/>
      </c>
      <c r="K872" s="86" t="str">
        <f t="shared" si="41"/>
        <v/>
      </c>
      <c r="L872" s="85" t="str">
        <f>IF($B872="","",IF(IFERROR(INDEX('RAID Log'!$1:$1048576,$B872,MATCH("Status",'RAID Log'!$1:$1,0)),"")="","",IFERROR(INDEX('RAID Log'!$1:$1048576,$B872,MATCH("Status",'RAID Log'!$1:$1,0)),"")))</f>
        <v/>
      </c>
      <c r="M872" s="85" t="str">
        <f>IF($B872="","",IF(IFERROR(INDEX('RAID Log'!$1:$1048576,$B872,MATCH("RAID Owner",'RAID Log'!$1:$1,0)),"")="","",IFERROR(INDEX('RAID Log'!$1:$1048576,$B872,MATCH("RAID Owner",'RAID Log'!$1:$1,0)),"")))</f>
        <v/>
      </c>
      <c r="N872" s="87" t="str">
        <f>IF($B872="","",IF(IFERROR(INDEX('RAID Log'!$1:$1048576,$B872,MATCH("Date Raised",'RAID Log'!$1:$1,0)),"")="","",IFERROR(INDEX('RAID Log'!$1:$1048576,$B872,MATCH("Date Raised",'RAID Log'!$1:$1,0)),"")))</f>
        <v/>
      </c>
      <c r="O872" s="87" t="str">
        <f>IF($B872="","",IF(IFERROR(INDEX('RAID Log'!$1:$1048576,$B872,MATCH("Closed Date",'RAID Log'!$1:$1,0)),"")="","",IFERROR(INDEX('RAID Log'!$1:$1048576,$B872,MATCH("Closed Date",'RAID Log'!$1:$1,0)),"")))</f>
        <v/>
      </c>
      <c r="P872" s="85" t="str">
        <f>IF($B872="","",IF(IFERROR(INDEX('RAID Log'!$1:$1048576,$B872,MATCH("Mitigation Strategy",'RAID Log'!$1:$1,0)),"")="","",IFERROR(INDEX('RAID Log'!$1:$1048576,$B872,MATCH("Mitigation Strategy",'RAID Log'!$1:$1,0)),"")))</f>
        <v/>
      </c>
      <c r="Q872" s="88" t="str">
        <f>IF($B872="","",IF(IFERROR(INDEX('RAID Log'!$1:$1048576,$B872,MATCH("RAID Response/Plan",'RAID Log'!$1:$1,0)),"")="","",IFERROR(INDEX('RAID Log'!$1:$1048576,$B872,MATCH("RAID Response/Plan",'RAID Log'!$1:$1,0)),"")))</f>
        <v/>
      </c>
    </row>
    <row r="873" spans="1:17" ht="14.25" customHeight="1">
      <c r="A873" s="82" t="str">
        <f>IF($B873="","",IF(IFERROR(INDEX('RAID Log'!$1:$1048576,$B873,MATCH("RAID ID",'RAID Log'!$1:$1,0)),"")="","",IFERROR(INDEX('RAID Log'!$1:$1048576,$B873,MATCH("RAID ID",'RAID Log'!$1:$1,0)),"")))</f>
        <v/>
      </c>
      <c r="B873" s="83" t="str">
        <f>IFERROR(MATCH(ROW()-1,'RAID Log'!$S:$S,0),"")</f>
        <v/>
      </c>
      <c r="C873" s="84" t="str">
        <f>IF($B873="","",IF(IFERROR(INDEX('RAID Log'!$1:$1048576,$B873,MATCH("Description",'RAID Log'!$1:$1,0)),"")="","",IFERROR(INDEX('RAID Log'!$1:$1048576,$B873,MATCH("Description",'RAID Log'!$1:$1,0)),"")))</f>
        <v/>
      </c>
      <c r="D873" s="84" t="str">
        <f>IF($B873="","",IF(IFERROR(INDEX('RAID Log'!$1:$1048576,$B873,MATCH("Impact/Effect of the RAID",'RAID Log'!$1:$1,0)),"")="","",IFERROR(INDEX('RAID Log'!$1:$1048576,$B873,MATCH("Impact/Effect of the RAID",'RAID Log'!$1:$1,0)),"")))</f>
        <v/>
      </c>
      <c r="E873" s="85" t="str">
        <f>IF($B873="","",IF(IFERROR(INDEX('RAID Log'!$1:$1048576,$B873,MATCH("Impact Area",'RAID Log'!$1:$1,0)),"")="","",IFERROR(INDEX('RAID Log'!$1:$1048576,$B873,MATCH("Impact Area",'RAID Log'!$1:$1,0)),"")))</f>
        <v/>
      </c>
      <c r="F873" s="85" t="str">
        <f>IF($B873="","",IF(IFERROR(INDEX('RAID Log'!$1:$1048576,$B873,MATCH("Impact Area",'RAID Log'!$1:$1,0)),"")="","",IFERROR(INDEX('RAID Log'!$1:$1048576,$B873,MATCH("Impact Area",'RAID Log'!$1:$1,0)),"")))</f>
        <v/>
      </c>
      <c r="G873" s="85" t="str">
        <f>IF($B873="","",IF(IFERROR(INDEX('RAID Log'!$1:$1048576,$B873,MATCH("Impact Rating",'RAID Log'!$1:$1,0)),"")="","",IFERROR(INDEX('RAID Log'!$1:$1048576,$B873,MATCH("Impact Rating",'RAID Log'!$1:$1,0)),"")))</f>
        <v/>
      </c>
      <c r="H873" s="85" t="str">
        <f>IF($B873="","",IF(IFERROR(INDEX('RAID Log'!$1:$1048576,$B873,MATCH("Initial Probability",'RAID Log'!$1:$1,0)),"")="","",IFERROR(INDEX('RAID Log'!$1:$1048576,$B873,MATCH("Initial Probability",'RAID Log'!$1:$1,0)),"")))</f>
        <v/>
      </c>
      <c r="I873" s="86" t="str">
        <f t="shared" si="39"/>
        <v/>
      </c>
      <c r="J873" s="85" t="str">
        <f t="shared" si="40"/>
        <v/>
      </c>
      <c r="K873" s="86" t="str">
        <f t="shared" si="41"/>
        <v/>
      </c>
      <c r="L873" s="85" t="str">
        <f>IF($B873="","",IF(IFERROR(INDEX('RAID Log'!$1:$1048576,$B873,MATCH("Status",'RAID Log'!$1:$1,0)),"")="","",IFERROR(INDEX('RAID Log'!$1:$1048576,$B873,MATCH("Status",'RAID Log'!$1:$1,0)),"")))</f>
        <v/>
      </c>
      <c r="M873" s="85" t="str">
        <f>IF($B873="","",IF(IFERROR(INDEX('RAID Log'!$1:$1048576,$B873,MATCH("RAID Owner",'RAID Log'!$1:$1,0)),"")="","",IFERROR(INDEX('RAID Log'!$1:$1048576,$B873,MATCH("RAID Owner",'RAID Log'!$1:$1,0)),"")))</f>
        <v/>
      </c>
      <c r="N873" s="87" t="str">
        <f>IF($B873="","",IF(IFERROR(INDEX('RAID Log'!$1:$1048576,$B873,MATCH("Date Raised",'RAID Log'!$1:$1,0)),"")="","",IFERROR(INDEX('RAID Log'!$1:$1048576,$B873,MATCH("Date Raised",'RAID Log'!$1:$1,0)),"")))</f>
        <v/>
      </c>
      <c r="O873" s="87" t="str">
        <f>IF($B873="","",IF(IFERROR(INDEX('RAID Log'!$1:$1048576,$B873,MATCH("Closed Date",'RAID Log'!$1:$1,0)),"")="","",IFERROR(INDEX('RAID Log'!$1:$1048576,$B873,MATCH("Closed Date",'RAID Log'!$1:$1,0)),"")))</f>
        <v/>
      </c>
      <c r="P873" s="85" t="str">
        <f>IF($B873="","",IF(IFERROR(INDEX('RAID Log'!$1:$1048576,$B873,MATCH("Mitigation Strategy",'RAID Log'!$1:$1,0)),"")="","",IFERROR(INDEX('RAID Log'!$1:$1048576,$B873,MATCH("Mitigation Strategy",'RAID Log'!$1:$1,0)),"")))</f>
        <v/>
      </c>
      <c r="Q873" s="88" t="str">
        <f>IF($B873="","",IF(IFERROR(INDEX('RAID Log'!$1:$1048576,$B873,MATCH("RAID Response/Plan",'RAID Log'!$1:$1,0)),"")="","",IFERROR(INDEX('RAID Log'!$1:$1048576,$B873,MATCH("RAID Response/Plan",'RAID Log'!$1:$1,0)),"")))</f>
        <v/>
      </c>
    </row>
    <row r="874" spans="1:17" ht="14.25" customHeight="1">
      <c r="A874" s="82" t="str">
        <f>IF($B874="","",IF(IFERROR(INDEX('RAID Log'!$1:$1048576,$B874,MATCH("RAID ID",'RAID Log'!$1:$1,0)),"")="","",IFERROR(INDEX('RAID Log'!$1:$1048576,$B874,MATCH("RAID ID",'RAID Log'!$1:$1,0)),"")))</f>
        <v/>
      </c>
      <c r="B874" s="83" t="str">
        <f>IFERROR(MATCH(ROW()-1,'RAID Log'!$S:$S,0),"")</f>
        <v/>
      </c>
      <c r="C874" s="84" t="str">
        <f>IF($B874="","",IF(IFERROR(INDEX('RAID Log'!$1:$1048576,$B874,MATCH("Description",'RAID Log'!$1:$1,0)),"")="","",IFERROR(INDEX('RAID Log'!$1:$1048576,$B874,MATCH("Description",'RAID Log'!$1:$1,0)),"")))</f>
        <v/>
      </c>
      <c r="D874" s="84" t="str">
        <f>IF($B874="","",IF(IFERROR(INDEX('RAID Log'!$1:$1048576,$B874,MATCH("Impact/Effect of the RAID",'RAID Log'!$1:$1,0)),"")="","",IFERROR(INDEX('RAID Log'!$1:$1048576,$B874,MATCH("Impact/Effect of the RAID",'RAID Log'!$1:$1,0)),"")))</f>
        <v/>
      </c>
      <c r="E874" s="85" t="str">
        <f>IF($B874="","",IF(IFERROR(INDEX('RAID Log'!$1:$1048576,$B874,MATCH("Impact Area",'RAID Log'!$1:$1,0)),"")="","",IFERROR(INDEX('RAID Log'!$1:$1048576,$B874,MATCH("Impact Area",'RAID Log'!$1:$1,0)),"")))</f>
        <v/>
      </c>
      <c r="F874" s="85" t="str">
        <f>IF($B874="","",IF(IFERROR(INDEX('RAID Log'!$1:$1048576,$B874,MATCH("Impact Area",'RAID Log'!$1:$1,0)),"")="","",IFERROR(INDEX('RAID Log'!$1:$1048576,$B874,MATCH("Impact Area",'RAID Log'!$1:$1,0)),"")))</f>
        <v/>
      </c>
      <c r="G874" s="85" t="str">
        <f>IF($B874="","",IF(IFERROR(INDEX('RAID Log'!$1:$1048576,$B874,MATCH("Impact Rating",'RAID Log'!$1:$1,0)),"")="","",IFERROR(INDEX('RAID Log'!$1:$1048576,$B874,MATCH("Impact Rating",'RAID Log'!$1:$1,0)),"")))</f>
        <v/>
      </c>
      <c r="H874" s="85" t="str">
        <f>IF($B874="","",IF(IFERROR(INDEX('RAID Log'!$1:$1048576,$B874,MATCH("Initial Probability",'RAID Log'!$1:$1,0)),"")="","",IFERROR(INDEX('RAID Log'!$1:$1048576,$B874,MATCH("Initial Probability",'RAID Log'!$1:$1,0)),"")))</f>
        <v/>
      </c>
      <c r="I874" s="86" t="str">
        <f t="shared" si="39"/>
        <v/>
      </c>
      <c r="J874" s="85" t="str">
        <f t="shared" si="40"/>
        <v/>
      </c>
      <c r="K874" s="86" t="str">
        <f t="shared" si="41"/>
        <v/>
      </c>
      <c r="L874" s="85" t="str">
        <f>IF($B874="","",IF(IFERROR(INDEX('RAID Log'!$1:$1048576,$B874,MATCH("Status",'RAID Log'!$1:$1,0)),"")="","",IFERROR(INDEX('RAID Log'!$1:$1048576,$B874,MATCH("Status",'RAID Log'!$1:$1,0)),"")))</f>
        <v/>
      </c>
      <c r="M874" s="85" t="str">
        <f>IF($B874="","",IF(IFERROR(INDEX('RAID Log'!$1:$1048576,$B874,MATCH("RAID Owner",'RAID Log'!$1:$1,0)),"")="","",IFERROR(INDEX('RAID Log'!$1:$1048576,$B874,MATCH("RAID Owner",'RAID Log'!$1:$1,0)),"")))</f>
        <v/>
      </c>
      <c r="N874" s="87" t="str">
        <f>IF($B874="","",IF(IFERROR(INDEX('RAID Log'!$1:$1048576,$B874,MATCH("Date Raised",'RAID Log'!$1:$1,0)),"")="","",IFERROR(INDEX('RAID Log'!$1:$1048576,$B874,MATCH("Date Raised",'RAID Log'!$1:$1,0)),"")))</f>
        <v/>
      </c>
      <c r="O874" s="87" t="str">
        <f>IF($B874="","",IF(IFERROR(INDEX('RAID Log'!$1:$1048576,$B874,MATCH("Closed Date",'RAID Log'!$1:$1,0)),"")="","",IFERROR(INDEX('RAID Log'!$1:$1048576,$B874,MATCH("Closed Date",'RAID Log'!$1:$1,0)),"")))</f>
        <v/>
      </c>
      <c r="P874" s="85" t="str">
        <f>IF($B874="","",IF(IFERROR(INDEX('RAID Log'!$1:$1048576,$B874,MATCH("Mitigation Strategy",'RAID Log'!$1:$1,0)),"")="","",IFERROR(INDEX('RAID Log'!$1:$1048576,$B874,MATCH("Mitigation Strategy",'RAID Log'!$1:$1,0)),"")))</f>
        <v/>
      </c>
      <c r="Q874" s="88" t="str">
        <f>IF($B874="","",IF(IFERROR(INDEX('RAID Log'!$1:$1048576,$B874,MATCH("RAID Response/Plan",'RAID Log'!$1:$1,0)),"")="","",IFERROR(INDEX('RAID Log'!$1:$1048576,$B874,MATCH("RAID Response/Plan",'RAID Log'!$1:$1,0)),"")))</f>
        <v/>
      </c>
    </row>
    <row r="875" spans="1:17" ht="14.25" customHeight="1">
      <c r="A875" s="82" t="str">
        <f>IF($B875="","",IF(IFERROR(INDEX('RAID Log'!$1:$1048576,$B875,MATCH("RAID ID",'RAID Log'!$1:$1,0)),"")="","",IFERROR(INDEX('RAID Log'!$1:$1048576,$B875,MATCH("RAID ID",'RAID Log'!$1:$1,0)),"")))</f>
        <v/>
      </c>
      <c r="B875" s="83" t="str">
        <f>IFERROR(MATCH(ROW()-1,'RAID Log'!$S:$S,0),"")</f>
        <v/>
      </c>
      <c r="C875" s="84" t="str">
        <f>IF($B875="","",IF(IFERROR(INDEX('RAID Log'!$1:$1048576,$B875,MATCH("Description",'RAID Log'!$1:$1,0)),"")="","",IFERROR(INDEX('RAID Log'!$1:$1048576,$B875,MATCH("Description",'RAID Log'!$1:$1,0)),"")))</f>
        <v/>
      </c>
      <c r="D875" s="84" t="str">
        <f>IF($B875="","",IF(IFERROR(INDEX('RAID Log'!$1:$1048576,$B875,MATCH("Impact/Effect of the RAID",'RAID Log'!$1:$1,0)),"")="","",IFERROR(INDEX('RAID Log'!$1:$1048576,$B875,MATCH("Impact/Effect of the RAID",'RAID Log'!$1:$1,0)),"")))</f>
        <v/>
      </c>
      <c r="E875" s="85" t="str">
        <f>IF($B875="","",IF(IFERROR(INDEX('RAID Log'!$1:$1048576,$B875,MATCH("Impact Area",'RAID Log'!$1:$1,0)),"")="","",IFERROR(INDEX('RAID Log'!$1:$1048576,$B875,MATCH("Impact Area",'RAID Log'!$1:$1,0)),"")))</f>
        <v/>
      </c>
      <c r="F875" s="85" t="str">
        <f>IF($B875="","",IF(IFERROR(INDEX('RAID Log'!$1:$1048576,$B875,MATCH("Impact Area",'RAID Log'!$1:$1,0)),"")="","",IFERROR(INDEX('RAID Log'!$1:$1048576,$B875,MATCH("Impact Area",'RAID Log'!$1:$1,0)),"")))</f>
        <v/>
      </c>
      <c r="G875" s="85" t="str">
        <f>IF($B875="","",IF(IFERROR(INDEX('RAID Log'!$1:$1048576,$B875,MATCH("Impact Rating",'RAID Log'!$1:$1,0)),"")="","",IFERROR(INDEX('RAID Log'!$1:$1048576,$B875,MATCH("Impact Rating",'RAID Log'!$1:$1,0)),"")))</f>
        <v/>
      </c>
      <c r="H875" s="85" t="str">
        <f>IF($B875="","",IF(IFERROR(INDEX('RAID Log'!$1:$1048576,$B875,MATCH("Initial Probability",'RAID Log'!$1:$1,0)),"")="","",IFERROR(INDEX('RAID Log'!$1:$1048576,$B875,MATCH("Initial Probability",'RAID Log'!$1:$1,0)),"")))</f>
        <v/>
      </c>
      <c r="I875" s="86" t="str">
        <f t="shared" si="39"/>
        <v/>
      </c>
      <c r="J875" s="85" t="str">
        <f t="shared" si="40"/>
        <v/>
      </c>
      <c r="K875" s="86" t="str">
        <f t="shared" si="41"/>
        <v/>
      </c>
      <c r="L875" s="85" t="str">
        <f>IF($B875="","",IF(IFERROR(INDEX('RAID Log'!$1:$1048576,$B875,MATCH("Status",'RAID Log'!$1:$1,0)),"")="","",IFERROR(INDEX('RAID Log'!$1:$1048576,$B875,MATCH("Status",'RAID Log'!$1:$1,0)),"")))</f>
        <v/>
      </c>
      <c r="M875" s="85" t="str">
        <f>IF($B875="","",IF(IFERROR(INDEX('RAID Log'!$1:$1048576,$B875,MATCH("RAID Owner",'RAID Log'!$1:$1,0)),"")="","",IFERROR(INDEX('RAID Log'!$1:$1048576,$B875,MATCH("RAID Owner",'RAID Log'!$1:$1,0)),"")))</f>
        <v/>
      </c>
      <c r="N875" s="87" t="str">
        <f>IF($B875="","",IF(IFERROR(INDEX('RAID Log'!$1:$1048576,$B875,MATCH("Date Raised",'RAID Log'!$1:$1,0)),"")="","",IFERROR(INDEX('RAID Log'!$1:$1048576,$B875,MATCH("Date Raised",'RAID Log'!$1:$1,0)),"")))</f>
        <v/>
      </c>
      <c r="O875" s="87" t="str">
        <f>IF($B875="","",IF(IFERROR(INDEX('RAID Log'!$1:$1048576,$B875,MATCH("Closed Date",'RAID Log'!$1:$1,0)),"")="","",IFERROR(INDEX('RAID Log'!$1:$1048576,$B875,MATCH("Closed Date",'RAID Log'!$1:$1,0)),"")))</f>
        <v/>
      </c>
      <c r="P875" s="85" t="str">
        <f>IF($B875="","",IF(IFERROR(INDEX('RAID Log'!$1:$1048576,$B875,MATCH("Mitigation Strategy",'RAID Log'!$1:$1,0)),"")="","",IFERROR(INDEX('RAID Log'!$1:$1048576,$B875,MATCH("Mitigation Strategy",'RAID Log'!$1:$1,0)),"")))</f>
        <v/>
      </c>
      <c r="Q875" s="88" t="str">
        <f>IF($B875="","",IF(IFERROR(INDEX('RAID Log'!$1:$1048576,$B875,MATCH("RAID Response/Plan",'RAID Log'!$1:$1,0)),"")="","",IFERROR(INDEX('RAID Log'!$1:$1048576,$B875,MATCH("RAID Response/Plan",'RAID Log'!$1:$1,0)),"")))</f>
        <v/>
      </c>
    </row>
    <row r="876" spans="1:17" ht="14.25" customHeight="1">
      <c r="A876" s="82" t="str">
        <f>IF($B876="","",IF(IFERROR(INDEX('RAID Log'!$1:$1048576,$B876,MATCH("RAID ID",'RAID Log'!$1:$1,0)),"")="","",IFERROR(INDEX('RAID Log'!$1:$1048576,$B876,MATCH("RAID ID",'RAID Log'!$1:$1,0)),"")))</f>
        <v/>
      </c>
      <c r="B876" s="83" t="str">
        <f>IFERROR(MATCH(ROW()-1,'RAID Log'!$S:$S,0),"")</f>
        <v/>
      </c>
      <c r="C876" s="84" t="str">
        <f>IF($B876="","",IF(IFERROR(INDEX('RAID Log'!$1:$1048576,$B876,MATCH("Description",'RAID Log'!$1:$1,0)),"")="","",IFERROR(INDEX('RAID Log'!$1:$1048576,$B876,MATCH("Description",'RAID Log'!$1:$1,0)),"")))</f>
        <v/>
      </c>
      <c r="D876" s="84" t="str">
        <f>IF($B876="","",IF(IFERROR(INDEX('RAID Log'!$1:$1048576,$B876,MATCH("Impact/Effect of the RAID",'RAID Log'!$1:$1,0)),"")="","",IFERROR(INDEX('RAID Log'!$1:$1048576,$B876,MATCH("Impact/Effect of the RAID",'RAID Log'!$1:$1,0)),"")))</f>
        <v/>
      </c>
      <c r="E876" s="85" t="str">
        <f>IF($B876="","",IF(IFERROR(INDEX('RAID Log'!$1:$1048576,$B876,MATCH("Impact Area",'RAID Log'!$1:$1,0)),"")="","",IFERROR(INDEX('RAID Log'!$1:$1048576,$B876,MATCH("Impact Area",'RAID Log'!$1:$1,0)),"")))</f>
        <v/>
      </c>
      <c r="F876" s="85" t="str">
        <f>IF($B876="","",IF(IFERROR(INDEX('RAID Log'!$1:$1048576,$B876,MATCH("Impact Area",'RAID Log'!$1:$1,0)),"")="","",IFERROR(INDEX('RAID Log'!$1:$1048576,$B876,MATCH("Impact Area",'RAID Log'!$1:$1,0)),"")))</f>
        <v/>
      </c>
      <c r="G876" s="85" t="str">
        <f>IF($B876="","",IF(IFERROR(INDEX('RAID Log'!$1:$1048576,$B876,MATCH("Impact Rating",'RAID Log'!$1:$1,0)),"")="","",IFERROR(INDEX('RAID Log'!$1:$1048576,$B876,MATCH("Impact Rating",'RAID Log'!$1:$1,0)),"")))</f>
        <v/>
      </c>
      <c r="H876" s="85" t="str">
        <f>IF($B876="","",IF(IFERROR(INDEX('RAID Log'!$1:$1048576,$B876,MATCH("Initial Probability",'RAID Log'!$1:$1,0)),"")="","",IFERROR(INDEX('RAID Log'!$1:$1048576,$B876,MATCH("Initial Probability",'RAID Log'!$1:$1,0)),"")))</f>
        <v/>
      </c>
      <c r="I876" s="86" t="str">
        <f t="shared" si="39"/>
        <v/>
      </c>
      <c r="J876" s="85" t="str">
        <f t="shared" si="40"/>
        <v/>
      </c>
      <c r="K876" s="86" t="str">
        <f t="shared" si="41"/>
        <v/>
      </c>
      <c r="L876" s="85" t="str">
        <f>IF($B876="","",IF(IFERROR(INDEX('RAID Log'!$1:$1048576,$B876,MATCH("Status",'RAID Log'!$1:$1,0)),"")="","",IFERROR(INDEX('RAID Log'!$1:$1048576,$B876,MATCH("Status",'RAID Log'!$1:$1,0)),"")))</f>
        <v/>
      </c>
      <c r="M876" s="85" t="str">
        <f>IF($B876="","",IF(IFERROR(INDEX('RAID Log'!$1:$1048576,$B876,MATCH("RAID Owner",'RAID Log'!$1:$1,0)),"")="","",IFERROR(INDEX('RAID Log'!$1:$1048576,$B876,MATCH("RAID Owner",'RAID Log'!$1:$1,0)),"")))</f>
        <v/>
      </c>
      <c r="N876" s="87" t="str">
        <f>IF($B876="","",IF(IFERROR(INDEX('RAID Log'!$1:$1048576,$B876,MATCH("Date Raised",'RAID Log'!$1:$1,0)),"")="","",IFERROR(INDEX('RAID Log'!$1:$1048576,$B876,MATCH("Date Raised",'RAID Log'!$1:$1,0)),"")))</f>
        <v/>
      </c>
      <c r="O876" s="87" t="str">
        <f>IF($B876="","",IF(IFERROR(INDEX('RAID Log'!$1:$1048576,$B876,MATCH("Closed Date",'RAID Log'!$1:$1,0)),"")="","",IFERROR(INDEX('RAID Log'!$1:$1048576,$B876,MATCH("Closed Date",'RAID Log'!$1:$1,0)),"")))</f>
        <v/>
      </c>
      <c r="P876" s="85" t="str">
        <f>IF($B876="","",IF(IFERROR(INDEX('RAID Log'!$1:$1048576,$B876,MATCH("Mitigation Strategy",'RAID Log'!$1:$1,0)),"")="","",IFERROR(INDEX('RAID Log'!$1:$1048576,$B876,MATCH("Mitigation Strategy",'RAID Log'!$1:$1,0)),"")))</f>
        <v/>
      </c>
      <c r="Q876" s="88" t="str">
        <f>IF($B876="","",IF(IFERROR(INDEX('RAID Log'!$1:$1048576,$B876,MATCH("RAID Response/Plan",'RAID Log'!$1:$1,0)),"")="","",IFERROR(INDEX('RAID Log'!$1:$1048576,$B876,MATCH("RAID Response/Plan",'RAID Log'!$1:$1,0)),"")))</f>
        <v/>
      </c>
    </row>
    <row r="877" spans="1:17" ht="14.25" customHeight="1">
      <c r="A877" s="82" t="str">
        <f>IF($B877="","",IF(IFERROR(INDEX('RAID Log'!$1:$1048576,$B877,MATCH("RAID ID",'RAID Log'!$1:$1,0)),"")="","",IFERROR(INDEX('RAID Log'!$1:$1048576,$B877,MATCH("RAID ID",'RAID Log'!$1:$1,0)),"")))</f>
        <v/>
      </c>
      <c r="B877" s="83" t="str">
        <f>IFERROR(MATCH(ROW()-1,'RAID Log'!$S:$S,0),"")</f>
        <v/>
      </c>
      <c r="C877" s="84" t="str">
        <f>IF($B877="","",IF(IFERROR(INDEX('RAID Log'!$1:$1048576,$B877,MATCH("Description",'RAID Log'!$1:$1,0)),"")="","",IFERROR(INDEX('RAID Log'!$1:$1048576,$B877,MATCH("Description",'RAID Log'!$1:$1,0)),"")))</f>
        <v/>
      </c>
      <c r="D877" s="84" t="str">
        <f>IF($B877="","",IF(IFERROR(INDEX('RAID Log'!$1:$1048576,$B877,MATCH("Impact/Effect of the RAID",'RAID Log'!$1:$1,0)),"")="","",IFERROR(INDEX('RAID Log'!$1:$1048576,$B877,MATCH("Impact/Effect of the RAID",'RAID Log'!$1:$1,0)),"")))</f>
        <v/>
      </c>
      <c r="E877" s="85" t="str">
        <f>IF($B877="","",IF(IFERROR(INDEX('RAID Log'!$1:$1048576,$B877,MATCH("Impact Area",'RAID Log'!$1:$1,0)),"")="","",IFERROR(INDEX('RAID Log'!$1:$1048576,$B877,MATCH("Impact Area",'RAID Log'!$1:$1,0)),"")))</f>
        <v/>
      </c>
      <c r="F877" s="85" t="str">
        <f>IF($B877="","",IF(IFERROR(INDEX('RAID Log'!$1:$1048576,$B877,MATCH("Impact Area",'RAID Log'!$1:$1,0)),"")="","",IFERROR(INDEX('RAID Log'!$1:$1048576,$B877,MATCH("Impact Area",'RAID Log'!$1:$1,0)),"")))</f>
        <v/>
      </c>
      <c r="G877" s="85" t="str">
        <f>IF($B877="","",IF(IFERROR(INDEX('RAID Log'!$1:$1048576,$B877,MATCH("Impact Rating",'RAID Log'!$1:$1,0)),"")="","",IFERROR(INDEX('RAID Log'!$1:$1048576,$B877,MATCH("Impact Rating",'RAID Log'!$1:$1,0)),"")))</f>
        <v/>
      </c>
      <c r="H877" s="85" t="str">
        <f>IF($B877="","",IF(IFERROR(INDEX('RAID Log'!$1:$1048576,$B877,MATCH("Initial Probability",'RAID Log'!$1:$1,0)),"")="","",IFERROR(INDEX('RAID Log'!$1:$1048576,$B877,MATCH("Initial Probability",'RAID Log'!$1:$1,0)),"")))</f>
        <v/>
      </c>
      <c r="I877" s="86" t="str">
        <f t="shared" si="39"/>
        <v/>
      </c>
      <c r="J877" s="85" t="str">
        <f t="shared" si="40"/>
        <v/>
      </c>
      <c r="K877" s="86" t="str">
        <f t="shared" si="41"/>
        <v/>
      </c>
      <c r="L877" s="85" t="str">
        <f>IF($B877="","",IF(IFERROR(INDEX('RAID Log'!$1:$1048576,$B877,MATCH("Status",'RAID Log'!$1:$1,0)),"")="","",IFERROR(INDEX('RAID Log'!$1:$1048576,$B877,MATCH("Status",'RAID Log'!$1:$1,0)),"")))</f>
        <v/>
      </c>
      <c r="M877" s="85" t="str">
        <f>IF($B877="","",IF(IFERROR(INDEX('RAID Log'!$1:$1048576,$B877,MATCH("RAID Owner",'RAID Log'!$1:$1,0)),"")="","",IFERROR(INDEX('RAID Log'!$1:$1048576,$B877,MATCH("RAID Owner",'RAID Log'!$1:$1,0)),"")))</f>
        <v/>
      </c>
      <c r="N877" s="87" t="str">
        <f>IF($B877="","",IF(IFERROR(INDEX('RAID Log'!$1:$1048576,$B877,MATCH("Date Raised",'RAID Log'!$1:$1,0)),"")="","",IFERROR(INDEX('RAID Log'!$1:$1048576,$B877,MATCH("Date Raised",'RAID Log'!$1:$1,0)),"")))</f>
        <v/>
      </c>
      <c r="O877" s="87" t="str">
        <f>IF($B877="","",IF(IFERROR(INDEX('RAID Log'!$1:$1048576,$B877,MATCH("Closed Date",'RAID Log'!$1:$1,0)),"")="","",IFERROR(INDEX('RAID Log'!$1:$1048576,$B877,MATCH("Closed Date",'RAID Log'!$1:$1,0)),"")))</f>
        <v/>
      </c>
      <c r="P877" s="85" t="str">
        <f>IF($B877="","",IF(IFERROR(INDEX('RAID Log'!$1:$1048576,$B877,MATCH("Mitigation Strategy",'RAID Log'!$1:$1,0)),"")="","",IFERROR(INDEX('RAID Log'!$1:$1048576,$B877,MATCH("Mitigation Strategy",'RAID Log'!$1:$1,0)),"")))</f>
        <v/>
      </c>
      <c r="Q877" s="88" t="str">
        <f>IF($B877="","",IF(IFERROR(INDEX('RAID Log'!$1:$1048576,$B877,MATCH("RAID Response/Plan",'RAID Log'!$1:$1,0)),"")="","",IFERROR(INDEX('RAID Log'!$1:$1048576,$B877,MATCH("RAID Response/Plan",'RAID Log'!$1:$1,0)),"")))</f>
        <v/>
      </c>
    </row>
    <row r="878" spans="1:17" ht="14.25" customHeight="1">
      <c r="A878" s="82" t="str">
        <f>IF($B878="","",IF(IFERROR(INDEX('RAID Log'!$1:$1048576,$B878,MATCH("RAID ID",'RAID Log'!$1:$1,0)),"")="","",IFERROR(INDEX('RAID Log'!$1:$1048576,$B878,MATCH("RAID ID",'RAID Log'!$1:$1,0)),"")))</f>
        <v/>
      </c>
      <c r="B878" s="83" t="str">
        <f>IFERROR(MATCH(ROW()-1,'RAID Log'!$S:$S,0),"")</f>
        <v/>
      </c>
      <c r="C878" s="84" t="str">
        <f>IF($B878="","",IF(IFERROR(INDEX('RAID Log'!$1:$1048576,$B878,MATCH("Description",'RAID Log'!$1:$1,0)),"")="","",IFERROR(INDEX('RAID Log'!$1:$1048576,$B878,MATCH("Description",'RAID Log'!$1:$1,0)),"")))</f>
        <v/>
      </c>
      <c r="D878" s="84" t="str">
        <f>IF($B878="","",IF(IFERROR(INDEX('RAID Log'!$1:$1048576,$B878,MATCH("Impact/Effect of the RAID",'RAID Log'!$1:$1,0)),"")="","",IFERROR(INDEX('RAID Log'!$1:$1048576,$B878,MATCH("Impact/Effect of the RAID",'RAID Log'!$1:$1,0)),"")))</f>
        <v/>
      </c>
      <c r="E878" s="85" t="str">
        <f>IF($B878="","",IF(IFERROR(INDEX('RAID Log'!$1:$1048576,$B878,MATCH("Impact Area",'RAID Log'!$1:$1,0)),"")="","",IFERROR(INDEX('RAID Log'!$1:$1048576,$B878,MATCH("Impact Area",'RAID Log'!$1:$1,0)),"")))</f>
        <v/>
      </c>
      <c r="F878" s="85" t="str">
        <f>IF($B878="","",IF(IFERROR(INDEX('RAID Log'!$1:$1048576,$B878,MATCH("Impact Area",'RAID Log'!$1:$1,0)),"")="","",IFERROR(INDEX('RAID Log'!$1:$1048576,$B878,MATCH("Impact Area",'RAID Log'!$1:$1,0)),"")))</f>
        <v/>
      </c>
      <c r="G878" s="85" t="str">
        <f>IF($B878="","",IF(IFERROR(INDEX('RAID Log'!$1:$1048576,$B878,MATCH("Impact Rating",'RAID Log'!$1:$1,0)),"")="","",IFERROR(INDEX('RAID Log'!$1:$1048576,$B878,MATCH("Impact Rating",'RAID Log'!$1:$1,0)),"")))</f>
        <v/>
      </c>
      <c r="H878" s="85" t="str">
        <f>IF($B878="","",IF(IFERROR(INDEX('RAID Log'!$1:$1048576,$B878,MATCH("Initial Probability",'RAID Log'!$1:$1,0)),"")="","",IFERROR(INDEX('RAID Log'!$1:$1048576,$B878,MATCH("Initial Probability",'RAID Log'!$1:$1,0)),"")))</f>
        <v/>
      </c>
      <c r="I878" s="86" t="str">
        <f t="shared" si="39"/>
        <v/>
      </c>
      <c r="J878" s="85" t="str">
        <f t="shared" si="40"/>
        <v/>
      </c>
      <c r="K878" s="86" t="str">
        <f t="shared" si="41"/>
        <v/>
      </c>
      <c r="L878" s="85" t="str">
        <f>IF($B878="","",IF(IFERROR(INDEX('RAID Log'!$1:$1048576,$B878,MATCH("Status",'RAID Log'!$1:$1,0)),"")="","",IFERROR(INDEX('RAID Log'!$1:$1048576,$B878,MATCH("Status",'RAID Log'!$1:$1,0)),"")))</f>
        <v/>
      </c>
      <c r="M878" s="85" t="str">
        <f>IF($B878="","",IF(IFERROR(INDEX('RAID Log'!$1:$1048576,$B878,MATCH("RAID Owner",'RAID Log'!$1:$1,0)),"")="","",IFERROR(INDEX('RAID Log'!$1:$1048576,$B878,MATCH("RAID Owner",'RAID Log'!$1:$1,0)),"")))</f>
        <v/>
      </c>
      <c r="N878" s="87" t="str">
        <f>IF($B878="","",IF(IFERROR(INDEX('RAID Log'!$1:$1048576,$B878,MATCH("Date Raised",'RAID Log'!$1:$1,0)),"")="","",IFERROR(INDEX('RAID Log'!$1:$1048576,$B878,MATCH("Date Raised",'RAID Log'!$1:$1,0)),"")))</f>
        <v/>
      </c>
      <c r="O878" s="87" t="str">
        <f>IF($B878="","",IF(IFERROR(INDEX('RAID Log'!$1:$1048576,$B878,MATCH("Closed Date",'RAID Log'!$1:$1,0)),"")="","",IFERROR(INDEX('RAID Log'!$1:$1048576,$B878,MATCH("Closed Date",'RAID Log'!$1:$1,0)),"")))</f>
        <v/>
      </c>
      <c r="P878" s="85" t="str">
        <f>IF($B878="","",IF(IFERROR(INDEX('RAID Log'!$1:$1048576,$B878,MATCH("Mitigation Strategy",'RAID Log'!$1:$1,0)),"")="","",IFERROR(INDEX('RAID Log'!$1:$1048576,$B878,MATCH("Mitigation Strategy",'RAID Log'!$1:$1,0)),"")))</f>
        <v/>
      </c>
      <c r="Q878" s="88" t="str">
        <f>IF($B878="","",IF(IFERROR(INDEX('RAID Log'!$1:$1048576,$B878,MATCH("RAID Response/Plan",'RAID Log'!$1:$1,0)),"")="","",IFERROR(INDEX('RAID Log'!$1:$1048576,$B878,MATCH("RAID Response/Plan",'RAID Log'!$1:$1,0)),"")))</f>
        <v/>
      </c>
    </row>
    <row r="879" spans="1:17" ht="14.25" customHeight="1">
      <c r="A879" s="82" t="str">
        <f>IF($B879="","",IF(IFERROR(INDEX('RAID Log'!$1:$1048576,$B879,MATCH("RAID ID",'RAID Log'!$1:$1,0)),"")="","",IFERROR(INDEX('RAID Log'!$1:$1048576,$B879,MATCH("RAID ID",'RAID Log'!$1:$1,0)),"")))</f>
        <v/>
      </c>
      <c r="B879" s="83" t="str">
        <f>IFERROR(MATCH(ROW()-1,'RAID Log'!$S:$S,0),"")</f>
        <v/>
      </c>
      <c r="C879" s="84" t="str">
        <f>IF($B879="","",IF(IFERROR(INDEX('RAID Log'!$1:$1048576,$B879,MATCH("Description",'RAID Log'!$1:$1,0)),"")="","",IFERROR(INDEX('RAID Log'!$1:$1048576,$B879,MATCH("Description",'RAID Log'!$1:$1,0)),"")))</f>
        <v/>
      </c>
      <c r="D879" s="84" t="str">
        <f>IF($B879="","",IF(IFERROR(INDEX('RAID Log'!$1:$1048576,$B879,MATCH("Impact/Effect of the RAID",'RAID Log'!$1:$1,0)),"")="","",IFERROR(INDEX('RAID Log'!$1:$1048576,$B879,MATCH("Impact/Effect of the RAID",'RAID Log'!$1:$1,0)),"")))</f>
        <v/>
      </c>
      <c r="E879" s="85" t="str">
        <f>IF($B879="","",IF(IFERROR(INDEX('RAID Log'!$1:$1048576,$B879,MATCH("Impact Area",'RAID Log'!$1:$1,0)),"")="","",IFERROR(INDEX('RAID Log'!$1:$1048576,$B879,MATCH("Impact Area",'RAID Log'!$1:$1,0)),"")))</f>
        <v/>
      </c>
      <c r="F879" s="85" t="str">
        <f>IF($B879="","",IF(IFERROR(INDEX('RAID Log'!$1:$1048576,$B879,MATCH("Impact Area",'RAID Log'!$1:$1,0)),"")="","",IFERROR(INDEX('RAID Log'!$1:$1048576,$B879,MATCH("Impact Area",'RAID Log'!$1:$1,0)),"")))</f>
        <v/>
      </c>
      <c r="G879" s="85" t="str">
        <f>IF($B879="","",IF(IFERROR(INDEX('RAID Log'!$1:$1048576,$B879,MATCH("Impact Rating",'RAID Log'!$1:$1,0)),"")="","",IFERROR(INDEX('RAID Log'!$1:$1048576,$B879,MATCH("Impact Rating",'RAID Log'!$1:$1,0)),"")))</f>
        <v/>
      </c>
      <c r="H879" s="85" t="str">
        <f>IF($B879="","",IF(IFERROR(INDEX('RAID Log'!$1:$1048576,$B879,MATCH("Initial Probability",'RAID Log'!$1:$1,0)),"")="","",IFERROR(INDEX('RAID Log'!$1:$1048576,$B879,MATCH("Initial Probability",'RAID Log'!$1:$1,0)),"")))</f>
        <v/>
      </c>
      <c r="I879" s="86" t="str">
        <f t="shared" si="39"/>
        <v/>
      </c>
      <c r="J879" s="85" t="str">
        <f t="shared" si="40"/>
        <v/>
      </c>
      <c r="K879" s="86" t="str">
        <f t="shared" si="41"/>
        <v/>
      </c>
      <c r="L879" s="85" t="str">
        <f>IF($B879="","",IF(IFERROR(INDEX('RAID Log'!$1:$1048576,$B879,MATCH("Status",'RAID Log'!$1:$1,0)),"")="","",IFERROR(INDEX('RAID Log'!$1:$1048576,$B879,MATCH("Status",'RAID Log'!$1:$1,0)),"")))</f>
        <v/>
      </c>
      <c r="M879" s="85" t="str">
        <f>IF($B879="","",IF(IFERROR(INDEX('RAID Log'!$1:$1048576,$B879,MATCH("RAID Owner",'RAID Log'!$1:$1,0)),"")="","",IFERROR(INDEX('RAID Log'!$1:$1048576,$B879,MATCH("RAID Owner",'RAID Log'!$1:$1,0)),"")))</f>
        <v/>
      </c>
      <c r="N879" s="87" t="str">
        <f>IF($B879="","",IF(IFERROR(INDEX('RAID Log'!$1:$1048576,$B879,MATCH("Date Raised",'RAID Log'!$1:$1,0)),"")="","",IFERROR(INDEX('RAID Log'!$1:$1048576,$B879,MATCH("Date Raised",'RAID Log'!$1:$1,0)),"")))</f>
        <v/>
      </c>
      <c r="O879" s="87" t="str">
        <f>IF($B879="","",IF(IFERROR(INDEX('RAID Log'!$1:$1048576,$B879,MATCH("Closed Date",'RAID Log'!$1:$1,0)),"")="","",IFERROR(INDEX('RAID Log'!$1:$1048576,$B879,MATCH("Closed Date",'RAID Log'!$1:$1,0)),"")))</f>
        <v/>
      </c>
      <c r="P879" s="85" t="str">
        <f>IF($B879="","",IF(IFERROR(INDEX('RAID Log'!$1:$1048576,$B879,MATCH("Mitigation Strategy",'RAID Log'!$1:$1,0)),"")="","",IFERROR(INDEX('RAID Log'!$1:$1048576,$B879,MATCH("Mitigation Strategy",'RAID Log'!$1:$1,0)),"")))</f>
        <v/>
      </c>
      <c r="Q879" s="88" t="str">
        <f>IF($B879="","",IF(IFERROR(INDEX('RAID Log'!$1:$1048576,$B879,MATCH("RAID Response/Plan",'RAID Log'!$1:$1,0)),"")="","",IFERROR(INDEX('RAID Log'!$1:$1048576,$B879,MATCH("RAID Response/Plan",'RAID Log'!$1:$1,0)),"")))</f>
        <v/>
      </c>
    </row>
    <row r="880" spans="1:17" ht="14.25" customHeight="1">
      <c r="A880" s="82" t="str">
        <f>IF($B880="","",IF(IFERROR(INDEX('RAID Log'!$1:$1048576,$B880,MATCH("RAID ID",'RAID Log'!$1:$1,0)),"")="","",IFERROR(INDEX('RAID Log'!$1:$1048576,$B880,MATCH("RAID ID",'RAID Log'!$1:$1,0)),"")))</f>
        <v/>
      </c>
      <c r="B880" s="83" t="str">
        <f>IFERROR(MATCH(ROW()-1,'RAID Log'!$S:$S,0),"")</f>
        <v/>
      </c>
      <c r="C880" s="84" t="str">
        <f>IF($B880="","",IF(IFERROR(INDEX('RAID Log'!$1:$1048576,$B880,MATCH("Description",'RAID Log'!$1:$1,0)),"")="","",IFERROR(INDEX('RAID Log'!$1:$1048576,$B880,MATCH("Description",'RAID Log'!$1:$1,0)),"")))</f>
        <v/>
      </c>
      <c r="D880" s="84" t="str">
        <f>IF($B880="","",IF(IFERROR(INDEX('RAID Log'!$1:$1048576,$B880,MATCH("Impact/Effect of the RAID",'RAID Log'!$1:$1,0)),"")="","",IFERROR(INDEX('RAID Log'!$1:$1048576,$B880,MATCH("Impact/Effect of the RAID",'RAID Log'!$1:$1,0)),"")))</f>
        <v/>
      </c>
      <c r="E880" s="85" t="str">
        <f>IF($B880="","",IF(IFERROR(INDEX('RAID Log'!$1:$1048576,$B880,MATCH("Impact Area",'RAID Log'!$1:$1,0)),"")="","",IFERROR(INDEX('RAID Log'!$1:$1048576,$B880,MATCH("Impact Area",'RAID Log'!$1:$1,0)),"")))</f>
        <v/>
      </c>
      <c r="F880" s="85" t="str">
        <f>IF($B880="","",IF(IFERROR(INDEX('RAID Log'!$1:$1048576,$B880,MATCH("Impact Area",'RAID Log'!$1:$1,0)),"")="","",IFERROR(INDEX('RAID Log'!$1:$1048576,$B880,MATCH("Impact Area",'RAID Log'!$1:$1,0)),"")))</f>
        <v/>
      </c>
      <c r="G880" s="85" t="str">
        <f>IF($B880="","",IF(IFERROR(INDEX('RAID Log'!$1:$1048576,$B880,MATCH("Impact Rating",'RAID Log'!$1:$1,0)),"")="","",IFERROR(INDEX('RAID Log'!$1:$1048576,$B880,MATCH("Impact Rating",'RAID Log'!$1:$1,0)),"")))</f>
        <v/>
      </c>
      <c r="H880" s="85" t="str">
        <f>IF($B880="","",IF(IFERROR(INDEX('RAID Log'!$1:$1048576,$B880,MATCH("Initial Probability",'RAID Log'!$1:$1,0)),"")="","",IFERROR(INDEX('RAID Log'!$1:$1048576,$B880,MATCH("Initial Probability",'RAID Log'!$1:$1,0)),"")))</f>
        <v/>
      </c>
      <c r="I880" s="86" t="str">
        <f t="shared" si="39"/>
        <v/>
      </c>
      <c r="J880" s="85" t="str">
        <f t="shared" si="40"/>
        <v/>
      </c>
      <c r="K880" s="86" t="str">
        <f t="shared" si="41"/>
        <v/>
      </c>
      <c r="L880" s="85" t="str">
        <f>IF($B880="","",IF(IFERROR(INDEX('RAID Log'!$1:$1048576,$B880,MATCH("Status",'RAID Log'!$1:$1,0)),"")="","",IFERROR(INDEX('RAID Log'!$1:$1048576,$B880,MATCH("Status",'RAID Log'!$1:$1,0)),"")))</f>
        <v/>
      </c>
      <c r="M880" s="85" t="str">
        <f>IF($B880="","",IF(IFERROR(INDEX('RAID Log'!$1:$1048576,$B880,MATCH("RAID Owner",'RAID Log'!$1:$1,0)),"")="","",IFERROR(INDEX('RAID Log'!$1:$1048576,$B880,MATCH("RAID Owner",'RAID Log'!$1:$1,0)),"")))</f>
        <v/>
      </c>
      <c r="N880" s="87" t="str">
        <f>IF($B880="","",IF(IFERROR(INDEX('RAID Log'!$1:$1048576,$B880,MATCH("Date Raised",'RAID Log'!$1:$1,0)),"")="","",IFERROR(INDEX('RAID Log'!$1:$1048576,$B880,MATCH("Date Raised",'RAID Log'!$1:$1,0)),"")))</f>
        <v/>
      </c>
      <c r="O880" s="87" t="str">
        <f>IF($B880="","",IF(IFERROR(INDEX('RAID Log'!$1:$1048576,$B880,MATCH("Closed Date",'RAID Log'!$1:$1,0)),"")="","",IFERROR(INDEX('RAID Log'!$1:$1048576,$B880,MATCH("Closed Date",'RAID Log'!$1:$1,0)),"")))</f>
        <v/>
      </c>
      <c r="P880" s="85" t="str">
        <f>IF($B880="","",IF(IFERROR(INDEX('RAID Log'!$1:$1048576,$B880,MATCH("Mitigation Strategy",'RAID Log'!$1:$1,0)),"")="","",IFERROR(INDEX('RAID Log'!$1:$1048576,$B880,MATCH("Mitigation Strategy",'RAID Log'!$1:$1,0)),"")))</f>
        <v/>
      </c>
      <c r="Q880" s="88" t="str">
        <f>IF($B880="","",IF(IFERROR(INDEX('RAID Log'!$1:$1048576,$B880,MATCH("RAID Response/Plan",'RAID Log'!$1:$1,0)),"")="","",IFERROR(INDEX('RAID Log'!$1:$1048576,$B880,MATCH("RAID Response/Plan",'RAID Log'!$1:$1,0)),"")))</f>
        <v/>
      </c>
    </row>
  </sheetData>
  <conditionalFormatting sqref="I2:I880">
    <cfRule type="cellIs" dxfId="3" priority="2" operator="between">
      <formula>0</formula>
      <formula>6</formula>
    </cfRule>
    <cfRule type="cellIs" dxfId="2" priority="3" operator="between">
      <formula>7</formula>
      <formula>12</formula>
    </cfRule>
    <cfRule type="cellIs" dxfId="1" priority="4" operator="between">
      <formula>13</formula>
      <formula>19</formula>
    </cfRule>
    <cfRule type="cellIs" dxfId="0" priority="5" operator="between">
      <formula>20</formula>
      <formula>25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80"/>
  <sheetViews>
    <sheetView tabSelected="1" topLeftCell="A11" zoomScaleNormal="100" workbookViewId="0">
      <selection activeCell="A26" sqref="A26:P26"/>
    </sheetView>
  </sheetViews>
  <sheetFormatPr defaultColWidth="8.6640625" defaultRowHeight="12.75" customHeight="1"/>
  <cols>
    <col min="1" max="1" width="9.33203125" customWidth="1"/>
    <col min="2" max="2" width="11.77734375" customWidth="1"/>
    <col min="3" max="4" width="19.109375" customWidth="1"/>
    <col min="5" max="5" width="24" customWidth="1"/>
    <col min="6" max="7" width="39.33203125" customWidth="1"/>
    <col min="8" max="8" width="13.109375" customWidth="1"/>
    <col min="9" max="9" width="15.33203125" customWidth="1"/>
    <col min="10" max="10" width="15.88671875" customWidth="1"/>
    <col min="11" max="11" width="12.33203125" customWidth="1"/>
    <col min="12" max="12" width="10" customWidth="1"/>
    <col min="13" max="13" width="12.77734375" customWidth="1"/>
    <col min="15" max="15" width="12" customWidth="1"/>
    <col min="16" max="16" width="13.88671875" customWidth="1"/>
    <col min="17" max="17" width="13.21875" customWidth="1"/>
    <col min="18" max="18" width="25" customWidth="1"/>
    <col min="19" max="19" width="13" hidden="1" customWidth="1"/>
  </cols>
  <sheetData>
    <row r="1" spans="1:19" ht="12.75" customHeight="1">
      <c r="A1" t="s">
        <v>61</v>
      </c>
      <c r="B1" t="s">
        <v>62</v>
      </c>
      <c r="C1" t="s">
        <v>63</v>
      </c>
      <c r="D1" t="s">
        <v>48</v>
      </c>
      <c r="E1" t="s">
        <v>64</v>
      </c>
      <c r="F1" t="s">
        <v>65</v>
      </c>
      <c r="G1" t="s">
        <v>66</v>
      </c>
      <c r="H1" t="s">
        <v>57</v>
      </c>
      <c r="I1" t="s">
        <v>67</v>
      </c>
      <c r="J1" t="s">
        <v>50</v>
      </c>
      <c r="K1" t="s">
        <v>68</v>
      </c>
      <c r="L1" t="s">
        <v>69</v>
      </c>
      <c r="M1" t="s">
        <v>70</v>
      </c>
      <c r="N1" t="s">
        <v>55</v>
      </c>
      <c r="O1" t="s">
        <v>59</v>
      </c>
      <c r="P1" t="s">
        <v>71</v>
      </c>
      <c r="Q1" t="s">
        <v>58</v>
      </c>
      <c r="R1" t="s">
        <v>72</v>
      </c>
      <c r="S1" t="s">
        <v>73</v>
      </c>
    </row>
    <row r="2" spans="1:19" ht="13.5" customHeight="1">
      <c r="A2">
        <v>1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s="93">
        <v>45992</v>
      </c>
      <c r="I2" t="s">
        <v>80</v>
      </c>
      <c r="J2" t="s">
        <v>32</v>
      </c>
      <c r="K2" t="s">
        <v>81</v>
      </c>
      <c r="L2" t="s">
        <v>31</v>
      </c>
      <c r="N2" t="s">
        <v>41</v>
      </c>
      <c r="O2" t="s">
        <v>16</v>
      </c>
      <c r="P2" s="93">
        <f ca="1">TODAY()+1</f>
        <v>46095</v>
      </c>
      <c r="Q2" s="93"/>
      <c r="S2">
        <f>IF($B2="Risk",COUNTIF($B$2:B2,"Risk"),"")</f>
        <v>1</v>
      </c>
    </row>
    <row r="3" spans="1:19" ht="13.5" customHeight="1">
      <c r="A3">
        <v>2</v>
      </c>
      <c r="B3" t="s">
        <v>82</v>
      </c>
      <c r="C3" t="s">
        <v>76</v>
      </c>
      <c r="D3" t="s">
        <v>83</v>
      </c>
      <c r="E3" t="s">
        <v>84</v>
      </c>
      <c r="F3" t="s">
        <v>85</v>
      </c>
      <c r="G3" t="s">
        <v>86</v>
      </c>
      <c r="H3" s="93">
        <v>46025</v>
      </c>
      <c r="I3" t="s">
        <v>87</v>
      </c>
      <c r="J3" t="s">
        <v>88</v>
      </c>
      <c r="K3" t="s">
        <v>31</v>
      </c>
      <c r="L3" t="s">
        <v>89</v>
      </c>
      <c r="N3" t="s">
        <v>40</v>
      </c>
      <c r="O3" t="s">
        <v>14</v>
      </c>
      <c r="P3" s="93">
        <f ca="1">TODAY()+3</f>
        <v>46097</v>
      </c>
      <c r="Q3" s="93"/>
      <c r="S3" t="str">
        <f>IF($B3="Risk",COUNTIF($B$2:B3,"Risk"),"")</f>
        <v/>
      </c>
    </row>
    <row r="4" spans="1:19" ht="13.5" customHeight="1">
      <c r="A4">
        <v>3</v>
      </c>
      <c r="B4" t="s">
        <v>90</v>
      </c>
      <c r="C4" t="s">
        <v>91</v>
      </c>
      <c r="D4" t="s">
        <v>92</v>
      </c>
      <c r="E4" t="s">
        <v>93</v>
      </c>
      <c r="F4" t="s">
        <v>94</v>
      </c>
      <c r="G4" t="s">
        <v>95</v>
      </c>
      <c r="H4" s="93">
        <v>46032</v>
      </c>
      <c r="I4" t="s">
        <v>96</v>
      </c>
      <c r="J4" t="s">
        <v>97</v>
      </c>
      <c r="K4" t="s">
        <v>98</v>
      </c>
      <c r="L4" t="s">
        <v>89</v>
      </c>
      <c r="N4" t="s">
        <v>39</v>
      </c>
      <c r="O4" t="s">
        <v>45</v>
      </c>
      <c r="P4" s="93">
        <f ca="1">TODAY()+3</f>
        <v>46097</v>
      </c>
      <c r="Q4" s="93"/>
      <c r="S4" t="str">
        <f>IF($B4="Risk",COUNTIF($B$2:B4,"Risk"),"")</f>
        <v/>
      </c>
    </row>
    <row r="5" spans="1:19" ht="13.5" customHeight="1">
      <c r="A5">
        <v>4</v>
      </c>
      <c r="B5" t="s">
        <v>74</v>
      </c>
      <c r="C5" t="s">
        <v>99</v>
      </c>
      <c r="D5" t="s">
        <v>99</v>
      </c>
      <c r="E5" t="s">
        <v>100</v>
      </c>
      <c r="F5" t="s">
        <v>101</v>
      </c>
      <c r="G5" t="s">
        <v>102</v>
      </c>
      <c r="H5" s="93">
        <v>46039</v>
      </c>
      <c r="I5" t="s">
        <v>103</v>
      </c>
      <c r="J5" t="s">
        <v>104</v>
      </c>
      <c r="K5" t="s">
        <v>98</v>
      </c>
      <c r="L5" t="s">
        <v>30</v>
      </c>
      <c r="N5" t="s">
        <v>38</v>
      </c>
      <c r="O5" t="s">
        <v>18</v>
      </c>
      <c r="P5" s="93">
        <f ca="1">TODAY()+4</f>
        <v>46098</v>
      </c>
      <c r="Q5" s="93">
        <f>'RAID Log'!$H5+10</f>
        <v>46049</v>
      </c>
      <c r="S5">
        <f>IF($B5="Risk",COUNTIF($B$2:B5,"Risk"),"")</f>
        <v>2</v>
      </c>
    </row>
    <row r="6" spans="1:19" ht="13.5" customHeight="1">
      <c r="A6">
        <v>5</v>
      </c>
      <c r="B6" t="s">
        <v>105</v>
      </c>
      <c r="C6" t="s">
        <v>106</v>
      </c>
      <c r="D6" t="s">
        <v>92</v>
      </c>
      <c r="E6" t="s">
        <v>107</v>
      </c>
      <c r="F6" t="s">
        <v>108</v>
      </c>
      <c r="G6" t="s">
        <v>109</v>
      </c>
      <c r="H6" s="93">
        <v>46046</v>
      </c>
      <c r="I6" t="s">
        <v>110</v>
      </c>
      <c r="J6" t="s">
        <v>111</v>
      </c>
      <c r="K6" t="s">
        <v>81</v>
      </c>
      <c r="L6" t="s">
        <v>112</v>
      </c>
      <c r="N6" t="s">
        <v>41</v>
      </c>
      <c r="O6" t="s">
        <v>16</v>
      </c>
      <c r="P6" s="93">
        <f ca="1">TODAY()+3</f>
        <v>46097</v>
      </c>
      <c r="Q6" s="93"/>
      <c r="S6" t="str">
        <f>IF($B6="Risk",COUNTIF($B$2:B6,"Risk"),"")</f>
        <v/>
      </c>
    </row>
    <row r="7" spans="1:19" ht="13.5" customHeight="1">
      <c r="A7">
        <v>6</v>
      </c>
      <c r="B7" t="s">
        <v>74</v>
      </c>
      <c r="C7" t="s">
        <v>91</v>
      </c>
      <c r="D7" t="s">
        <v>99</v>
      </c>
      <c r="E7" t="s">
        <v>113</v>
      </c>
      <c r="F7" t="s">
        <v>114</v>
      </c>
      <c r="G7" t="s">
        <v>115</v>
      </c>
      <c r="H7" s="93">
        <v>46053</v>
      </c>
      <c r="I7" t="s">
        <v>116</v>
      </c>
      <c r="J7" t="s">
        <v>32</v>
      </c>
      <c r="K7" t="s">
        <v>117</v>
      </c>
      <c r="L7" t="s">
        <v>31</v>
      </c>
      <c r="N7" t="s">
        <v>40</v>
      </c>
      <c r="O7" t="s">
        <v>45</v>
      </c>
      <c r="P7" s="93">
        <f ca="1">TODAY()+3</f>
        <v>46097</v>
      </c>
      <c r="Q7" s="93"/>
      <c r="S7">
        <f>IF($B7="Risk",COUNTIF($B$2:B7,"Risk"),"")</f>
        <v>3</v>
      </c>
    </row>
    <row r="8" spans="1:19" ht="13.5" customHeight="1">
      <c r="A8">
        <v>7</v>
      </c>
      <c r="B8" t="s">
        <v>82</v>
      </c>
      <c r="C8" t="s">
        <v>99</v>
      </c>
      <c r="D8" t="s">
        <v>76</v>
      </c>
      <c r="E8" t="s">
        <v>118</v>
      </c>
      <c r="F8" t="s">
        <v>119</v>
      </c>
      <c r="G8" t="s">
        <v>120</v>
      </c>
      <c r="H8" s="93">
        <v>46060</v>
      </c>
      <c r="I8" t="s">
        <v>121</v>
      </c>
      <c r="J8" t="s">
        <v>88</v>
      </c>
      <c r="K8" t="s">
        <v>81</v>
      </c>
      <c r="L8" t="s">
        <v>89</v>
      </c>
      <c r="N8" t="s">
        <v>41</v>
      </c>
      <c r="O8" t="s">
        <v>14</v>
      </c>
      <c r="P8" s="93">
        <f ca="1">TODAY()+7</f>
        <v>46101</v>
      </c>
      <c r="Q8" s="93"/>
      <c r="S8" t="str">
        <f>IF($B8="Risk",COUNTIF($B$2:B8,"Risk"),"")</f>
        <v/>
      </c>
    </row>
    <row r="9" spans="1:19" ht="13.5" customHeight="1">
      <c r="A9">
        <v>8</v>
      </c>
      <c r="B9" t="s">
        <v>90</v>
      </c>
      <c r="C9" t="s">
        <v>106</v>
      </c>
      <c r="D9" t="s">
        <v>83</v>
      </c>
      <c r="E9" t="s">
        <v>122</v>
      </c>
      <c r="F9" t="s">
        <v>123</v>
      </c>
      <c r="G9" t="s">
        <v>124</v>
      </c>
      <c r="H9" s="93">
        <v>46067</v>
      </c>
      <c r="I9" t="s">
        <v>125</v>
      </c>
      <c r="J9" t="s">
        <v>97</v>
      </c>
      <c r="K9" t="s">
        <v>31</v>
      </c>
      <c r="L9" t="s">
        <v>89</v>
      </c>
      <c r="N9" t="s">
        <v>40</v>
      </c>
      <c r="O9" t="s">
        <v>12</v>
      </c>
      <c r="P9" s="93">
        <f ca="1">TODAY()+3</f>
        <v>46097</v>
      </c>
      <c r="Q9" s="93"/>
      <c r="S9" t="str">
        <f>IF($B9="Risk",COUNTIF($B$2:B9,"Risk"),"")</f>
        <v/>
      </c>
    </row>
    <row r="10" spans="1:19" ht="13.5" customHeight="1">
      <c r="A10">
        <v>9</v>
      </c>
      <c r="B10" t="s">
        <v>74</v>
      </c>
      <c r="C10" t="s">
        <v>126</v>
      </c>
      <c r="D10" t="s">
        <v>92</v>
      </c>
      <c r="E10" t="s">
        <v>127</v>
      </c>
      <c r="F10" t="s">
        <v>128</v>
      </c>
      <c r="G10" t="s">
        <v>129</v>
      </c>
      <c r="H10" s="93">
        <v>46074</v>
      </c>
      <c r="I10" t="s">
        <v>130</v>
      </c>
      <c r="J10" t="s">
        <v>104</v>
      </c>
      <c r="K10" t="s">
        <v>98</v>
      </c>
      <c r="L10" t="s">
        <v>30</v>
      </c>
      <c r="N10" t="s">
        <v>39</v>
      </c>
      <c r="O10" t="s">
        <v>12</v>
      </c>
      <c r="P10" s="93">
        <f ca="1">TODAY()</f>
        <v>46094</v>
      </c>
      <c r="Q10" s="93"/>
      <c r="S10">
        <f>IF($B10="Risk",COUNTIF($B$2:B10,"Risk"),"")</f>
        <v>4</v>
      </c>
    </row>
    <row r="11" spans="1:19" ht="13.5" customHeight="1">
      <c r="A11">
        <v>10</v>
      </c>
      <c r="B11" t="s">
        <v>105</v>
      </c>
      <c r="C11" t="s">
        <v>131</v>
      </c>
      <c r="D11" t="s">
        <v>99</v>
      </c>
      <c r="E11" t="s">
        <v>132</v>
      </c>
      <c r="F11" t="s">
        <v>133</v>
      </c>
      <c r="G11" t="s">
        <v>134</v>
      </c>
      <c r="H11" s="93">
        <v>46081</v>
      </c>
      <c r="I11" t="s">
        <v>135</v>
      </c>
      <c r="J11" t="s">
        <v>111</v>
      </c>
      <c r="K11" t="s">
        <v>98</v>
      </c>
      <c r="L11" t="s">
        <v>112</v>
      </c>
      <c r="N11" t="s">
        <v>39</v>
      </c>
      <c r="O11" t="s">
        <v>18</v>
      </c>
      <c r="P11" s="93">
        <f ca="1">TODAY()+13</f>
        <v>46107</v>
      </c>
      <c r="Q11" s="93">
        <f>'RAID Log'!$H11+10</f>
        <v>46091</v>
      </c>
      <c r="S11" t="str">
        <f>IF($B11="Risk",COUNTIF($B$2:B11,"Risk"),"")</f>
        <v/>
      </c>
    </row>
    <row r="12" spans="1:19" ht="13.5" customHeight="1">
      <c r="A12">
        <v>11</v>
      </c>
      <c r="B12" t="s">
        <v>74</v>
      </c>
      <c r="C12" t="s">
        <v>131</v>
      </c>
      <c r="D12" t="s">
        <v>76</v>
      </c>
      <c r="E12" t="s">
        <v>136</v>
      </c>
      <c r="F12" t="s">
        <v>137</v>
      </c>
      <c r="G12" t="s">
        <v>138</v>
      </c>
      <c r="H12" s="93">
        <v>46046</v>
      </c>
      <c r="I12" t="s">
        <v>139</v>
      </c>
      <c r="J12" t="s">
        <v>32</v>
      </c>
      <c r="K12" t="s">
        <v>81</v>
      </c>
      <c r="L12" t="s">
        <v>31</v>
      </c>
      <c r="N12" t="s">
        <v>39</v>
      </c>
      <c r="O12" t="s">
        <v>16</v>
      </c>
      <c r="P12" s="93">
        <f ca="1">TODAY()+23</f>
        <v>46117</v>
      </c>
      <c r="Q12" s="93"/>
      <c r="S12">
        <f>IF($B12="Risk",COUNTIF($B$2:B12,"Risk"),"")</f>
        <v>5</v>
      </c>
    </row>
    <row r="13" spans="1:19" ht="13.5" customHeight="1">
      <c r="A13">
        <v>12</v>
      </c>
      <c r="B13" t="s">
        <v>82</v>
      </c>
      <c r="C13" t="s">
        <v>140</v>
      </c>
      <c r="D13" t="s">
        <v>83</v>
      </c>
      <c r="E13" t="s">
        <v>141</v>
      </c>
      <c r="F13" t="s">
        <v>142</v>
      </c>
      <c r="G13" t="s">
        <v>143</v>
      </c>
      <c r="H13" s="93">
        <v>46053</v>
      </c>
      <c r="I13" t="s">
        <v>144</v>
      </c>
      <c r="J13" t="s">
        <v>88</v>
      </c>
      <c r="K13" t="s">
        <v>117</v>
      </c>
      <c r="L13" t="s">
        <v>89</v>
      </c>
      <c r="N13" t="s">
        <v>38</v>
      </c>
      <c r="O13" t="s">
        <v>18</v>
      </c>
      <c r="P13" s="93">
        <f ca="1">TODAY()+3</f>
        <v>46097</v>
      </c>
      <c r="Q13" s="93">
        <f>'RAID Log'!$H13+10</f>
        <v>46063</v>
      </c>
      <c r="S13" t="str">
        <f>IF($B13="Risk",COUNTIF($B$2:B13,"Risk"),"")</f>
        <v/>
      </c>
    </row>
    <row r="14" spans="1:19" ht="13.5" customHeight="1">
      <c r="A14">
        <v>13</v>
      </c>
      <c r="B14" t="s">
        <v>90</v>
      </c>
      <c r="C14" t="s">
        <v>106</v>
      </c>
      <c r="D14" t="s">
        <v>75</v>
      </c>
      <c r="E14" t="s">
        <v>145</v>
      </c>
      <c r="F14" t="s">
        <v>146</v>
      </c>
      <c r="G14" t="s">
        <v>147</v>
      </c>
      <c r="H14" s="93">
        <v>46060</v>
      </c>
      <c r="I14" t="s">
        <v>87</v>
      </c>
      <c r="J14" t="s">
        <v>97</v>
      </c>
      <c r="K14" t="s">
        <v>31</v>
      </c>
      <c r="L14" t="s">
        <v>89</v>
      </c>
      <c r="N14" t="s">
        <v>41</v>
      </c>
      <c r="O14" t="s">
        <v>14</v>
      </c>
      <c r="P14" s="93">
        <f ca="1">TODAY()+3</f>
        <v>46097</v>
      </c>
      <c r="Q14" s="93"/>
      <c r="S14" t="str">
        <f>IF($B14="Risk",COUNTIF($B$2:B14,"Risk"),"")</f>
        <v/>
      </c>
    </row>
    <row r="15" spans="1:19" ht="13.5" customHeight="1">
      <c r="A15">
        <v>14</v>
      </c>
      <c r="B15" t="s">
        <v>74</v>
      </c>
      <c r="C15" t="s">
        <v>91</v>
      </c>
      <c r="D15" t="s">
        <v>83</v>
      </c>
      <c r="E15" t="s">
        <v>148</v>
      </c>
      <c r="F15" t="s">
        <v>149</v>
      </c>
      <c r="G15" t="s">
        <v>150</v>
      </c>
      <c r="H15" s="93">
        <v>46067</v>
      </c>
      <c r="I15" t="s">
        <v>96</v>
      </c>
      <c r="J15" t="s">
        <v>104</v>
      </c>
      <c r="K15" t="s">
        <v>81</v>
      </c>
      <c r="L15" t="s">
        <v>30</v>
      </c>
      <c r="N15" t="s">
        <v>40</v>
      </c>
      <c r="O15" t="s">
        <v>14</v>
      </c>
      <c r="P15" s="93">
        <f ca="1">TODAY()+10</f>
        <v>46104</v>
      </c>
      <c r="Q15" s="93"/>
      <c r="S15">
        <f>IF($B15="Risk",COUNTIF($B$2:B15,"Risk"),"")</f>
        <v>6</v>
      </c>
    </row>
    <row r="16" spans="1:19" ht="13.5" customHeight="1">
      <c r="A16">
        <v>15</v>
      </c>
      <c r="B16" t="s">
        <v>105</v>
      </c>
      <c r="C16" t="s">
        <v>140</v>
      </c>
      <c r="D16" t="s">
        <v>75</v>
      </c>
      <c r="E16" t="s">
        <v>151</v>
      </c>
      <c r="F16" t="s">
        <v>152</v>
      </c>
      <c r="G16" t="s">
        <v>153</v>
      </c>
      <c r="H16" s="93">
        <v>46074</v>
      </c>
      <c r="I16" t="s">
        <v>103</v>
      </c>
      <c r="J16" t="s">
        <v>111</v>
      </c>
      <c r="K16" t="s">
        <v>117</v>
      </c>
      <c r="L16" t="s">
        <v>112</v>
      </c>
      <c r="N16" t="s">
        <v>38</v>
      </c>
      <c r="O16" t="s">
        <v>18</v>
      </c>
      <c r="P16" s="93">
        <f ca="1">TODAY()+3</f>
        <v>46097</v>
      </c>
      <c r="Q16" s="93">
        <f>'RAID Log'!$H16+10</f>
        <v>46084</v>
      </c>
      <c r="S16" t="str">
        <f>IF($B16="Risk",COUNTIF($B$2:B16,"Risk"),"")</f>
        <v/>
      </c>
    </row>
    <row r="17" spans="1:19" ht="13.5" customHeight="1">
      <c r="A17">
        <v>16</v>
      </c>
      <c r="B17" t="s">
        <v>90</v>
      </c>
      <c r="C17" t="s">
        <v>91</v>
      </c>
      <c r="D17" t="s">
        <v>76</v>
      </c>
      <c r="E17" t="s">
        <v>154</v>
      </c>
      <c r="F17" t="s">
        <v>155</v>
      </c>
      <c r="G17" t="s">
        <v>156</v>
      </c>
      <c r="H17" s="93">
        <v>46081</v>
      </c>
      <c r="I17" t="s">
        <v>157</v>
      </c>
      <c r="J17" t="s">
        <v>97</v>
      </c>
      <c r="K17" t="s">
        <v>98</v>
      </c>
      <c r="L17" t="s">
        <v>31</v>
      </c>
      <c r="N17" t="s">
        <v>39</v>
      </c>
      <c r="O17" t="s">
        <v>18</v>
      </c>
      <c r="P17" s="93">
        <f ca="1">TODAY()+15</f>
        <v>46109</v>
      </c>
      <c r="Q17" s="93">
        <f>'RAID Log'!$H17+10</f>
        <v>46091</v>
      </c>
      <c r="S17" t="str">
        <f>IF($B17="Risk",COUNTIF($B$2:B17,"Risk"),"")</f>
        <v/>
      </c>
    </row>
    <row r="18" spans="1:19" ht="12.75" customHeight="1">
      <c r="A18">
        <v>17</v>
      </c>
      <c r="B18" t="s">
        <v>82</v>
      </c>
      <c r="C18" t="s">
        <v>140</v>
      </c>
      <c r="D18" t="s">
        <v>83</v>
      </c>
      <c r="E18" t="s">
        <v>158</v>
      </c>
      <c r="F18" t="s">
        <v>159</v>
      </c>
      <c r="G18" t="s">
        <v>160</v>
      </c>
      <c r="H18" s="93">
        <v>46067</v>
      </c>
      <c r="I18" t="s">
        <v>135</v>
      </c>
      <c r="J18" t="s">
        <v>88</v>
      </c>
      <c r="K18" t="s">
        <v>81</v>
      </c>
      <c r="L18" t="s">
        <v>89</v>
      </c>
      <c r="N18" t="s">
        <v>40</v>
      </c>
      <c r="O18" t="s">
        <v>14</v>
      </c>
      <c r="P18" s="93">
        <f ca="1">TODAY()+3</f>
        <v>46097</v>
      </c>
      <c r="S18" t="str">
        <f>IF($B18="Risk",COUNTIF($B$2:B18,"Risk"),"")</f>
        <v/>
      </c>
    </row>
    <row r="19" spans="1:19" ht="12.75" customHeight="1">
      <c r="B19" t="s">
        <v>90</v>
      </c>
      <c r="C19" t="s">
        <v>106</v>
      </c>
      <c r="D19" t="s">
        <v>75</v>
      </c>
      <c r="E19" t="s">
        <v>161</v>
      </c>
      <c r="F19" t="s">
        <v>162</v>
      </c>
      <c r="G19" t="s">
        <v>163</v>
      </c>
      <c r="H19" s="93">
        <v>46074</v>
      </c>
      <c r="I19" t="s">
        <v>139</v>
      </c>
      <c r="J19" t="s">
        <v>32</v>
      </c>
      <c r="K19" t="s">
        <v>31</v>
      </c>
      <c r="L19" t="s">
        <v>89</v>
      </c>
      <c r="N19" t="s">
        <v>39</v>
      </c>
      <c r="O19" t="s">
        <v>14</v>
      </c>
      <c r="P19" s="93">
        <f ca="1">TODAY()+10</f>
        <v>46104</v>
      </c>
      <c r="S19" t="str">
        <f>IF($B19="Risk",COUNTIF($B$2:B19,"Risk"),"")</f>
        <v/>
      </c>
    </row>
    <row r="20" spans="1:19" ht="12.75" customHeight="1">
      <c r="B20" t="s">
        <v>74</v>
      </c>
      <c r="C20" t="s">
        <v>91</v>
      </c>
      <c r="D20" t="s">
        <v>83</v>
      </c>
      <c r="E20" t="s">
        <v>164</v>
      </c>
      <c r="F20" t="s">
        <v>165</v>
      </c>
      <c r="G20" t="s">
        <v>166</v>
      </c>
      <c r="H20" s="93">
        <v>46081</v>
      </c>
      <c r="I20" t="s">
        <v>125</v>
      </c>
      <c r="J20" t="s">
        <v>111</v>
      </c>
      <c r="K20" t="s">
        <v>98</v>
      </c>
      <c r="L20" t="s">
        <v>30</v>
      </c>
      <c r="N20" t="s">
        <v>40</v>
      </c>
      <c r="O20" t="s">
        <v>18</v>
      </c>
      <c r="P20" s="93">
        <f ca="1">TODAY()+3</f>
        <v>46097</v>
      </c>
      <c r="S20">
        <f>IF($B20="Risk",COUNTIF($B$2:B20,"Risk"),"")</f>
        <v>7</v>
      </c>
    </row>
    <row r="21" spans="1:19" ht="12.75" customHeight="1">
      <c r="B21" t="s">
        <v>105</v>
      </c>
      <c r="C21" t="s">
        <v>140</v>
      </c>
      <c r="D21" t="s">
        <v>75</v>
      </c>
      <c r="E21" t="s">
        <v>167</v>
      </c>
      <c r="F21" t="s">
        <v>168</v>
      </c>
      <c r="G21" t="s">
        <v>169</v>
      </c>
      <c r="H21" s="93">
        <v>46046</v>
      </c>
      <c r="I21" t="s">
        <v>130</v>
      </c>
      <c r="J21" t="s">
        <v>97</v>
      </c>
      <c r="K21" t="s">
        <v>98</v>
      </c>
      <c r="L21" t="s">
        <v>112</v>
      </c>
      <c r="N21" t="s">
        <v>38</v>
      </c>
      <c r="O21" t="s">
        <v>18</v>
      </c>
      <c r="P21" s="93">
        <f ca="1">TODAY()+15</f>
        <v>46109</v>
      </c>
      <c r="S21" t="str">
        <f>IF($B21="Risk",COUNTIF($B$2:B21,"Risk"),"")</f>
        <v/>
      </c>
    </row>
    <row r="22" spans="1:19" ht="12.75" customHeight="1">
      <c r="A22">
        <v>17</v>
      </c>
      <c r="B22" t="s">
        <v>82</v>
      </c>
      <c r="C22" t="s">
        <v>140</v>
      </c>
      <c r="D22" t="s">
        <v>83</v>
      </c>
      <c r="E22" t="s">
        <v>158</v>
      </c>
      <c r="F22" t="s">
        <v>159</v>
      </c>
      <c r="G22" t="s">
        <v>160</v>
      </c>
      <c r="H22" s="93">
        <v>46067</v>
      </c>
      <c r="I22" t="s">
        <v>135</v>
      </c>
      <c r="J22" t="s">
        <v>88</v>
      </c>
      <c r="K22" t="s">
        <v>81</v>
      </c>
      <c r="L22" t="s">
        <v>89</v>
      </c>
      <c r="N22" t="s">
        <v>40</v>
      </c>
      <c r="O22" t="s">
        <v>14</v>
      </c>
      <c r="P22" s="93">
        <f ca="1">TODAY()+3</f>
        <v>46097</v>
      </c>
      <c r="S22" t="str">
        <f>IF($B22="Risk",COUNTIF($B$2:B22,"Risk"),"")</f>
        <v/>
      </c>
    </row>
    <row r="23" spans="1:19" ht="12.75" customHeight="1">
      <c r="A23">
        <v>17</v>
      </c>
      <c r="B23" t="s">
        <v>82</v>
      </c>
      <c r="C23" t="s">
        <v>140</v>
      </c>
      <c r="D23" t="s">
        <v>83</v>
      </c>
      <c r="E23" t="s">
        <v>158</v>
      </c>
      <c r="F23" t="s">
        <v>159</v>
      </c>
      <c r="G23" t="s">
        <v>160</v>
      </c>
      <c r="H23" s="93">
        <v>46067</v>
      </c>
      <c r="I23" t="s">
        <v>135</v>
      </c>
      <c r="J23" t="s">
        <v>88</v>
      </c>
      <c r="K23" t="s">
        <v>81</v>
      </c>
      <c r="L23" t="s">
        <v>89</v>
      </c>
      <c r="N23" t="s">
        <v>40</v>
      </c>
      <c r="O23" t="s">
        <v>14</v>
      </c>
      <c r="P23" s="93">
        <f ca="1">TODAY()+3</f>
        <v>46097</v>
      </c>
      <c r="S23" t="str">
        <f>IF($B23="Risk",COUNTIF($B$2:B23,"Risk"),"")</f>
        <v/>
      </c>
    </row>
    <row r="24" spans="1:19" ht="12.75" customHeight="1">
      <c r="A24">
        <v>17</v>
      </c>
      <c r="B24" t="s">
        <v>82</v>
      </c>
      <c r="C24" t="s">
        <v>140</v>
      </c>
      <c r="D24" t="s">
        <v>83</v>
      </c>
      <c r="E24" t="s">
        <v>158</v>
      </c>
      <c r="F24" t="s">
        <v>159</v>
      </c>
      <c r="G24" t="s">
        <v>160</v>
      </c>
      <c r="H24" s="93">
        <v>46067</v>
      </c>
      <c r="I24" t="s">
        <v>135</v>
      </c>
      <c r="J24" t="s">
        <v>88</v>
      </c>
      <c r="K24" t="s">
        <v>81</v>
      </c>
      <c r="L24" t="s">
        <v>89</v>
      </c>
      <c r="N24" t="s">
        <v>40</v>
      </c>
      <c r="O24" t="s">
        <v>14</v>
      </c>
      <c r="P24" s="93">
        <f ca="1">TODAY()+3</f>
        <v>46097</v>
      </c>
      <c r="S24" t="str">
        <f>IF($B24="Risk",COUNTIF($B$2:B24,"Risk"),"")</f>
        <v/>
      </c>
    </row>
    <row r="25" spans="1:19" ht="12.75" customHeight="1">
      <c r="A25">
        <v>17</v>
      </c>
      <c r="B25" t="s">
        <v>82</v>
      </c>
      <c r="C25" t="s">
        <v>140</v>
      </c>
      <c r="D25" t="s">
        <v>83</v>
      </c>
      <c r="E25" t="s">
        <v>158</v>
      </c>
      <c r="F25" t="s">
        <v>159</v>
      </c>
      <c r="G25" t="s">
        <v>160</v>
      </c>
      <c r="H25" s="93">
        <v>46067</v>
      </c>
      <c r="I25" t="s">
        <v>135</v>
      </c>
      <c r="J25" t="s">
        <v>88</v>
      </c>
      <c r="K25" t="s">
        <v>81</v>
      </c>
      <c r="L25" t="s">
        <v>89</v>
      </c>
      <c r="N25" t="s">
        <v>40</v>
      </c>
      <c r="O25" t="s">
        <v>14</v>
      </c>
      <c r="P25" s="93">
        <f ca="1">TODAY()+3</f>
        <v>46097</v>
      </c>
      <c r="S25" t="str">
        <f>IF($B25="Risk",COUNTIF($B$2:B25,"Risk"),"")</f>
        <v/>
      </c>
    </row>
    <row r="26" spans="1:19" ht="12.75" customHeight="1">
      <c r="A26">
        <v>17</v>
      </c>
      <c r="B26" t="s">
        <v>82</v>
      </c>
      <c r="C26" t="s">
        <v>140</v>
      </c>
      <c r="D26" t="s">
        <v>83</v>
      </c>
      <c r="E26" t="s">
        <v>158</v>
      </c>
      <c r="F26" t="s">
        <v>159</v>
      </c>
      <c r="G26" t="s">
        <v>160</v>
      </c>
      <c r="H26" s="93">
        <v>46067</v>
      </c>
      <c r="I26" t="s">
        <v>135</v>
      </c>
      <c r="J26" t="s">
        <v>88</v>
      </c>
      <c r="K26" t="s">
        <v>81</v>
      </c>
      <c r="L26" t="s">
        <v>89</v>
      </c>
      <c r="N26" t="s">
        <v>40</v>
      </c>
      <c r="O26" t="s">
        <v>14</v>
      </c>
      <c r="P26" s="93">
        <f ca="1">TODAY()+3</f>
        <v>46097</v>
      </c>
      <c r="S26" t="str">
        <f>IF($B26="Risk",COUNTIF($B$2:B26,"Risk"),"")</f>
        <v/>
      </c>
    </row>
    <row r="27" spans="1:19" ht="12.75" customHeight="1">
      <c r="S27" t="str">
        <f>IF($B27="Risk",COUNTIF($B$2:B27,"Risk"),"")</f>
        <v/>
      </c>
    </row>
    <row r="28" spans="1:19" ht="12.75" customHeight="1">
      <c r="S28" t="str">
        <f>IF($B28="Risk",COUNTIF($B$2:B28,"Risk"),"")</f>
        <v/>
      </c>
    </row>
    <row r="29" spans="1:19" ht="12.75" customHeight="1">
      <c r="S29" t="str">
        <f>IF($B29="Risk",COUNTIF($B$2:B29,"Risk"),"")</f>
        <v/>
      </c>
    </row>
    <row r="30" spans="1:19" ht="12.75" customHeight="1">
      <c r="S30" t="str">
        <f>IF($B30="Risk",COUNTIF($B$2:B30,"Risk"),"")</f>
        <v/>
      </c>
    </row>
    <row r="31" spans="1:19" ht="12.75" customHeight="1">
      <c r="S31" t="str">
        <f>IF($B31="Risk",COUNTIF($B$2:B31,"Risk"),"")</f>
        <v/>
      </c>
    </row>
    <row r="32" spans="1:19" ht="12.75" customHeight="1">
      <c r="S32" t="str">
        <f>IF($B32="Risk",COUNTIF($B$2:B32,"Risk"),"")</f>
        <v/>
      </c>
    </row>
    <row r="33" spans="19:19" ht="12.75" customHeight="1">
      <c r="S33" t="str">
        <f>IF($B33="Risk",COUNTIF($B$2:B33,"Risk"),"")</f>
        <v/>
      </c>
    </row>
    <row r="34" spans="19:19" ht="12.75" customHeight="1">
      <c r="S34" t="str">
        <f>IF($B34="Risk",COUNTIF($B$2:B34,"Risk"),"")</f>
        <v/>
      </c>
    </row>
    <row r="35" spans="19:19" ht="12.75" customHeight="1">
      <c r="S35" t="str">
        <f>IF($B35="Risk",COUNTIF($B$2:B35,"Risk"),"")</f>
        <v/>
      </c>
    </row>
    <row r="36" spans="19:19" ht="12.75" customHeight="1">
      <c r="S36" t="str">
        <f>IF($B36="Risk",COUNTIF($B$2:B36,"Risk"),"")</f>
        <v/>
      </c>
    </row>
    <row r="37" spans="19:19" ht="12.75" customHeight="1">
      <c r="S37" t="str">
        <f>IF($B37="Risk",COUNTIF($B$2:B37,"Risk"),"")</f>
        <v/>
      </c>
    </row>
    <row r="38" spans="19:19" ht="12.75" customHeight="1">
      <c r="S38" t="str">
        <f>IF($B38="Risk",COUNTIF($B$2:B38,"Risk"),"")</f>
        <v/>
      </c>
    </row>
    <row r="39" spans="19:19" ht="12.75" customHeight="1">
      <c r="S39" t="str">
        <f>IF($B39="Risk",COUNTIF($B$2:B39,"Risk"),"")</f>
        <v/>
      </c>
    </row>
    <row r="40" spans="19:19" ht="12.75" customHeight="1">
      <c r="S40" t="str">
        <f>IF($B40="Risk",COUNTIF($B$2:B40,"Risk"),"")</f>
        <v/>
      </c>
    </row>
    <row r="41" spans="19:19" ht="12.75" customHeight="1">
      <c r="S41" t="str">
        <f>IF($B41="Risk",COUNTIF($B$2:B41,"Risk"),"")</f>
        <v/>
      </c>
    </row>
    <row r="42" spans="19:19" ht="12.75" customHeight="1">
      <c r="S42" t="str">
        <f>IF($B42="Risk",COUNTIF($B$2:B42,"Risk"),"")</f>
        <v/>
      </c>
    </row>
    <row r="43" spans="19:19" ht="12.75" customHeight="1">
      <c r="S43" t="str">
        <f>IF($B43="Risk",COUNTIF($B$2:B43,"Risk"),"")</f>
        <v/>
      </c>
    </row>
    <row r="44" spans="19:19" ht="12.75" customHeight="1">
      <c r="S44" t="str">
        <f>IF($B44="Risk",COUNTIF($B$2:B44,"Risk"),"")</f>
        <v/>
      </c>
    </row>
    <row r="45" spans="19:19" ht="12.75" customHeight="1">
      <c r="S45" t="str">
        <f>IF($B45="Risk",COUNTIF($B$2:B45,"Risk"),"")</f>
        <v/>
      </c>
    </row>
    <row r="46" spans="19:19" ht="12.75" customHeight="1">
      <c r="S46" t="str">
        <f>IF($B46="Risk",COUNTIF($B$2:B46,"Risk"),"")</f>
        <v/>
      </c>
    </row>
    <row r="47" spans="19:19" ht="12.75" customHeight="1">
      <c r="S47" t="str">
        <f>IF($B47="Risk",COUNTIF($B$2:B47,"Risk"),"")</f>
        <v/>
      </c>
    </row>
    <row r="48" spans="19:19" ht="12.75" customHeight="1">
      <c r="S48" t="str">
        <f>IF($B48="Risk",COUNTIF($B$2:B48,"Risk"),"")</f>
        <v/>
      </c>
    </row>
    <row r="49" spans="19:19" ht="12.75" customHeight="1">
      <c r="S49" t="str">
        <f>IF($B49="Risk",COUNTIF($B$2:B49,"Risk"),"")</f>
        <v/>
      </c>
    </row>
    <row r="50" spans="19:19" ht="12.75" customHeight="1">
      <c r="S50" t="str">
        <f>IF($B50="Risk",COUNTIF($B$2:B50,"Risk"),"")</f>
        <v/>
      </c>
    </row>
    <row r="51" spans="19:19" ht="12.75" customHeight="1">
      <c r="S51" t="str">
        <f>IF($B51="Risk",COUNTIF($B$2:B51,"Risk"),"")</f>
        <v/>
      </c>
    </row>
    <row r="52" spans="19:19" ht="12.75" customHeight="1">
      <c r="S52" t="str">
        <f>IF($B52="Risk",COUNTIF($B$2:B52,"Risk"),"")</f>
        <v/>
      </c>
    </row>
    <row r="53" spans="19:19" ht="12.75" customHeight="1">
      <c r="S53" t="str">
        <f>IF($B53="Risk",COUNTIF($B$2:B53,"Risk"),"")</f>
        <v/>
      </c>
    </row>
    <row r="54" spans="19:19" ht="12.75" customHeight="1">
      <c r="S54" t="str">
        <f>IF($B54="Risk",COUNTIF($B$2:B54,"Risk"),"")</f>
        <v/>
      </c>
    </row>
    <row r="55" spans="19:19" ht="12.75" customHeight="1">
      <c r="S55" t="str">
        <f>IF($B55="Risk",COUNTIF($B$2:B55,"Risk"),"")</f>
        <v/>
      </c>
    </row>
    <row r="56" spans="19:19" ht="12.75" customHeight="1">
      <c r="S56" t="str">
        <f>IF($B56="Risk",COUNTIF($B$2:B56,"Risk"),"")</f>
        <v/>
      </c>
    </row>
    <row r="57" spans="19:19" ht="12.75" customHeight="1">
      <c r="S57" t="str">
        <f>IF($B57="Risk",COUNTIF($B$2:B57,"Risk"),"")</f>
        <v/>
      </c>
    </row>
    <row r="58" spans="19:19" ht="12.75" customHeight="1">
      <c r="S58" t="str">
        <f>IF($B58="Risk",COUNTIF($B$2:B58,"Risk"),"")</f>
        <v/>
      </c>
    </row>
    <row r="59" spans="19:19" ht="12.75" customHeight="1">
      <c r="S59" t="str">
        <f>IF($B59="Risk",COUNTIF($B$2:B59,"Risk"),"")</f>
        <v/>
      </c>
    </row>
    <row r="60" spans="19:19" ht="12.75" customHeight="1">
      <c r="S60" t="str">
        <f>IF($B60="Risk",COUNTIF($B$2:B60,"Risk"),"")</f>
        <v/>
      </c>
    </row>
    <row r="61" spans="19:19" ht="12.75" customHeight="1">
      <c r="S61" t="str">
        <f>IF($B61="Risk",COUNTIF($B$2:B61,"Risk"),"")</f>
        <v/>
      </c>
    </row>
    <row r="62" spans="19:19" ht="12.75" customHeight="1">
      <c r="S62" t="str">
        <f>IF($B62="Risk",COUNTIF($B$2:B62,"Risk"),"")</f>
        <v/>
      </c>
    </row>
    <row r="63" spans="19:19" ht="12.75" customHeight="1">
      <c r="S63" t="str">
        <f>IF($B63="Risk",COUNTIF($B$2:B63,"Risk"),"")</f>
        <v/>
      </c>
    </row>
    <row r="64" spans="19:19" ht="12.75" customHeight="1">
      <c r="S64" t="str">
        <f>IF($B64="Risk",COUNTIF($B$2:B64,"Risk"),"")</f>
        <v/>
      </c>
    </row>
    <row r="65" spans="19:19" ht="12.75" customHeight="1">
      <c r="S65" t="str">
        <f>IF($B65="Risk",COUNTIF($B$2:B65,"Risk"),"")</f>
        <v/>
      </c>
    </row>
    <row r="66" spans="19:19" ht="12.75" customHeight="1">
      <c r="S66" t="str">
        <f>IF($B66="Risk",COUNTIF($B$2:B66,"Risk"),"")</f>
        <v/>
      </c>
    </row>
    <row r="67" spans="19:19" ht="12.75" customHeight="1">
      <c r="S67" t="str">
        <f>IF($B67="Risk",COUNTIF($B$2:B67,"Risk"),"")</f>
        <v/>
      </c>
    </row>
    <row r="68" spans="19:19" ht="12.75" customHeight="1">
      <c r="S68" t="str">
        <f>IF($B68="Risk",COUNTIF($B$2:B68,"Risk"),"")</f>
        <v/>
      </c>
    </row>
    <row r="69" spans="19:19" ht="12.75" customHeight="1">
      <c r="S69" t="str">
        <f>IF($B69="Risk",COUNTIF($B$2:B69,"Risk"),"")</f>
        <v/>
      </c>
    </row>
    <row r="70" spans="19:19" ht="12.75" customHeight="1">
      <c r="S70" t="str">
        <f>IF($B70="Risk",COUNTIF($B$2:B70,"Risk"),"")</f>
        <v/>
      </c>
    </row>
    <row r="71" spans="19:19" ht="12.75" customHeight="1">
      <c r="S71" t="str">
        <f>IF($B71="Risk",COUNTIF($B$2:B71,"Risk"),"")</f>
        <v/>
      </c>
    </row>
    <row r="72" spans="19:19" ht="12.75" customHeight="1">
      <c r="S72" t="str">
        <f>IF($B72="Risk",COUNTIF($B$2:B72,"Risk"),"")</f>
        <v/>
      </c>
    </row>
    <row r="73" spans="19:19" ht="12.75" customHeight="1">
      <c r="S73" t="str">
        <f>IF($B73="Risk",COUNTIF($B$2:B73,"Risk"),"")</f>
        <v/>
      </c>
    </row>
    <row r="74" spans="19:19" ht="12.75" customHeight="1">
      <c r="S74" t="str">
        <f>IF($B74="Risk",COUNTIF($B$2:B74,"Risk"),"")</f>
        <v/>
      </c>
    </row>
    <row r="75" spans="19:19" ht="12.75" customHeight="1">
      <c r="S75" t="str">
        <f>IF($B75="Risk",COUNTIF($B$2:B75,"Risk"),"")</f>
        <v/>
      </c>
    </row>
    <row r="76" spans="19:19" ht="12.75" customHeight="1">
      <c r="S76" t="str">
        <f>IF($B76="Risk",COUNTIF($B$2:B76,"Risk"),"")</f>
        <v/>
      </c>
    </row>
    <row r="77" spans="19:19" ht="12.75" customHeight="1">
      <c r="S77" t="str">
        <f>IF($B77="Risk",COUNTIF($B$2:B77,"Risk"),"")</f>
        <v/>
      </c>
    </row>
    <row r="78" spans="19:19" ht="12.75" customHeight="1">
      <c r="S78" t="str">
        <f>IF($B78="Risk",COUNTIF($B$2:B78,"Risk"),"")</f>
        <v/>
      </c>
    </row>
    <row r="79" spans="19:19" ht="12.75" customHeight="1">
      <c r="S79" t="str">
        <f>IF($B79="Risk",COUNTIF($B$2:B79,"Risk"),"")</f>
        <v/>
      </c>
    </row>
    <row r="80" spans="19:19" ht="12.75" customHeight="1">
      <c r="S80" t="str">
        <f>IF($B80="Risk",COUNTIF($B$2:B80,"Risk"),"")</f>
        <v/>
      </c>
    </row>
    <row r="81" spans="19:19" ht="12.75" customHeight="1">
      <c r="S81" t="str">
        <f>IF($B81="Risk",COUNTIF($B$2:B81,"Risk"),"")</f>
        <v/>
      </c>
    </row>
    <row r="82" spans="19:19" ht="12.75" customHeight="1">
      <c r="S82" t="str">
        <f>IF($B82="Risk",COUNTIF($B$2:B82,"Risk"),"")</f>
        <v/>
      </c>
    </row>
    <row r="83" spans="19:19" ht="12.75" customHeight="1">
      <c r="S83" t="str">
        <f>IF($B83="Risk",COUNTIF($B$2:B83,"Risk"),"")</f>
        <v/>
      </c>
    </row>
    <row r="84" spans="19:19" ht="12.75" customHeight="1">
      <c r="S84" t="str">
        <f>IF($B84="Risk",COUNTIF($B$2:B84,"Risk"),"")</f>
        <v/>
      </c>
    </row>
    <row r="85" spans="19:19" ht="12.75" customHeight="1">
      <c r="S85" t="str">
        <f>IF($B85="Risk",COUNTIF($B$2:B85,"Risk"),"")</f>
        <v/>
      </c>
    </row>
    <row r="86" spans="19:19" ht="12.75" customHeight="1">
      <c r="S86" t="str">
        <f>IF($B86="Risk",COUNTIF($B$2:B86,"Risk"),"")</f>
        <v/>
      </c>
    </row>
    <row r="87" spans="19:19" ht="12.75" customHeight="1">
      <c r="S87" t="str">
        <f>IF($B87="Risk",COUNTIF($B$2:B87,"Risk"),"")</f>
        <v/>
      </c>
    </row>
    <row r="88" spans="19:19" ht="12.75" customHeight="1">
      <c r="S88" t="str">
        <f>IF($B88="Risk",COUNTIF($B$2:B88,"Risk"),"")</f>
        <v/>
      </c>
    </row>
    <row r="89" spans="19:19" ht="12.75" customHeight="1">
      <c r="S89" t="str">
        <f>IF($B89="Risk",COUNTIF($B$2:B89,"Risk"),"")</f>
        <v/>
      </c>
    </row>
    <row r="90" spans="19:19" ht="12.75" customHeight="1">
      <c r="S90" t="str">
        <f>IF($B90="Risk",COUNTIF($B$2:B90,"Risk"),"")</f>
        <v/>
      </c>
    </row>
    <row r="91" spans="19:19" ht="12.75" customHeight="1">
      <c r="S91" t="str">
        <f>IF($B91="Risk",COUNTIF($B$2:B91,"Risk"),"")</f>
        <v/>
      </c>
    </row>
    <row r="92" spans="19:19" ht="12.75" customHeight="1">
      <c r="S92" t="str">
        <f>IF($B92="Risk",COUNTIF($B$2:B92,"Risk"),"")</f>
        <v/>
      </c>
    </row>
    <row r="93" spans="19:19" ht="12.75" customHeight="1">
      <c r="S93" t="str">
        <f>IF($B93="Risk",COUNTIF($B$2:B93,"Risk"),"")</f>
        <v/>
      </c>
    </row>
    <row r="94" spans="19:19" ht="12.75" customHeight="1">
      <c r="S94" t="str">
        <f>IF($B94="Risk",COUNTIF($B$2:B94,"Risk"),"")</f>
        <v/>
      </c>
    </row>
    <row r="95" spans="19:19" ht="12.75" customHeight="1">
      <c r="S95" t="str">
        <f>IF($B95="Risk",COUNTIF($B$2:B95,"Risk"),"")</f>
        <v/>
      </c>
    </row>
    <row r="96" spans="19:19" ht="12.75" customHeight="1">
      <c r="S96" t="str">
        <f>IF($B96="Risk",COUNTIF($B$2:B96,"Risk"),"")</f>
        <v/>
      </c>
    </row>
    <row r="97" spans="19:19" ht="12.75" customHeight="1">
      <c r="S97" t="str">
        <f>IF($B97="Risk",COUNTIF($B$2:B97,"Risk"),"")</f>
        <v/>
      </c>
    </row>
    <row r="98" spans="19:19" ht="12.75" customHeight="1">
      <c r="S98" t="str">
        <f>IF($B98="Risk",COUNTIF($B$2:B98,"Risk"),"")</f>
        <v/>
      </c>
    </row>
    <row r="99" spans="19:19" ht="12.75" customHeight="1">
      <c r="S99" t="str">
        <f>IF($B99="Risk",COUNTIF($B$2:B99,"Risk"),"")</f>
        <v/>
      </c>
    </row>
    <row r="100" spans="19:19" ht="12.75" customHeight="1">
      <c r="S100" t="str">
        <f>IF($B100="Risk",COUNTIF($B$2:B100,"Risk"),"")</f>
        <v/>
      </c>
    </row>
    <row r="101" spans="19:19" ht="12.75" customHeight="1">
      <c r="S101" t="str">
        <f>IF($B101="Risk",COUNTIF($B$2:B101,"Risk"),"")</f>
        <v/>
      </c>
    </row>
    <row r="102" spans="19:19" ht="12.75" customHeight="1">
      <c r="S102" t="str">
        <f>IF($B102="Risk",COUNTIF($B$2:B102,"Risk"),"")</f>
        <v/>
      </c>
    </row>
    <row r="103" spans="19:19" ht="12.75" customHeight="1">
      <c r="S103" t="str">
        <f>IF($B103="Risk",COUNTIF($B$2:B103,"Risk"),"")</f>
        <v/>
      </c>
    </row>
    <row r="104" spans="19:19" ht="12.75" customHeight="1">
      <c r="S104" t="str">
        <f>IF($B104="Risk",COUNTIF($B$2:B104,"Risk"),"")</f>
        <v/>
      </c>
    </row>
    <row r="105" spans="19:19" ht="12.75" customHeight="1">
      <c r="S105" t="str">
        <f>IF($B105="Risk",COUNTIF($B$2:B105,"Risk"),"")</f>
        <v/>
      </c>
    </row>
    <row r="106" spans="19:19" ht="12.75" customHeight="1">
      <c r="S106" t="str">
        <f>IF($B106="Risk",COUNTIF($B$2:B106,"Risk"),"")</f>
        <v/>
      </c>
    </row>
    <row r="107" spans="19:19" ht="12.75" customHeight="1">
      <c r="S107" t="str">
        <f>IF($B107="Risk",COUNTIF($B$2:B107,"Risk"),"")</f>
        <v/>
      </c>
    </row>
    <row r="108" spans="19:19" ht="12.75" customHeight="1">
      <c r="S108" t="str">
        <f>IF($B108="Risk",COUNTIF($B$2:B108,"Risk"),"")</f>
        <v/>
      </c>
    </row>
    <row r="109" spans="19:19" ht="12.75" customHeight="1">
      <c r="S109" t="str">
        <f>IF($B109="Risk",COUNTIF($B$2:B109,"Risk"),"")</f>
        <v/>
      </c>
    </row>
    <row r="110" spans="19:19" ht="12.75" customHeight="1">
      <c r="S110" t="str">
        <f>IF($B110="Risk",COUNTIF($B$2:B110,"Risk"),"")</f>
        <v/>
      </c>
    </row>
    <row r="111" spans="19:19" ht="12.75" customHeight="1">
      <c r="S111" t="str">
        <f>IF($B111="Risk",COUNTIF($B$2:B111,"Risk"),"")</f>
        <v/>
      </c>
    </row>
    <row r="112" spans="19:19" ht="12.75" customHeight="1">
      <c r="S112" t="str">
        <f>IF($B112="Risk",COUNTIF($B$2:B112,"Risk"),"")</f>
        <v/>
      </c>
    </row>
    <row r="113" spans="19:19" ht="12.75" customHeight="1">
      <c r="S113" t="str">
        <f>IF($B113="Risk",COUNTIF($B$2:B113,"Risk"),"")</f>
        <v/>
      </c>
    </row>
    <row r="114" spans="19:19" ht="12.75" customHeight="1">
      <c r="S114" t="str">
        <f>IF($B114="Risk",COUNTIF($B$2:B114,"Risk"),"")</f>
        <v/>
      </c>
    </row>
    <row r="115" spans="19:19" ht="12.75" customHeight="1">
      <c r="S115" t="str">
        <f>IF($B115="Risk",COUNTIF($B$2:B115,"Risk"),"")</f>
        <v/>
      </c>
    </row>
    <row r="116" spans="19:19" ht="12.75" customHeight="1">
      <c r="S116" t="str">
        <f>IF($B116="Risk",COUNTIF($B$2:B116,"Risk"),"")</f>
        <v/>
      </c>
    </row>
    <row r="117" spans="19:19" ht="12.75" customHeight="1">
      <c r="S117" t="str">
        <f>IF($B117="Risk",COUNTIF($B$2:B117,"Risk"),"")</f>
        <v/>
      </c>
    </row>
    <row r="118" spans="19:19" ht="12.75" customHeight="1">
      <c r="S118" t="str">
        <f>IF($B118="Risk",COUNTIF($B$2:B118,"Risk"),"")</f>
        <v/>
      </c>
    </row>
    <row r="119" spans="19:19" ht="12.75" customHeight="1">
      <c r="S119" t="str">
        <f>IF($B119="Risk",COUNTIF($B$2:B119,"Risk"),"")</f>
        <v/>
      </c>
    </row>
    <row r="120" spans="19:19" ht="12.75" customHeight="1">
      <c r="S120" t="str">
        <f>IF($B120="Risk",COUNTIF($B$2:B120,"Risk"),"")</f>
        <v/>
      </c>
    </row>
    <row r="121" spans="19:19" ht="12.75" customHeight="1">
      <c r="S121" t="str">
        <f>IF($B121="Risk",COUNTIF($B$2:B121,"Risk"),"")</f>
        <v/>
      </c>
    </row>
    <row r="122" spans="19:19" ht="12.75" customHeight="1">
      <c r="S122" t="str">
        <f>IF($B122="Risk",COUNTIF($B$2:B122,"Risk"),"")</f>
        <v/>
      </c>
    </row>
    <row r="123" spans="19:19" ht="12.75" customHeight="1">
      <c r="S123" t="str">
        <f>IF($B123="Risk",COUNTIF($B$2:B123,"Risk"),"")</f>
        <v/>
      </c>
    </row>
    <row r="124" spans="19:19" ht="12.75" customHeight="1">
      <c r="S124" t="str">
        <f>IF($B124="Risk",COUNTIF($B$2:B124,"Risk"),"")</f>
        <v/>
      </c>
    </row>
    <row r="125" spans="19:19" ht="12.75" customHeight="1">
      <c r="S125" t="str">
        <f>IF($B125="Risk",COUNTIF($B$2:B125,"Risk"),"")</f>
        <v/>
      </c>
    </row>
    <row r="126" spans="19:19" ht="12.75" customHeight="1">
      <c r="S126" t="str">
        <f>IF($B126="Risk",COUNTIF($B$2:B126,"Risk"),"")</f>
        <v/>
      </c>
    </row>
    <row r="127" spans="19:19" ht="12.75" customHeight="1">
      <c r="S127" t="str">
        <f>IF($B127="Risk",COUNTIF($B$2:B127,"Risk"),"")</f>
        <v/>
      </c>
    </row>
    <row r="128" spans="19:19" ht="12.75" customHeight="1">
      <c r="S128" t="str">
        <f>IF($B128="Risk",COUNTIF($B$2:B128,"Risk"),"")</f>
        <v/>
      </c>
    </row>
    <row r="129" spans="19:19" ht="12.75" customHeight="1">
      <c r="S129" t="str">
        <f>IF($B129="Risk",COUNTIF($B$2:B129,"Risk"),"")</f>
        <v/>
      </c>
    </row>
    <row r="130" spans="19:19" ht="12.75" customHeight="1">
      <c r="S130" t="str">
        <f>IF($B130="Risk",COUNTIF($B$2:B130,"Risk"),"")</f>
        <v/>
      </c>
    </row>
    <row r="131" spans="19:19" ht="12.75" customHeight="1">
      <c r="S131" t="str">
        <f>IF($B131="Risk",COUNTIF($B$2:B131,"Risk"),"")</f>
        <v/>
      </c>
    </row>
    <row r="132" spans="19:19" ht="12.75" customHeight="1">
      <c r="S132" t="str">
        <f>IF($B132="Risk",COUNTIF($B$2:B132,"Risk"),"")</f>
        <v/>
      </c>
    </row>
    <row r="133" spans="19:19" ht="12.75" customHeight="1">
      <c r="S133" t="str">
        <f>IF($B133="Risk",COUNTIF($B$2:B133,"Risk"),"")</f>
        <v/>
      </c>
    </row>
    <row r="134" spans="19:19" ht="12.75" customHeight="1">
      <c r="S134" t="str">
        <f>IF($B134="Risk",COUNTIF($B$2:B134,"Risk"),"")</f>
        <v/>
      </c>
    </row>
    <row r="135" spans="19:19" ht="12.75" customHeight="1">
      <c r="S135" t="str">
        <f>IF($B135="Risk",COUNTIF($B$2:B135,"Risk"),"")</f>
        <v/>
      </c>
    </row>
    <row r="136" spans="19:19" ht="12.75" customHeight="1">
      <c r="S136" t="str">
        <f>IF($B136="Risk",COUNTIF($B$2:B136,"Risk"),"")</f>
        <v/>
      </c>
    </row>
    <row r="137" spans="19:19" ht="12.75" customHeight="1">
      <c r="S137" t="str">
        <f>IF($B137="Risk",COUNTIF($B$2:B137,"Risk"),"")</f>
        <v/>
      </c>
    </row>
    <row r="138" spans="19:19" ht="12.75" customHeight="1">
      <c r="S138" t="str">
        <f>IF($B138="Risk",COUNTIF($B$2:B138,"Risk"),"")</f>
        <v/>
      </c>
    </row>
    <row r="139" spans="19:19" ht="12.75" customHeight="1">
      <c r="S139" t="str">
        <f>IF($B139="Risk",COUNTIF($B$2:B139,"Risk"),"")</f>
        <v/>
      </c>
    </row>
    <row r="140" spans="19:19" ht="12.75" customHeight="1">
      <c r="S140" t="str">
        <f>IF($B140="Risk",COUNTIF($B$2:B140,"Risk"),"")</f>
        <v/>
      </c>
    </row>
    <row r="141" spans="19:19" ht="12.75" customHeight="1">
      <c r="S141" t="str">
        <f>IF($B141="Risk",COUNTIF($B$2:B141,"Risk"),"")</f>
        <v/>
      </c>
    </row>
    <row r="142" spans="19:19" ht="12.75" customHeight="1">
      <c r="S142" t="str">
        <f>IF($B142="Risk",COUNTIF($B$2:B142,"Risk"),"")</f>
        <v/>
      </c>
    </row>
    <row r="143" spans="19:19" ht="12.75" customHeight="1">
      <c r="S143" t="str">
        <f>IF($B143="Risk",COUNTIF($B$2:B143,"Risk"),"")</f>
        <v/>
      </c>
    </row>
    <row r="144" spans="19:19" ht="12.75" customHeight="1">
      <c r="S144" t="str">
        <f>IF($B144="Risk",COUNTIF($B$2:B144,"Risk"),"")</f>
        <v/>
      </c>
    </row>
    <row r="145" spans="19:19" ht="12.75" customHeight="1">
      <c r="S145" t="str">
        <f>IF($B145="Risk",COUNTIF($B$2:B145,"Risk"),"")</f>
        <v/>
      </c>
    </row>
    <row r="146" spans="19:19" ht="12.75" customHeight="1">
      <c r="S146" t="str">
        <f>IF($B146="Risk",COUNTIF($B$2:B146,"Risk"),"")</f>
        <v/>
      </c>
    </row>
    <row r="147" spans="19:19" ht="12.75" customHeight="1">
      <c r="S147" t="str">
        <f>IF($B147="Risk",COUNTIF($B$2:B147,"Risk"),"")</f>
        <v/>
      </c>
    </row>
    <row r="148" spans="19:19" ht="12.75" customHeight="1">
      <c r="S148" t="str">
        <f>IF($B148="Risk",COUNTIF($B$2:B148,"Risk"),"")</f>
        <v/>
      </c>
    </row>
    <row r="149" spans="19:19" ht="12.75" customHeight="1">
      <c r="S149" t="str">
        <f>IF($B149="Risk",COUNTIF($B$2:B149,"Risk"),"")</f>
        <v/>
      </c>
    </row>
    <row r="150" spans="19:19" ht="12.75" customHeight="1">
      <c r="S150" t="str">
        <f>IF($B150="Risk",COUNTIF($B$2:B150,"Risk"),"")</f>
        <v/>
      </c>
    </row>
    <row r="151" spans="19:19" ht="12.75" customHeight="1">
      <c r="S151" t="str">
        <f>IF($B151="Risk",COUNTIF($B$2:B151,"Risk"),"")</f>
        <v/>
      </c>
    </row>
    <row r="152" spans="19:19" ht="12.75" customHeight="1">
      <c r="S152" t="str">
        <f>IF($B152="Risk",COUNTIF($B$2:B152,"Risk"),"")</f>
        <v/>
      </c>
    </row>
    <row r="153" spans="19:19" ht="12.75" customHeight="1">
      <c r="S153" t="str">
        <f>IF($B153="Risk",COUNTIF($B$2:B153,"Risk"),"")</f>
        <v/>
      </c>
    </row>
    <row r="154" spans="19:19" ht="12.75" customHeight="1">
      <c r="S154" t="str">
        <f>IF($B154="Risk",COUNTIF($B$2:B154,"Risk"),"")</f>
        <v/>
      </c>
    </row>
    <row r="155" spans="19:19" ht="12.75" customHeight="1">
      <c r="S155" t="str">
        <f>IF($B155="Risk",COUNTIF($B$2:B155,"Risk"),"")</f>
        <v/>
      </c>
    </row>
    <row r="156" spans="19:19" ht="12.75" customHeight="1">
      <c r="S156" t="str">
        <f>IF($B156="Risk",COUNTIF($B$2:B156,"Risk"),"")</f>
        <v/>
      </c>
    </row>
    <row r="157" spans="19:19" ht="12.75" customHeight="1">
      <c r="S157" t="str">
        <f>IF($B157="Risk",COUNTIF($B$2:B157,"Risk"),"")</f>
        <v/>
      </c>
    </row>
    <row r="158" spans="19:19" ht="12.75" customHeight="1">
      <c r="S158" t="str">
        <f>IF($B158="Risk",COUNTIF($B$2:B158,"Risk"),"")</f>
        <v/>
      </c>
    </row>
    <row r="159" spans="19:19" ht="12.75" customHeight="1">
      <c r="S159" t="str">
        <f>IF($B159="Risk",COUNTIF($B$2:B159,"Risk"),"")</f>
        <v/>
      </c>
    </row>
    <row r="160" spans="19:19" ht="12.75" customHeight="1">
      <c r="S160" t="str">
        <f>IF($B160="Risk",COUNTIF($B$2:B160,"Risk"),"")</f>
        <v/>
      </c>
    </row>
    <row r="161" spans="19:19" ht="12.75" customHeight="1">
      <c r="S161" t="str">
        <f>IF($B161="Risk",COUNTIF($B$2:B161,"Risk"),"")</f>
        <v/>
      </c>
    </row>
    <row r="162" spans="19:19" ht="12.75" customHeight="1">
      <c r="S162" t="str">
        <f>IF($B162="Risk",COUNTIF($B$2:B162,"Risk"),"")</f>
        <v/>
      </c>
    </row>
    <row r="163" spans="19:19" ht="12.75" customHeight="1">
      <c r="S163" t="str">
        <f>IF($B163="Risk",COUNTIF($B$2:B163,"Risk"),"")</f>
        <v/>
      </c>
    </row>
    <row r="164" spans="19:19" ht="12.75" customHeight="1">
      <c r="S164" t="str">
        <f>IF($B164="Risk",COUNTIF($B$2:B164,"Risk"),"")</f>
        <v/>
      </c>
    </row>
    <row r="165" spans="19:19" ht="12.75" customHeight="1">
      <c r="S165" t="str">
        <f>IF($B165="Risk",COUNTIF($B$2:B165,"Risk"),"")</f>
        <v/>
      </c>
    </row>
    <row r="166" spans="19:19" ht="12.75" customHeight="1">
      <c r="S166" t="str">
        <f>IF($B166="Risk",COUNTIF($B$2:B166,"Risk"),"")</f>
        <v/>
      </c>
    </row>
    <row r="167" spans="19:19" ht="12.75" customHeight="1">
      <c r="S167" t="str">
        <f>IF($B167="Risk",COUNTIF($B$2:B167,"Risk"),"")</f>
        <v/>
      </c>
    </row>
    <row r="168" spans="19:19" ht="12.75" customHeight="1">
      <c r="S168" t="str">
        <f>IF($B168="Risk",COUNTIF($B$2:B168,"Risk"),"")</f>
        <v/>
      </c>
    </row>
    <row r="169" spans="19:19" ht="12.75" customHeight="1">
      <c r="S169" t="str">
        <f>IF($B169="Risk",COUNTIF($B$2:B169,"Risk"),"")</f>
        <v/>
      </c>
    </row>
    <row r="170" spans="19:19" ht="12.75" customHeight="1">
      <c r="S170" t="str">
        <f>IF($B170="Risk",COUNTIF($B$2:B170,"Risk"),"")</f>
        <v/>
      </c>
    </row>
    <row r="171" spans="19:19" ht="12.75" customHeight="1">
      <c r="S171" t="str">
        <f>IF($B171="Risk",COUNTIF($B$2:B171,"Risk"),"")</f>
        <v/>
      </c>
    </row>
    <row r="172" spans="19:19" ht="12.75" customHeight="1">
      <c r="S172" t="str">
        <f>IF($B172="Risk",COUNTIF($B$2:B172,"Risk"),"")</f>
        <v/>
      </c>
    </row>
    <row r="173" spans="19:19" ht="12.75" customHeight="1">
      <c r="S173" t="str">
        <f>IF($B173="Risk",COUNTIF($B$2:B173,"Risk"),"")</f>
        <v/>
      </c>
    </row>
    <row r="174" spans="19:19" ht="12.75" customHeight="1">
      <c r="S174" t="str">
        <f>IF($B174="Risk",COUNTIF($B$2:B174,"Risk"),"")</f>
        <v/>
      </c>
    </row>
    <row r="175" spans="19:19" ht="12.75" customHeight="1">
      <c r="S175" t="str">
        <f>IF($B175="Risk",COUNTIF($B$2:B175,"Risk"),"")</f>
        <v/>
      </c>
    </row>
    <row r="176" spans="19:19" ht="12.75" customHeight="1">
      <c r="S176" t="str">
        <f>IF($B176="Risk",COUNTIF($B$2:B176,"Risk"),"")</f>
        <v/>
      </c>
    </row>
    <row r="177" spans="19:19" ht="12.75" customHeight="1">
      <c r="S177" t="str">
        <f>IF($B177="Risk",COUNTIF($B$2:B177,"Risk"),"")</f>
        <v/>
      </c>
    </row>
    <row r="178" spans="19:19" ht="12.75" customHeight="1">
      <c r="S178" t="str">
        <f>IF($B178="Risk",COUNTIF($B$2:B178,"Risk"),"")</f>
        <v/>
      </c>
    </row>
    <row r="179" spans="19:19" ht="12.75" customHeight="1">
      <c r="S179" t="str">
        <f>IF($B179="Risk",COUNTIF($B$2:B179,"Risk"),"")</f>
        <v/>
      </c>
    </row>
    <row r="180" spans="19:19" ht="12.75" customHeight="1">
      <c r="S180" t="str">
        <f>IF($B180="Risk",COUNTIF($B$2:B180,"Risk"),"")</f>
        <v/>
      </c>
    </row>
    <row r="181" spans="19:19" ht="12.75" customHeight="1">
      <c r="S181" t="str">
        <f>IF($B181="Risk",COUNTIF($B$2:B181,"Risk"),"")</f>
        <v/>
      </c>
    </row>
    <row r="182" spans="19:19" ht="12.75" customHeight="1">
      <c r="S182" t="str">
        <f>IF($B182="Risk",COUNTIF($B$2:B182,"Risk"),"")</f>
        <v/>
      </c>
    </row>
    <row r="183" spans="19:19" ht="12.75" customHeight="1">
      <c r="S183" t="str">
        <f>IF($B183="Risk",COUNTIF($B$2:B183,"Risk"),"")</f>
        <v/>
      </c>
    </row>
    <row r="184" spans="19:19" ht="12.75" customHeight="1">
      <c r="S184" t="str">
        <f>IF($B184="Risk",COUNTIF($B$2:B184,"Risk"),"")</f>
        <v/>
      </c>
    </row>
    <row r="185" spans="19:19" ht="12.75" customHeight="1">
      <c r="S185" t="str">
        <f>IF($B185="Risk",COUNTIF($B$2:B185,"Risk"),"")</f>
        <v/>
      </c>
    </row>
    <row r="186" spans="19:19" ht="12.75" customHeight="1">
      <c r="S186" t="str">
        <f>IF($B186="Risk",COUNTIF($B$2:B186,"Risk"),"")</f>
        <v/>
      </c>
    </row>
    <row r="187" spans="19:19" ht="12.75" customHeight="1">
      <c r="S187" t="str">
        <f>IF($B187="Risk",COUNTIF($B$2:B187,"Risk"),"")</f>
        <v/>
      </c>
    </row>
    <row r="188" spans="19:19" ht="12.75" customHeight="1">
      <c r="S188" t="str">
        <f>IF($B188="Risk",COUNTIF($B$2:B188,"Risk"),"")</f>
        <v/>
      </c>
    </row>
    <row r="189" spans="19:19" ht="12.75" customHeight="1">
      <c r="S189" t="str">
        <f>IF($B189="Risk",COUNTIF($B$2:B189,"Risk"),"")</f>
        <v/>
      </c>
    </row>
    <row r="190" spans="19:19" ht="12.75" customHeight="1">
      <c r="S190" t="str">
        <f>IF($B190="Risk",COUNTIF($B$2:B190,"Risk"),"")</f>
        <v/>
      </c>
    </row>
    <row r="191" spans="19:19" ht="12.75" customHeight="1">
      <c r="S191" t="str">
        <f>IF($B191="Risk",COUNTIF($B$2:B191,"Risk"),"")</f>
        <v/>
      </c>
    </row>
    <row r="192" spans="19:19" ht="12.75" customHeight="1">
      <c r="S192" t="str">
        <f>IF($B192="Risk",COUNTIF($B$2:B192,"Risk"),"")</f>
        <v/>
      </c>
    </row>
    <row r="193" spans="19:19" ht="12.75" customHeight="1">
      <c r="S193" t="str">
        <f>IF($B193="Risk",COUNTIF($B$2:B193,"Risk"),"")</f>
        <v/>
      </c>
    </row>
    <row r="194" spans="19:19" ht="12.75" customHeight="1">
      <c r="S194" t="str">
        <f>IF($B194="Risk",COUNTIF($B$2:B194,"Risk"),"")</f>
        <v/>
      </c>
    </row>
    <row r="195" spans="19:19" ht="12.75" customHeight="1">
      <c r="S195" t="str">
        <f>IF($B195="Risk",COUNTIF($B$2:B195,"Risk"),"")</f>
        <v/>
      </c>
    </row>
    <row r="196" spans="19:19" ht="12.75" customHeight="1">
      <c r="S196" t="str">
        <f>IF($B196="Risk",COUNTIF($B$2:B196,"Risk"),"")</f>
        <v/>
      </c>
    </row>
    <row r="197" spans="19:19" ht="12.75" customHeight="1">
      <c r="S197" t="str">
        <f>IF($B197="Risk",COUNTIF($B$2:B197,"Risk"),"")</f>
        <v/>
      </c>
    </row>
    <row r="198" spans="19:19" ht="12.75" customHeight="1">
      <c r="S198" t="str">
        <f>IF($B198="Risk",COUNTIF($B$2:B198,"Risk"),"")</f>
        <v/>
      </c>
    </row>
    <row r="199" spans="19:19" ht="12.75" customHeight="1">
      <c r="S199" t="str">
        <f>IF($B199="Risk",COUNTIF($B$2:B199,"Risk"),"")</f>
        <v/>
      </c>
    </row>
    <row r="200" spans="19:19" ht="12.75" customHeight="1">
      <c r="S200" t="str">
        <f>IF($B200="Risk",COUNTIF($B$2:B200,"Risk"),"")</f>
        <v/>
      </c>
    </row>
    <row r="201" spans="19:19" ht="12.75" customHeight="1">
      <c r="S201" t="str">
        <f>IF($B201="Risk",COUNTIF($B$2:B201,"Risk"),"")</f>
        <v/>
      </c>
    </row>
    <row r="202" spans="19:19" ht="12.75" customHeight="1">
      <c r="S202" t="str">
        <f>IF($B202="Risk",COUNTIF($B$2:B202,"Risk"),"")</f>
        <v/>
      </c>
    </row>
    <row r="203" spans="19:19" ht="12.75" customHeight="1">
      <c r="S203" t="str">
        <f>IF($B203="Risk",COUNTIF($B$2:B203,"Risk"),"")</f>
        <v/>
      </c>
    </row>
    <row r="204" spans="19:19" ht="12.75" customHeight="1">
      <c r="S204" t="str">
        <f>IF($B204="Risk",COUNTIF($B$2:B204,"Risk"),"")</f>
        <v/>
      </c>
    </row>
    <row r="205" spans="19:19" ht="12.75" customHeight="1">
      <c r="S205" t="str">
        <f>IF($B205="Risk",COUNTIF($B$2:B205,"Risk"),"")</f>
        <v/>
      </c>
    </row>
    <row r="206" spans="19:19" ht="12.75" customHeight="1">
      <c r="S206" t="str">
        <f>IF($B206="Risk",COUNTIF($B$2:B206,"Risk"),"")</f>
        <v/>
      </c>
    </row>
    <row r="207" spans="19:19" ht="12.75" customHeight="1">
      <c r="S207" t="str">
        <f>IF($B207="Risk",COUNTIF($B$2:B207,"Risk"),"")</f>
        <v/>
      </c>
    </row>
    <row r="208" spans="19:19" ht="12.75" customHeight="1">
      <c r="S208" t="str">
        <f>IF($B208="Risk",COUNTIF($B$2:B208,"Risk"),"")</f>
        <v/>
      </c>
    </row>
    <row r="209" spans="19:19" ht="12.75" customHeight="1">
      <c r="S209" t="str">
        <f>IF($B209="Risk",COUNTIF($B$2:B209,"Risk"),"")</f>
        <v/>
      </c>
    </row>
    <row r="210" spans="19:19" ht="12.75" customHeight="1">
      <c r="S210" t="str">
        <f>IF($B210="Risk",COUNTIF($B$2:B210,"Risk"),"")</f>
        <v/>
      </c>
    </row>
    <row r="211" spans="19:19" ht="12.75" customHeight="1">
      <c r="S211" t="str">
        <f>IF($B211="Risk",COUNTIF($B$2:B211,"Risk"),"")</f>
        <v/>
      </c>
    </row>
    <row r="212" spans="19:19" ht="12.75" customHeight="1">
      <c r="S212" t="str">
        <f>IF($B212="Risk",COUNTIF($B$2:B212,"Risk"),"")</f>
        <v/>
      </c>
    </row>
    <row r="213" spans="19:19" ht="12.75" customHeight="1">
      <c r="S213" t="str">
        <f>IF($B213="Risk",COUNTIF($B$2:B213,"Risk"),"")</f>
        <v/>
      </c>
    </row>
    <row r="214" spans="19:19" ht="12.75" customHeight="1">
      <c r="S214" t="str">
        <f>IF($B214="Risk",COUNTIF($B$2:B214,"Risk"),"")</f>
        <v/>
      </c>
    </row>
    <row r="215" spans="19:19" ht="12.75" customHeight="1">
      <c r="S215" t="str">
        <f>IF($B215="Risk",COUNTIF($B$2:B215,"Risk"),"")</f>
        <v/>
      </c>
    </row>
    <row r="216" spans="19:19" ht="12.75" customHeight="1">
      <c r="S216" t="str">
        <f>IF($B216="Risk",COUNTIF($B$2:B216,"Risk"),"")</f>
        <v/>
      </c>
    </row>
    <row r="217" spans="19:19" ht="12.75" customHeight="1">
      <c r="S217" t="str">
        <f>IF($B217="Risk",COUNTIF($B$2:B217,"Risk"),"")</f>
        <v/>
      </c>
    </row>
    <row r="218" spans="19:19" ht="12.75" customHeight="1">
      <c r="S218" t="str">
        <f>IF($B218="Risk",COUNTIF($B$2:B218,"Risk"),"")</f>
        <v/>
      </c>
    </row>
    <row r="219" spans="19:19" ht="12.75" customHeight="1">
      <c r="S219" t="str">
        <f>IF($B219="Risk",COUNTIF($B$2:B219,"Risk"),"")</f>
        <v/>
      </c>
    </row>
    <row r="220" spans="19:19" ht="12.75" customHeight="1">
      <c r="S220" t="str">
        <f>IF($B220="Risk",COUNTIF($B$2:B220,"Risk"),"")</f>
        <v/>
      </c>
    </row>
    <row r="221" spans="19:19" ht="12.75" customHeight="1">
      <c r="S221" t="str">
        <f>IF($B221="Risk",COUNTIF($B$2:B221,"Risk"),"")</f>
        <v/>
      </c>
    </row>
    <row r="222" spans="19:19" ht="12.75" customHeight="1">
      <c r="S222" t="str">
        <f>IF($B222="Risk",COUNTIF($B$2:B222,"Risk"),"")</f>
        <v/>
      </c>
    </row>
    <row r="223" spans="19:19" ht="12.75" customHeight="1">
      <c r="S223" t="str">
        <f>IF($B223="Risk",COUNTIF($B$2:B223,"Risk"),"")</f>
        <v/>
      </c>
    </row>
    <row r="224" spans="19:19" ht="12.75" customHeight="1">
      <c r="S224" t="str">
        <f>IF($B224="Risk",COUNTIF($B$2:B224,"Risk"),"")</f>
        <v/>
      </c>
    </row>
    <row r="225" spans="19:19" ht="12.75" customHeight="1">
      <c r="S225" t="str">
        <f>IF($B225="Risk",COUNTIF($B$2:B225,"Risk"),"")</f>
        <v/>
      </c>
    </row>
    <row r="226" spans="19:19" ht="12.75" customHeight="1">
      <c r="S226" t="str">
        <f>IF($B226="Risk",COUNTIF($B$2:B226,"Risk"),"")</f>
        <v/>
      </c>
    </row>
    <row r="227" spans="19:19" ht="12.75" customHeight="1">
      <c r="S227" t="str">
        <f>IF($B227="Risk",COUNTIF($B$2:B227,"Risk"),"")</f>
        <v/>
      </c>
    </row>
    <row r="228" spans="19:19" ht="12.75" customHeight="1">
      <c r="S228" t="str">
        <f>IF($B228="Risk",COUNTIF($B$2:B228,"Risk"),"")</f>
        <v/>
      </c>
    </row>
    <row r="229" spans="19:19" ht="12.75" customHeight="1">
      <c r="S229" t="str">
        <f>IF($B229="Risk",COUNTIF($B$2:B229,"Risk"),"")</f>
        <v/>
      </c>
    </row>
    <row r="230" spans="19:19" ht="12.75" customHeight="1">
      <c r="S230" t="str">
        <f>IF($B230="Risk",COUNTIF($B$2:B230,"Risk"),"")</f>
        <v/>
      </c>
    </row>
    <row r="231" spans="19:19" ht="12.75" customHeight="1">
      <c r="S231" t="str">
        <f>IF($B231="Risk",COUNTIF($B$2:B231,"Risk"),"")</f>
        <v/>
      </c>
    </row>
    <row r="232" spans="19:19" ht="12.75" customHeight="1">
      <c r="S232" t="str">
        <f>IF($B232="Risk",COUNTIF($B$2:B232,"Risk"),"")</f>
        <v/>
      </c>
    </row>
    <row r="233" spans="19:19" ht="12.75" customHeight="1">
      <c r="S233" t="str">
        <f>IF($B233="Risk",COUNTIF($B$2:B233,"Risk"),"")</f>
        <v/>
      </c>
    </row>
    <row r="234" spans="19:19" ht="12.75" customHeight="1">
      <c r="S234" t="str">
        <f>IF($B234="Risk",COUNTIF($B$2:B234,"Risk"),"")</f>
        <v/>
      </c>
    </row>
    <row r="235" spans="19:19" ht="12.75" customHeight="1">
      <c r="S235" t="str">
        <f>IF($B235="Risk",COUNTIF($B$2:B235,"Risk"),"")</f>
        <v/>
      </c>
    </row>
    <row r="236" spans="19:19" ht="12.75" customHeight="1">
      <c r="S236" t="str">
        <f>IF($B236="Risk",COUNTIF($B$2:B236,"Risk"),"")</f>
        <v/>
      </c>
    </row>
    <row r="237" spans="19:19" ht="12.75" customHeight="1">
      <c r="S237" t="str">
        <f>IF($B237="Risk",COUNTIF($B$2:B237,"Risk"),"")</f>
        <v/>
      </c>
    </row>
    <row r="238" spans="19:19" ht="12.75" customHeight="1">
      <c r="S238" t="str">
        <f>IF($B238="Risk",COUNTIF($B$2:B238,"Risk"),"")</f>
        <v/>
      </c>
    </row>
    <row r="239" spans="19:19" ht="12.75" customHeight="1">
      <c r="S239" t="str">
        <f>IF($B239="Risk",COUNTIF($B$2:B239,"Risk"),"")</f>
        <v/>
      </c>
    </row>
    <row r="240" spans="19:19" ht="12.75" customHeight="1">
      <c r="S240" t="str">
        <f>IF($B240="Risk",COUNTIF($B$2:B240,"Risk"),"")</f>
        <v/>
      </c>
    </row>
    <row r="241" spans="19:19" ht="12.75" customHeight="1">
      <c r="S241" t="str">
        <f>IF($B241="Risk",COUNTIF($B$2:B241,"Risk"),"")</f>
        <v/>
      </c>
    </row>
    <row r="242" spans="19:19" ht="12.75" customHeight="1">
      <c r="S242" t="str">
        <f>IF($B242="Risk",COUNTIF($B$2:B242,"Risk"),"")</f>
        <v/>
      </c>
    </row>
    <row r="243" spans="19:19" ht="12.75" customHeight="1">
      <c r="S243" t="str">
        <f>IF($B243="Risk",COUNTIF($B$2:B243,"Risk"),"")</f>
        <v/>
      </c>
    </row>
    <row r="244" spans="19:19" ht="12.75" customHeight="1">
      <c r="S244" t="str">
        <f>IF($B244="Risk",COUNTIF($B$2:B244,"Risk"),"")</f>
        <v/>
      </c>
    </row>
    <row r="245" spans="19:19" ht="12.75" customHeight="1">
      <c r="S245" t="str">
        <f>IF($B245="Risk",COUNTIF($B$2:B245,"Risk"),"")</f>
        <v/>
      </c>
    </row>
    <row r="246" spans="19:19" ht="12.75" customHeight="1">
      <c r="S246" t="str">
        <f>IF($B246="Risk",COUNTIF($B$2:B246,"Risk"),"")</f>
        <v/>
      </c>
    </row>
    <row r="247" spans="19:19" ht="12.75" customHeight="1">
      <c r="S247" t="str">
        <f>IF($B247="Risk",COUNTIF($B$2:B247,"Risk"),"")</f>
        <v/>
      </c>
    </row>
    <row r="248" spans="19:19" ht="12.75" customHeight="1">
      <c r="S248" t="str">
        <f>IF($B248="Risk",COUNTIF($B$2:B248,"Risk"),"")</f>
        <v/>
      </c>
    </row>
    <row r="249" spans="19:19" ht="12.75" customHeight="1">
      <c r="S249" t="str">
        <f>IF($B249="Risk",COUNTIF($B$2:B249,"Risk"),"")</f>
        <v/>
      </c>
    </row>
    <row r="250" spans="19:19" ht="12.75" customHeight="1">
      <c r="S250" t="str">
        <f>IF($B250="Risk",COUNTIF($B$2:B250,"Risk"),"")</f>
        <v/>
      </c>
    </row>
    <row r="251" spans="19:19" ht="12.75" customHeight="1">
      <c r="S251" t="str">
        <f>IF($B251="Risk",COUNTIF($B$2:B251,"Risk"),"")</f>
        <v/>
      </c>
    </row>
    <row r="252" spans="19:19" ht="12.75" customHeight="1">
      <c r="S252" t="str">
        <f>IF($B252="Risk",COUNTIF($B$2:B252,"Risk"),"")</f>
        <v/>
      </c>
    </row>
    <row r="253" spans="19:19" ht="12.75" customHeight="1">
      <c r="S253" t="str">
        <f>IF($B253="Risk",COUNTIF($B$2:B253,"Risk"),"")</f>
        <v/>
      </c>
    </row>
    <row r="254" spans="19:19" ht="12.75" customHeight="1">
      <c r="S254" t="str">
        <f>IF($B254="Risk",COUNTIF($B$2:B254,"Risk"),"")</f>
        <v/>
      </c>
    </row>
    <row r="255" spans="19:19" ht="12.75" customHeight="1">
      <c r="S255" t="str">
        <f>IF($B255="Risk",COUNTIF($B$2:B255,"Risk"),"")</f>
        <v/>
      </c>
    </row>
    <row r="256" spans="19:19" ht="12.75" customHeight="1">
      <c r="S256" t="str">
        <f>IF($B256="Risk",COUNTIF($B$2:B256,"Risk"),"")</f>
        <v/>
      </c>
    </row>
    <row r="257" spans="19:19" ht="12.75" customHeight="1">
      <c r="S257" t="str">
        <f>IF($B257="Risk",COUNTIF($B$2:B257,"Risk"),"")</f>
        <v/>
      </c>
    </row>
    <row r="258" spans="19:19" ht="12.75" customHeight="1">
      <c r="S258" t="str">
        <f>IF($B258="Risk",COUNTIF($B$2:B258,"Risk"),"")</f>
        <v/>
      </c>
    </row>
    <row r="259" spans="19:19" ht="12.75" customHeight="1">
      <c r="S259" t="str">
        <f>IF($B259="Risk",COUNTIF($B$2:B259,"Risk"),"")</f>
        <v/>
      </c>
    </row>
    <row r="260" spans="19:19" ht="12.75" customHeight="1">
      <c r="S260" t="str">
        <f>IF($B260="Risk",COUNTIF($B$2:B260,"Risk"),"")</f>
        <v/>
      </c>
    </row>
    <row r="261" spans="19:19" ht="12.75" customHeight="1">
      <c r="S261" t="str">
        <f>IF($B261="Risk",COUNTIF($B$2:B261,"Risk"),"")</f>
        <v/>
      </c>
    </row>
    <row r="262" spans="19:19" ht="12.75" customHeight="1">
      <c r="S262" t="str">
        <f>IF($B262="Risk",COUNTIF($B$2:B262,"Risk"),"")</f>
        <v/>
      </c>
    </row>
    <row r="263" spans="19:19" ht="12.75" customHeight="1">
      <c r="S263" t="str">
        <f>IF($B263="Risk",COUNTIF($B$2:B263,"Risk"),"")</f>
        <v/>
      </c>
    </row>
    <row r="264" spans="19:19" ht="12.75" customHeight="1">
      <c r="S264" t="str">
        <f>IF($B264="Risk",COUNTIF($B$2:B264,"Risk"),"")</f>
        <v/>
      </c>
    </row>
    <row r="265" spans="19:19" ht="12.75" customHeight="1">
      <c r="S265" t="str">
        <f>IF($B265="Risk",COUNTIF($B$2:B265,"Risk"),"")</f>
        <v/>
      </c>
    </row>
    <row r="266" spans="19:19" ht="12.75" customHeight="1">
      <c r="S266" t="str">
        <f>IF($B266="Risk",COUNTIF($B$2:B266,"Risk"),"")</f>
        <v/>
      </c>
    </row>
    <row r="267" spans="19:19" ht="12.75" customHeight="1">
      <c r="S267" t="str">
        <f>IF($B267="Risk",COUNTIF($B$2:B267,"Risk"),"")</f>
        <v/>
      </c>
    </row>
    <row r="268" spans="19:19" ht="12.75" customHeight="1">
      <c r="S268" t="str">
        <f>IF($B268="Risk",COUNTIF($B$2:B268,"Risk"),"")</f>
        <v/>
      </c>
    </row>
    <row r="269" spans="19:19" ht="12.75" customHeight="1">
      <c r="S269" t="str">
        <f>IF($B269="Risk",COUNTIF($B$2:B269,"Risk"),"")</f>
        <v/>
      </c>
    </row>
    <row r="270" spans="19:19" ht="12.75" customHeight="1">
      <c r="S270" t="str">
        <f>IF($B270="Risk",COUNTIF($B$2:B270,"Risk"),"")</f>
        <v/>
      </c>
    </row>
    <row r="271" spans="19:19" ht="12.75" customHeight="1">
      <c r="S271" t="str">
        <f>IF($B271="Risk",COUNTIF($B$2:B271,"Risk"),"")</f>
        <v/>
      </c>
    </row>
    <row r="272" spans="19:19" ht="12.75" customHeight="1">
      <c r="S272" t="str">
        <f>IF($B272="Risk",COUNTIF($B$2:B272,"Risk"),"")</f>
        <v/>
      </c>
    </row>
    <row r="273" spans="19:19" ht="12.75" customHeight="1">
      <c r="S273" t="str">
        <f>IF($B273="Risk",COUNTIF($B$2:B273,"Risk"),"")</f>
        <v/>
      </c>
    </row>
    <row r="274" spans="19:19" ht="12.75" customHeight="1">
      <c r="S274" t="str">
        <f>IF($B274="Risk",COUNTIF($B$2:B274,"Risk"),"")</f>
        <v/>
      </c>
    </row>
    <row r="275" spans="19:19" ht="12.75" customHeight="1">
      <c r="S275" t="str">
        <f>IF($B275="Risk",COUNTIF($B$2:B275,"Risk"),"")</f>
        <v/>
      </c>
    </row>
    <row r="276" spans="19:19" ht="12.75" customHeight="1">
      <c r="S276" t="str">
        <f>IF($B276="Risk",COUNTIF($B$2:B276,"Risk"),"")</f>
        <v/>
      </c>
    </row>
    <row r="277" spans="19:19" ht="12.75" customHeight="1">
      <c r="S277" t="str">
        <f>IF($B277="Risk",COUNTIF($B$2:B277,"Risk"),"")</f>
        <v/>
      </c>
    </row>
    <row r="278" spans="19:19" ht="12.75" customHeight="1">
      <c r="S278" t="str">
        <f>IF($B278="Risk",COUNTIF($B$2:B278,"Risk"),"")</f>
        <v/>
      </c>
    </row>
    <row r="279" spans="19:19" ht="12.75" customHeight="1">
      <c r="S279" t="str">
        <f>IF($B279="Risk",COUNTIF($B$2:B279,"Risk"),"")</f>
        <v/>
      </c>
    </row>
    <row r="280" spans="19:19" ht="12.75" customHeight="1">
      <c r="S280" t="str">
        <f>IF($B280="Risk",COUNTIF($B$2:B280,"Risk"),"")</f>
        <v/>
      </c>
    </row>
    <row r="281" spans="19:19" ht="12.75" customHeight="1">
      <c r="S281" t="str">
        <f>IF($B281="Risk",COUNTIF($B$2:B281,"Risk"),"")</f>
        <v/>
      </c>
    </row>
    <row r="282" spans="19:19" ht="12.75" customHeight="1">
      <c r="S282" t="str">
        <f>IF($B282="Risk",COUNTIF($B$2:B282,"Risk"),"")</f>
        <v/>
      </c>
    </row>
    <row r="283" spans="19:19" ht="12.75" customHeight="1">
      <c r="S283" t="str">
        <f>IF($B283="Risk",COUNTIF($B$2:B283,"Risk"),"")</f>
        <v/>
      </c>
    </row>
    <row r="284" spans="19:19" ht="12.75" customHeight="1">
      <c r="S284" t="str">
        <f>IF($B284="Risk",COUNTIF($B$2:B284,"Risk"),"")</f>
        <v/>
      </c>
    </row>
    <row r="285" spans="19:19" ht="12.75" customHeight="1">
      <c r="S285" t="str">
        <f>IF($B285="Risk",COUNTIF($B$2:B285,"Risk"),"")</f>
        <v/>
      </c>
    </row>
    <row r="286" spans="19:19" ht="12.75" customHeight="1">
      <c r="S286" t="str">
        <f>IF($B286="Risk",COUNTIF($B$2:B286,"Risk"),"")</f>
        <v/>
      </c>
    </row>
    <row r="287" spans="19:19" ht="12.75" customHeight="1">
      <c r="S287" t="str">
        <f>IF($B287="Risk",COUNTIF($B$2:B287,"Risk"),"")</f>
        <v/>
      </c>
    </row>
    <row r="288" spans="19:19" ht="12.75" customHeight="1">
      <c r="S288" t="str">
        <f>IF($B288="Risk",COUNTIF($B$2:B288,"Risk"),"")</f>
        <v/>
      </c>
    </row>
    <row r="289" spans="19:19" ht="12.75" customHeight="1">
      <c r="S289" t="str">
        <f>IF($B289="Risk",COUNTIF($B$2:B289,"Risk"),"")</f>
        <v/>
      </c>
    </row>
    <row r="290" spans="19:19" ht="12.75" customHeight="1">
      <c r="S290" t="str">
        <f>IF($B290="Risk",COUNTIF($B$2:B290,"Risk"),"")</f>
        <v/>
      </c>
    </row>
    <row r="291" spans="19:19" ht="12.75" customHeight="1">
      <c r="S291" t="str">
        <f>IF($B291="Risk",COUNTIF($B$2:B291,"Risk"),"")</f>
        <v/>
      </c>
    </row>
    <row r="292" spans="19:19" ht="12.75" customHeight="1">
      <c r="S292" t="str">
        <f>IF($B292="Risk",COUNTIF($B$2:B292,"Risk"),"")</f>
        <v/>
      </c>
    </row>
    <row r="293" spans="19:19" ht="12.75" customHeight="1">
      <c r="S293" t="str">
        <f>IF($B293="Risk",COUNTIF($B$2:B293,"Risk"),"")</f>
        <v/>
      </c>
    </row>
    <row r="294" spans="19:19" ht="12.75" customHeight="1">
      <c r="S294" t="str">
        <f>IF($B294="Risk",COUNTIF($B$2:B294,"Risk"),"")</f>
        <v/>
      </c>
    </row>
    <row r="295" spans="19:19" ht="12.75" customHeight="1">
      <c r="S295" t="str">
        <f>IF($B295="Risk",COUNTIF($B$2:B295,"Risk"),"")</f>
        <v/>
      </c>
    </row>
    <row r="296" spans="19:19" ht="12.75" customHeight="1">
      <c r="S296" t="str">
        <f>IF($B296="Risk",COUNTIF($B$2:B296,"Risk"),"")</f>
        <v/>
      </c>
    </row>
    <row r="297" spans="19:19" ht="12.75" customHeight="1">
      <c r="S297" t="str">
        <f>IF($B297="Risk",COUNTIF($B$2:B297,"Risk"),"")</f>
        <v/>
      </c>
    </row>
    <row r="298" spans="19:19" ht="12.75" customHeight="1">
      <c r="S298" t="str">
        <f>IF($B298="Risk",COUNTIF($B$2:B298,"Risk"),"")</f>
        <v/>
      </c>
    </row>
    <row r="299" spans="19:19" ht="12.75" customHeight="1">
      <c r="S299" t="str">
        <f>IF($B299="Risk",COUNTIF($B$2:B299,"Risk"),"")</f>
        <v/>
      </c>
    </row>
    <row r="300" spans="19:19" ht="12.75" customHeight="1">
      <c r="S300" t="str">
        <f>IF($B300="Risk",COUNTIF($B$2:B300,"Risk"),"")</f>
        <v/>
      </c>
    </row>
    <row r="301" spans="19:19" ht="12.75" customHeight="1">
      <c r="S301" t="str">
        <f>IF($B301="Risk",COUNTIF($B$2:B301,"Risk"),"")</f>
        <v/>
      </c>
    </row>
    <row r="302" spans="19:19" ht="12.75" customHeight="1">
      <c r="S302" t="str">
        <f>IF($B302="Risk",COUNTIF($B$2:B302,"Risk"),"")</f>
        <v/>
      </c>
    </row>
    <row r="303" spans="19:19" ht="12.75" customHeight="1">
      <c r="S303" t="str">
        <f>IF($B303="Risk",COUNTIF($B$2:B303,"Risk"),"")</f>
        <v/>
      </c>
    </row>
    <row r="304" spans="19:19" ht="12.75" customHeight="1">
      <c r="S304" t="str">
        <f>IF($B304="Risk",COUNTIF($B$2:B304,"Risk"),"")</f>
        <v/>
      </c>
    </row>
    <row r="305" spans="19:19" ht="12.75" customHeight="1">
      <c r="S305" t="str">
        <f>IF($B305="Risk",COUNTIF($B$2:B305,"Risk"),"")</f>
        <v/>
      </c>
    </row>
    <row r="306" spans="19:19" ht="12.75" customHeight="1">
      <c r="S306" t="str">
        <f>IF($B306="Risk",COUNTIF($B$2:B306,"Risk"),"")</f>
        <v/>
      </c>
    </row>
    <row r="307" spans="19:19" ht="12.75" customHeight="1">
      <c r="S307" t="str">
        <f>IF($B307="Risk",COUNTIF($B$2:B307,"Risk"),"")</f>
        <v/>
      </c>
    </row>
    <row r="308" spans="19:19" ht="12.75" customHeight="1">
      <c r="S308" t="str">
        <f>IF($B308="Risk",COUNTIF($B$2:B308,"Risk"),"")</f>
        <v/>
      </c>
    </row>
    <row r="309" spans="19:19" ht="12.75" customHeight="1">
      <c r="S309" t="str">
        <f>IF($B309="Risk",COUNTIF($B$2:B309,"Risk"),"")</f>
        <v/>
      </c>
    </row>
    <row r="310" spans="19:19" ht="12.75" customHeight="1">
      <c r="S310" t="str">
        <f>IF($B310="Risk",COUNTIF($B$2:B310,"Risk"),"")</f>
        <v/>
      </c>
    </row>
    <row r="311" spans="19:19" ht="12.75" customHeight="1">
      <c r="S311" t="str">
        <f>IF($B311="Risk",COUNTIF($B$2:B311,"Risk"),"")</f>
        <v/>
      </c>
    </row>
    <row r="312" spans="19:19" ht="12.75" customHeight="1">
      <c r="S312" t="str">
        <f>IF($B312="Risk",COUNTIF($B$2:B312,"Risk"),"")</f>
        <v/>
      </c>
    </row>
    <row r="313" spans="19:19" ht="12.75" customHeight="1">
      <c r="S313" t="str">
        <f>IF($B313="Risk",COUNTIF($B$2:B313,"Risk"),"")</f>
        <v/>
      </c>
    </row>
    <row r="314" spans="19:19" ht="12.75" customHeight="1">
      <c r="S314" t="str">
        <f>IF($B314="Risk",COUNTIF($B$2:B314,"Risk"),"")</f>
        <v/>
      </c>
    </row>
    <row r="315" spans="19:19" ht="12.75" customHeight="1">
      <c r="S315" t="str">
        <f>IF($B315="Risk",COUNTIF($B$2:B315,"Risk"),"")</f>
        <v/>
      </c>
    </row>
    <row r="316" spans="19:19" ht="12.75" customHeight="1">
      <c r="S316" t="str">
        <f>IF($B316="Risk",COUNTIF($B$2:B316,"Risk"),"")</f>
        <v/>
      </c>
    </row>
    <row r="317" spans="19:19" ht="12.75" customHeight="1">
      <c r="S317" t="str">
        <f>IF($B317="Risk",COUNTIF($B$2:B317,"Risk"),"")</f>
        <v/>
      </c>
    </row>
    <row r="318" spans="19:19" ht="12.75" customHeight="1">
      <c r="S318" t="str">
        <f>IF($B318="Risk",COUNTIF($B$2:B318,"Risk"),"")</f>
        <v/>
      </c>
    </row>
    <row r="319" spans="19:19" ht="12.75" customHeight="1">
      <c r="S319" t="str">
        <f>IF($B319="Risk",COUNTIF($B$2:B319,"Risk"),"")</f>
        <v/>
      </c>
    </row>
    <row r="320" spans="19:19" ht="12.75" customHeight="1">
      <c r="S320" t="str">
        <f>IF($B320="Risk",COUNTIF($B$2:B320,"Risk"),"")</f>
        <v/>
      </c>
    </row>
    <row r="321" spans="19:19" ht="12.75" customHeight="1">
      <c r="S321" t="str">
        <f>IF($B321="Risk",COUNTIF($B$2:B321,"Risk"),"")</f>
        <v/>
      </c>
    </row>
    <row r="322" spans="19:19" ht="12.75" customHeight="1">
      <c r="S322" t="str">
        <f>IF($B322="Risk",COUNTIF($B$2:B322,"Risk"),"")</f>
        <v/>
      </c>
    </row>
    <row r="323" spans="19:19" ht="12.75" customHeight="1">
      <c r="S323" t="str">
        <f>IF($B323="Risk",COUNTIF($B$2:B323,"Risk"),"")</f>
        <v/>
      </c>
    </row>
    <row r="324" spans="19:19" ht="12.75" customHeight="1">
      <c r="S324" t="str">
        <f>IF($B324="Risk",COUNTIF($B$2:B324,"Risk"),"")</f>
        <v/>
      </c>
    </row>
    <row r="325" spans="19:19" ht="12.75" customHeight="1">
      <c r="S325" t="str">
        <f>IF($B325="Risk",COUNTIF($B$2:B325,"Risk"),"")</f>
        <v/>
      </c>
    </row>
    <row r="326" spans="19:19" ht="12.75" customHeight="1">
      <c r="S326" t="str">
        <f>IF($B326="Risk",COUNTIF($B$2:B326,"Risk"),"")</f>
        <v/>
      </c>
    </row>
    <row r="327" spans="19:19" ht="12.75" customHeight="1">
      <c r="S327" t="str">
        <f>IF($B327="Risk",COUNTIF($B$2:B327,"Risk"),"")</f>
        <v/>
      </c>
    </row>
    <row r="328" spans="19:19" ht="12.75" customHeight="1">
      <c r="S328" t="str">
        <f>IF($B328="Risk",COUNTIF($B$2:B328,"Risk"),"")</f>
        <v/>
      </c>
    </row>
    <row r="329" spans="19:19" ht="12.75" customHeight="1">
      <c r="S329" t="str">
        <f>IF($B329="Risk",COUNTIF($B$2:B329,"Risk"),"")</f>
        <v/>
      </c>
    </row>
    <row r="330" spans="19:19" ht="12.75" customHeight="1">
      <c r="S330" t="str">
        <f>IF($B330="Risk",COUNTIF($B$2:B330,"Risk"),"")</f>
        <v/>
      </c>
    </row>
    <row r="331" spans="19:19" ht="12.75" customHeight="1">
      <c r="S331" t="str">
        <f>IF($B331="Risk",COUNTIF($B$2:B331,"Risk"),"")</f>
        <v/>
      </c>
    </row>
    <row r="332" spans="19:19" ht="12.75" customHeight="1">
      <c r="S332" t="str">
        <f>IF($B332="Risk",COUNTIF($B$2:B332,"Risk"),"")</f>
        <v/>
      </c>
    </row>
    <row r="333" spans="19:19" ht="12.75" customHeight="1">
      <c r="S333" t="str">
        <f>IF($B333="Risk",COUNTIF($B$2:B333,"Risk"),"")</f>
        <v/>
      </c>
    </row>
    <row r="334" spans="19:19" ht="12.75" customHeight="1">
      <c r="S334" t="str">
        <f>IF($B334="Risk",COUNTIF($B$2:B334,"Risk"),"")</f>
        <v/>
      </c>
    </row>
    <row r="335" spans="19:19" ht="12.75" customHeight="1">
      <c r="S335" t="str">
        <f>IF($B335="Risk",COUNTIF($B$2:B335,"Risk"),"")</f>
        <v/>
      </c>
    </row>
    <row r="336" spans="19:19" ht="12.75" customHeight="1">
      <c r="S336" t="str">
        <f>IF($B336="Risk",COUNTIF($B$2:B336,"Risk"),"")</f>
        <v/>
      </c>
    </row>
    <row r="337" spans="19:19" ht="12.75" customHeight="1">
      <c r="S337" t="str">
        <f>IF($B337="Risk",COUNTIF($B$2:B337,"Risk"),"")</f>
        <v/>
      </c>
    </row>
    <row r="338" spans="19:19" ht="12.75" customHeight="1">
      <c r="S338" t="str">
        <f>IF($B338="Risk",COUNTIF($B$2:B338,"Risk"),"")</f>
        <v/>
      </c>
    </row>
    <row r="339" spans="19:19" ht="12.75" customHeight="1">
      <c r="S339" t="str">
        <f>IF($B339="Risk",COUNTIF($B$2:B339,"Risk"),"")</f>
        <v/>
      </c>
    </row>
    <row r="340" spans="19:19" ht="12.75" customHeight="1">
      <c r="S340" t="str">
        <f>IF($B340="Risk",COUNTIF($B$2:B340,"Risk"),"")</f>
        <v/>
      </c>
    </row>
    <row r="341" spans="19:19" ht="12.75" customHeight="1">
      <c r="S341" t="str">
        <f>IF($B341="Risk",COUNTIF($B$2:B341,"Risk"),"")</f>
        <v/>
      </c>
    </row>
    <row r="342" spans="19:19" ht="12.75" customHeight="1">
      <c r="S342" t="str">
        <f>IF($B342="Risk",COUNTIF($B$2:B342,"Risk"),"")</f>
        <v/>
      </c>
    </row>
    <row r="343" spans="19:19" ht="12.75" customHeight="1">
      <c r="S343" t="str">
        <f>IF($B343="Risk",COUNTIF($B$2:B343,"Risk"),"")</f>
        <v/>
      </c>
    </row>
    <row r="344" spans="19:19" ht="12.75" customHeight="1">
      <c r="S344" t="str">
        <f>IF($B344="Risk",COUNTIF($B$2:B344,"Risk"),"")</f>
        <v/>
      </c>
    </row>
    <row r="345" spans="19:19" ht="12.75" customHeight="1">
      <c r="S345" t="str">
        <f>IF($B345="Risk",COUNTIF($B$2:B345,"Risk"),"")</f>
        <v/>
      </c>
    </row>
    <row r="346" spans="19:19" ht="12.75" customHeight="1">
      <c r="S346" t="str">
        <f>IF($B346="Risk",COUNTIF($B$2:B346,"Risk"),"")</f>
        <v/>
      </c>
    </row>
    <row r="347" spans="19:19" ht="12.75" customHeight="1">
      <c r="S347" t="str">
        <f>IF($B347="Risk",COUNTIF($B$2:B347,"Risk"),"")</f>
        <v/>
      </c>
    </row>
    <row r="348" spans="19:19" ht="12.75" customHeight="1">
      <c r="S348" t="str">
        <f>IF($B348="Risk",COUNTIF($B$2:B348,"Risk"),"")</f>
        <v/>
      </c>
    </row>
    <row r="349" spans="19:19" ht="12.75" customHeight="1">
      <c r="S349" t="str">
        <f>IF($B349="Risk",COUNTIF($B$2:B349,"Risk"),"")</f>
        <v/>
      </c>
    </row>
    <row r="350" spans="19:19" ht="12.75" customHeight="1">
      <c r="S350" t="str">
        <f>IF($B350="Risk",COUNTIF($B$2:B350,"Risk"),"")</f>
        <v/>
      </c>
    </row>
    <row r="351" spans="19:19" ht="12.75" customHeight="1">
      <c r="S351" t="str">
        <f>IF($B351="Risk",COUNTIF($B$2:B351,"Risk"),"")</f>
        <v/>
      </c>
    </row>
    <row r="352" spans="19:19" ht="12.75" customHeight="1">
      <c r="S352" t="str">
        <f>IF($B352="Risk",COUNTIF($B$2:B352,"Risk"),"")</f>
        <v/>
      </c>
    </row>
    <row r="353" spans="19:19" ht="12.75" customHeight="1">
      <c r="S353" t="str">
        <f>IF($B353="Risk",COUNTIF($B$2:B353,"Risk"),"")</f>
        <v/>
      </c>
    </row>
    <row r="354" spans="19:19" ht="12.75" customHeight="1">
      <c r="S354" t="str">
        <f>IF($B354="Risk",COUNTIF($B$2:B354,"Risk"),"")</f>
        <v/>
      </c>
    </row>
    <row r="355" spans="19:19" ht="12.75" customHeight="1">
      <c r="S355" t="str">
        <f>IF($B355="Risk",COUNTIF($B$2:B355,"Risk"),"")</f>
        <v/>
      </c>
    </row>
    <row r="356" spans="19:19" ht="12.75" customHeight="1">
      <c r="S356" t="str">
        <f>IF($B356="Risk",COUNTIF($B$2:B356,"Risk"),"")</f>
        <v/>
      </c>
    </row>
    <row r="357" spans="19:19" ht="12.75" customHeight="1">
      <c r="S357" t="str">
        <f>IF($B357="Risk",COUNTIF($B$2:B357,"Risk"),"")</f>
        <v/>
      </c>
    </row>
    <row r="358" spans="19:19" ht="12.75" customHeight="1">
      <c r="S358" t="str">
        <f>IF($B358="Risk",COUNTIF($B$2:B358,"Risk"),"")</f>
        <v/>
      </c>
    </row>
    <row r="359" spans="19:19" ht="12.75" customHeight="1">
      <c r="S359" t="str">
        <f>IF($B359="Risk",COUNTIF($B$2:B359,"Risk"),"")</f>
        <v/>
      </c>
    </row>
    <row r="360" spans="19:19" ht="12.75" customHeight="1">
      <c r="S360" t="str">
        <f>IF($B360="Risk",COUNTIF($B$2:B360,"Risk"),"")</f>
        <v/>
      </c>
    </row>
    <row r="361" spans="19:19" ht="12.75" customHeight="1">
      <c r="S361" t="str">
        <f>IF($B361="Risk",COUNTIF($B$2:B361,"Risk"),"")</f>
        <v/>
      </c>
    </row>
    <row r="362" spans="19:19" ht="12.75" customHeight="1">
      <c r="S362" t="str">
        <f>IF($B362="Risk",COUNTIF($B$2:B362,"Risk"),"")</f>
        <v/>
      </c>
    </row>
    <row r="363" spans="19:19" ht="12.75" customHeight="1">
      <c r="S363" t="str">
        <f>IF($B363="Risk",COUNTIF($B$2:B363,"Risk"),"")</f>
        <v/>
      </c>
    </row>
    <row r="364" spans="19:19" ht="12.75" customHeight="1">
      <c r="S364" t="str">
        <f>IF($B364="Risk",COUNTIF($B$2:B364,"Risk"),"")</f>
        <v/>
      </c>
    </row>
    <row r="365" spans="19:19" ht="12.75" customHeight="1">
      <c r="S365" t="str">
        <f>IF($B365="Risk",COUNTIF($B$2:B365,"Risk"),"")</f>
        <v/>
      </c>
    </row>
    <row r="366" spans="19:19" ht="12.75" customHeight="1">
      <c r="S366" t="str">
        <f>IF($B366="Risk",COUNTIF($B$2:B366,"Risk"),"")</f>
        <v/>
      </c>
    </row>
    <row r="367" spans="19:19" ht="12.75" customHeight="1">
      <c r="S367" t="str">
        <f>IF($B367="Risk",COUNTIF($B$2:B367,"Risk"),"")</f>
        <v/>
      </c>
    </row>
    <row r="368" spans="19:19" ht="12.75" customHeight="1">
      <c r="S368" t="str">
        <f>IF($B368="Risk",COUNTIF($B$2:B368,"Risk"),"")</f>
        <v/>
      </c>
    </row>
    <row r="369" spans="19:19" ht="12.75" customHeight="1">
      <c r="S369" t="str">
        <f>IF($B369="Risk",COUNTIF($B$2:B369,"Risk"),"")</f>
        <v/>
      </c>
    </row>
    <row r="370" spans="19:19" ht="12.75" customHeight="1">
      <c r="S370" t="str">
        <f>IF($B370="Risk",COUNTIF($B$2:B370,"Risk"),"")</f>
        <v/>
      </c>
    </row>
    <row r="371" spans="19:19" ht="12.75" customHeight="1">
      <c r="S371" t="str">
        <f>IF($B371="Risk",COUNTIF($B$2:B371,"Risk"),"")</f>
        <v/>
      </c>
    </row>
    <row r="372" spans="19:19" ht="12.75" customHeight="1">
      <c r="S372" t="str">
        <f>IF($B372="Risk",COUNTIF($B$2:B372,"Risk"),"")</f>
        <v/>
      </c>
    </row>
    <row r="373" spans="19:19" ht="12.75" customHeight="1">
      <c r="S373" t="str">
        <f>IF($B373="Risk",COUNTIF($B$2:B373,"Risk"),"")</f>
        <v/>
      </c>
    </row>
    <row r="374" spans="19:19" ht="12.75" customHeight="1">
      <c r="S374" t="str">
        <f>IF($B374="Risk",COUNTIF($B$2:B374,"Risk"),"")</f>
        <v/>
      </c>
    </row>
    <row r="375" spans="19:19" ht="12.75" customHeight="1">
      <c r="S375" t="str">
        <f>IF($B375="Risk",COUNTIF($B$2:B375,"Risk"),"")</f>
        <v/>
      </c>
    </row>
    <row r="376" spans="19:19" ht="12.75" customHeight="1">
      <c r="S376" t="str">
        <f>IF($B376="Risk",COUNTIF($B$2:B376,"Risk"),"")</f>
        <v/>
      </c>
    </row>
    <row r="377" spans="19:19" ht="12.75" customHeight="1">
      <c r="S377" t="str">
        <f>IF($B377="Risk",COUNTIF($B$2:B377,"Risk"),"")</f>
        <v/>
      </c>
    </row>
    <row r="378" spans="19:19" ht="12.75" customHeight="1">
      <c r="S378" t="str">
        <f>IF($B378="Risk",COUNTIF($B$2:B378,"Risk"),"")</f>
        <v/>
      </c>
    </row>
    <row r="379" spans="19:19" ht="12.75" customHeight="1">
      <c r="S379" t="str">
        <f>IF($B379="Risk",COUNTIF($B$2:B379,"Risk"),"")</f>
        <v/>
      </c>
    </row>
    <row r="380" spans="19:19" ht="12.75" customHeight="1">
      <c r="S380" t="str">
        <f>IF($B380="Risk",COUNTIF($B$2:B380,"Risk"),"")</f>
        <v/>
      </c>
    </row>
    <row r="381" spans="19:19" ht="12.75" customHeight="1">
      <c r="S381" t="str">
        <f>IF($B381="Risk",COUNTIF($B$2:B381,"Risk"),"")</f>
        <v/>
      </c>
    </row>
    <row r="382" spans="19:19" ht="12.75" customHeight="1">
      <c r="S382" t="str">
        <f>IF($B382="Risk",COUNTIF($B$2:B382,"Risk"),"")</f>
        <v/>
      </c>
    </row>
    <row r="383" spans="19:19" ht="12.75" customHeight="1">
      <c r="S383" t="str">
        <f>IF($B383="Risk",COUNTIF($B$2:B383,"Risk"),"")</f>
        <v/>
      </c>
    </row>
    <row r="384" spans="19:19" ht="12.75" customHeight="1">
      <c r="S384" t="str">
        <f>IF($B384="Risk",COUNTIF($B$2:B384,"Risk"),"")</f>
        <v/>
      </c>
    </row>
    <row r="385" spans="19:19" ht="12.75" customHeight="1">
      <c r="S385" t="str">
        <f>IF($B385="Risk",COUNTIF($B$2:B385,"Risk"),"")</f>
        <v/>
      </c>
    </row>
    <row r="386" spans="19:19" ht="12.75" customHeight="1">
      <c r="S386" t="str">
        <f>IF($B386="Risk",COUNTIF($B$2:B386,"Risk"),"")</f>
        <v/>
      </c>
    </row>
    <row r="387" spans="19:19" ht="12.75" customHeight="1">
      <c r="S387" t="str">
        <f>IF($B387="Risk",COUNTIF($B$2:B387,"Risk"),"")</f>
        <v/>
      </c>
    </row>
    <row r="388" spans="19:19" ht="12.75" customHeight="1">
      <c r="S388" t="str">
        <f>IF($B388="Risk",COUNTIF($B$2:B388,"Risk"),"")</f>
        <v/>
      </c>
    </row>
    <row r="389" spans="19:19" ht="12.75" customHeight="1">
      <c r="S389" t="str">
        <f>IF($B389="Risk",COUNTIF($B$2:B389,"Risk"),"")</f>
        <v/>
      </c>
    </row>
    <row r="390" spans="19:19" ht="12.75" customHeight="1">
      <c r="S390" t="str">
        <f>IF($B390="Risk",COUNTIF($B$2:B390,"Risk"),"")</f>
        <v/>
      </c>
    </row>
    <row r="391" spans="19:19" ht="12.75" customHeight="1">
      <c r="S391" t="str">
        <f>IF($B391="Risk",COUNTIF($B$2:B391,"Risk"),"")</f>
        <v/>
      </c>
    </row>
    <row r="392" spans="19:19" ht="12.75" customHeight="1">
      <c r="S392" t="str">
        <f>IF($B392="Risk",COUNTIF($B$2:B392,"Risk"),"")</f>
        <v/>
      </c>
    </row>
    <row r="393" spans="19:19" ht="12.75" customHeight="1">
      <c r="S393" t="str">
        <f>IF($B393="Risk",COUNTIF($B$2:B393,"Risk"),"")</f>
        <v/>
      </c>
    </row>
    <row r="394" spans="19:19" ht="12.75" customHeight="1">
      <c r="S394" t="str">
        <f>IF($B394="Risk",COUNTIF($B$2:B394,"Risk"),"")</f>
        <v/>
      </c>
    </row>
    <row r="395" spans="19:19" ht="12.75" customHeight="1">
      <c r="S395" t="str">
        <f>IF($B395="Risk",COUNTIF($B$2:B395,"Risk"),"")</f>
        <v/>
      </c>
    </row>
    <row r="396" spans="19:19" ht="12.75" customHeight="1">
      <c r="S396" t="str">
        <f>IF($B396="Risk",COUNTIF($B$2:B396,"Risk"),"")</f>
        <v/>
      </c>
    </row>
    <row r="397" spans="19:19" ht="12.75" customHeight="1">
      <c r="S397" t="str">
        <f>IF($B397="Risk",COUNTIF($B$2:B397,"Risk"),"")</f>
        <v/>
      </c>
    </row>
    <row r="398" spans="19:19" ht="12.75" customHeight="1">
      <c r="S398" t="str">
        <f>IF($B398="Risk",COUNTIF($B$2:B398,"Risk"),"")</f>
        <v/>
      </c>
    </row>
    <row r="399" spans="19:19" ht="12.75" customHeight="1">
      <c r="S399" t="str">
        <f>IF($B399="Risk",COUNTIF($B$2:B399,"Risk"),"")</f>
        <v/>
      </c>
    </row>
    <row r="400" spans="19:19" ht="12.75" customHeight="1">
      <c r="S400" t="str">
        <f>IF($B400="Risk",COUNTIF($B$2:B400,"Risk"),"")</f>
        <v/>
      </c>
    </row>
    <row r="401" spans="19:19" ht="12.75" customHeight="1">
      <c r="S401" t="str">
        <f>IF($B401="Risk",COUNTIF($B$2:B401,"Risk"),"")</f>
        <v/>
      </c>
    </row>
    <row r="402" spans="19:19" ht="12.75" customHeight="1">
      <c r="S402" t="str">
        <f>IF($B402="Risk",COUNTIF($B$2:B402,"Risk"),"")</f>
        <v/>
      </c>
    </row>
    <row r="403" spans="19:19" ht="12.75" customHeight="1">
      <c r="S403" t="str">
        <f>IF($B403="Risk",COUNTIF($B$2:B403,"Risk"),"")</f>
        <v/>
      </c>
    </row>
    <row r="404" spans="19:19" ht="12.75" customHeight="1">
      <c r="S404" t="str">
        <f>IF($B404="Risk",COUNTIF($B$2:B404,"Risk"),"")</f>
        <v/>
      </c>
    </row>
    <row r="405" spans="19:19" ht="12.75" customHeight="1">
      <c r="S405" t="str">
        <f>IF($B405="Risk",COUNTIF($B$2:B405,"Risk"),"")</f>
        <v/>
      </c>
    </row>
    <row r="406" spans="19:19" ht="12.75" customHeight="1">
      <c r="S406" t="str">
        <f>IF($B406="Risk",COUNTIF($B$2:B406,"Risk"),"")</f>
        <v/>
      </c>
    </row>
    <row r="407" spans="19:19" ht="12.75" customHeight="1">
      <c r="S407" t="str">
        <f>IF($B407="Risk",COUNTIF($B$2:B407,"Risk"),"")</f>
        <v/>
      </c>
    </row>
    <row r="408" spans="19:19" ht="12.75" customHeight="1">
      <c r="S408" t="str">
        <f>IF($B408="Risk",COUNTIF($B$2:B408,"Risk"),"")</f>
        <v/>
      </c>
    </row>
    <row r="409" spans="19:19" ht="12.75" customHeight="1">
      <c r="S409" t="str">
        <f>IF($B409="Risk",COUNTIF($B$2:B409,"Risk"),"")</f>
        <v/>
      </c>
    </row>
    <row r="410" spans="19:19" ht="12.75" customHeight="1">
      <c r="S410" t="str">
        <f>IF($B410="Risk",COUNTIF($B$2:B410,"Risk"),"")</f>
        <v/>
      </c>
    </row>
    <row r="411" spans="19:19" ht="12.75" customHeight="1">
      <c r="S411" t="str">
        <f>IF($B411="Risk",COUNTIF($B$2:B411,"Risk"),"")</f>
        <v/>
      </c>
    </row>
    <row r="412" spans="19:19" ht="12.75" customHeight="1">
      <c r="S412" t="str">
        <f>IF($B412="Risk",COUNTIF($B$2:B412,"Risk"),"")</f>
        <v/>
      </c>
    </row>
    <row r="413" spans="19:19" ht="12.75" customHeight="1">
      <c r="S413" t="str">
        <f>IF($B413="Risk",COUNTIF($B$2:B413,"Risk"),"")</f>
        <v/>
      </c>
    </row>
    <row r="414" spans="19:19" ht="12.75" customHeight="1">
      <c r="S414" t="str">
        <f>IF($B414="Risk",COUNTIF($B$2:B414,"Risk"),"")</f>
        <v/>
      </c>
    </row>
    <row r="415" spans="19:19" ht="12.75" customHeight="1">
      <c r="S415" t="str">
        <f>IF($B415="Risk",COUNTIF($B$2:B415,"Risk"),"")</f>
        <v/>
      </c>
    </row>
    <row r="416" spans="19:19" ht="12.75" customHeight="1">
      <c r="S416" t="str">
        <f>IF($B416="Risk",COUNTIF($B$2:B416,"Risk"),"")</f>
        <v/>
      </c>
    </row>
    <row r="417" spans="19:19" ht="12.75" customHeight="1">
      <c r="S417" t="str">
        <f>IF($B417="Risk",COUNTIF($B$2:B417,"Risk"),"")</f>
        <v/>
      </c>
    </row>
    <row r="418" spans="19:19" ht="12.75" customHeight="1">
      <c r="S418" t="str">
        <f>IF($B418="Risk",COUNTIF($B$2:B418,"Risk"),"")</f>
        <v/>
      </c>
    </row>
    <row r="419" spans="19:19" ht="12.75" customHeight="1">
      <c r="S419" t="str">
        <f>IF($B419="Risk",COUNTIF($B$2:B419,"Risk"),"")</f>
        <v/>
      </c>
    </row>
    <row r="420" spans="19:19" ht="12.75" customHeight="1">
      <c r="S420" t="str">
        <f>IF($B420="Risk",COUNTIF($B$2:B420,"Risk"),"")</f>
        <v/>
      </c>
    </row>
    <row r="421" spans="19:19" ht="12.75" customHeight="1">
      <c r="S421" t="str">
        <f>IF($B421="Risk",COUNTIF($B$2:B421,"Risk"),"")</f>
        <v/>
      </c>
    </row>
    <row r="422" spans="19:19" ht="12.75" customHeight="1">
      <c r="S422" t="str">
        <f>IF($B422="Risk",COUNTIF($B$2:B422,"Risk"),"")</f>
        <v/>
      </c>
    </row>
    <row r="423" spans="19:19" ht="12.75" customHeight="1">
      <c r="S423" t="str">
        <f>IF($B423="Risk",COUNTIF($B$2:B423,"Risk"),"")</f>
        <v/>
      </c>
    </row>
    <row r="424" spans="19:19" ht="12.75" customHeight="1">
      <c r="S424" t="str">
        <f>IF($B424="Risk",COUNTIF($B$2:B424,"Risk"),"")</f>
        <v/>
      </c>
    </row>
    <row r="425" spans="19:19" ht="12.75" customHeight="1">
      <c r="S425" t="str">
        <f>IF($B425="Risk",COUNTIF($B$2:B425,"Risk"),"")</f>
        <v/>
      </c>
    </row>
    <row r="426" spans="19:19" ht="12.75" customHeight="1">
      <c r="S426" t="str">
        <f>IF($B426="Risk",COUNTIF($B$2:B426,"Risk"),"")</f>
        <v/>
      </c>
    </row>
    <row r="427" spans="19:19" ht="12.75" customHeight="1">
      <c r="S427" t="str">
        <f>IF($B427="Risk",COUNTIF($B$2:B427,"Risk"),"")</f>
        <v/>
      </c>
    </row>
    <row r="428" spans="19:19" ht="12.75" customHeight="1">
      <c r="S428" t="str">
        <f>IF($B428="Risk",COUNTIF($B$2:B428,"Risk"),"")</f>
        <v/>
      </c>
    </row>
    <row r="429" spans="19:19" ht="12.75" customHeight="1">
      <c r="S429" t="str">
        <f>IF($B429="Risk",COUNTIF($B$2:B429,"Risk"),"")</f>
        <v/>
      </c>
    </row>
    <row r="430" spans="19:19" ht="12.75" customHeight="1">
      <c r="S430" t="str">
        <f>IF($B430="Risk",COUNTIF($B$2:B430,"Risk"),"")</f>
        <v/>
      </c>
    </row>
    <row r="431" spans="19:19" ht="12.75" customHeight="1">
      <c r="S431" t="str">
        <f>IF($B431="Risk",COUNTIF($B$2:B431,"Risk"),"")</f>
        <v/>
      </c>
    </row>
    <row r="432" spans="19:19" ht="12.75" customHeight="1">
      <c r="S432" t="str">
        <f>IF($B432="Risk",COUNTIF($B$2:B432,"Risk"),"")</f>
        <v/>
      </c>
    </row>
    <row r="433" spans="19:19" ht="12.75" customHeight="1">
      <c r="S433" t="str">
        <f>IF($B433="Risk",COUNTIF($B$2:B433,"Risk"),"")</f>
        <v/>
      </c>
    </row>
    <row r="434" spans="19:19" ht="12.75" customHeight="1">
      <c r="S434" t="str">
        <f>IF($B434="Risk",COUNTIF($B$2:B434,"Risk"),"")</f>
        <v/>
      </c>
    </row>
    <row r="435" spans="19:19" ht="12.75" customHeight="1">
      <c r="S435" t="str">
        <f>IF($B435="Risk",COUNTIF($B$2:B435,"Risk"),"")</f>
        <v/>
      </c>
    </row>
    <row r="436" spans="19:19" ht="12.75" customHeight="1">
      <c r="S436" t="str">
        <f>IF($B436="Risk",COUNTIF($B$2:B436,"Risk"),"")</f>
        <v/>
      </c>
    </row>
    <row r="437" spans="19:19" ht="12.75" customHeight="1">
      <c r="S437" t="str">
        <f>IF($B437="Risk",COUNTIF($B$2:B437,"Risk"),"")</f>
        <v/>
      </c>
    </row>
    <row r="438" spans="19:19" ht="12.75" customHeight="1">
      <c r="S438" t="str">
        <f>IF($B438="Risk",COUNTIF($B$2:B438,"Risk"),"")</f>
        <v/>
      </c>
    </row>
    <row r="439" spans="19:19" ht="12.75" customHeight="1">
      <c r="S439" t="str">
        <f>IF($B439="Risk",COUNTIF($B$2:B439,"Risk"),"")</f>
        <v/>
      </c>
    </row>
    <row r="440" spans="19:19" ht="12.75" customHeight="1">
      <c r="S440" t="str">
        <f>IF($B440="Risk",COUNTIF($B$2:B440,"Risk"),"")</f>
        <v/>
      </c>
    </row>
    <row r="441" spans="19:19" ht="12.75" customHeight="1">
      <c r="S441" t="str">
        <f>IF($B441="Risk",COUNTIF($B$2:B441,"Risk"),"")</f>
        <v/>
      </c>
    </row>
    <row r="442" spans="19:19" ht="12.75" customHeight="1">
      <c r="S442" t="str">
        <f>IF($B442="Risk",COUNTIF($B$2:B442,"Risk"),"")</f>
        <v/>
      </c>
    </row>
    <row r="443" spans="19:19" ht="12.75" customHeight="1">
      <c r="S443" t="str">
        <f>IF($B443="Risk",COUNTIF($B$2:B443,"Risk"),"")</f>
        <v/>
      </c>
    </row>
    <row r="444" spans="19:19" ht="12.75" customHeight="1">
      <c r="S444" t="str">
        <f>IF($B444="Risk",COUNTIF($B$2:B444,"Risk"),"")</f>
        <v/>
      </c>
    </row>
    <row r="445" spans="19:19" ht="12.75" customHeight="1">
      <c r="S445" t="str">
        <f>IF($B445="Risk",COUNTIF($B$2:B445,"Risk"),"")</f>
        <v/>
      </c>
    </row>
    <row r="446" spans="19:19" ht="12.75" customHeight="1">
      <c r="S446" t="str">
        <f>IF($B446="Risk",COUNTIF($B$2:B446,"Risk"),"")</f>
        <v/>
      </c>
    </row>
    <row r="447" spans="19:19" ht="12.75" customHeight="1">
      <c r="S447" t="str">
        <f>IF($B447="Risk",COUNTIF($B$2:B447,"Risk"),"")</f>
        <v/>
      </c>
    </row>
    <row r="448" spans="19:19" ht="12.75" customHeight="1">
      <c r="S448" t="str">
        <f>IF($B448="Risk",COUNTIF($B$2:B448,"Risk"),"")</f>
        <v/>
      </c>
    </row>
    <row r="449" spans="19:19" ht="12.75" customHeight="1">
      <c r="S449" t="str">
        <f>IF($B449="Risk",COUNTIF($B$2:B449,"Risk"),"")</f>
        <v/>
      </c>
    </row>
    <row r="450" spans="19:19" ht="12.75" customHeight="1">
      <c r="S450" t="str">
        <f>IF($B450="Risk",COUNTIF($B$2:B450,"Risk"),"")</f>
        <v/>
      </c>
    </row>
    <row r="451" spans="19:19" ht="12.75" customHeight="1">
      <c r="S451" t="str">
        <f>IF($B451="Risk",COUNTIF($B$2:B451,"Risk"),"")</f>
        <v/>
      </c>
    </row>
    <row r="452" spans="19:19" ht="12.75" customHeight="1">
      <c r="S452" t="str">
        <f>IF($B452="Risk",COUNTIF($B$2:B452,"Risk"),"")</f>
        <v/>
      </c>
    </row>
    <row r="453" spans="19:19" ht="12.75" customHeight="1">
      <c r="S453" t="str">
        <f>IF($B453="Risk",COUNTIF($B$2:B453,"Risk"),"")</f>
        <v/>
      </c>
    </row>
    <row r="454" spans="19:19" ht="12.75" customHeight="1">
      <c r="S454" t="str">
        <f>IF($B454="Risk",COUNTIF($B$2:B454,"Risk"),"")</f>
        <v/>
      </c>
    </row>
    <row r="455" spans="19:19" ht="12.75" customHeight="1">
      <c r="S455" t="str">
        <f>IF($B455="Risk",COUNTIF($B$2:B455,"Risk"),"")</f>
        <v/>
      </c>
    </row>
    <row r="456" spans="19:19" ht="12.75" customHeight="1">
      <c r="S456" t="str">
        <f>IF($B456="Risk",COUNTIF($B$2:B456,"Risk"),"")</f>
        <v/>
      </c>
    </row>
    <row r="457" spans="19:19" ht="12.75" customHeight="1">
      <c r="S457" t="str">
        <f>IF($B457="Risk",COUNTIF($B$2:B457,"Risk"),"")</f>
        <v/>
      </c>
    </row>
    <row r="458" spans="19:19" ht="12.75" customHeight="1">
      <c r="S458" t="str">
        <f>IF($B458="Risk",COUNTIF($B$2:B458,"Risk"),"")</f>
        <v/>
      </c>
    </row>
    <row r="459" spans="19:19" ht="12.75" customHeight="1">
      <c r="S459" t="str">
        <f>IF($B459="Risk",COUNTIF($B$2:B459,"Risk"),"")</f>
        <v/>
      </c>
    </row>
    <row r="460" spans="19:19" ht="12.75" customHeight="1">
      <c r="S460" t="str">
        <f>IF($B460="Risk",COUNTIF($B$2:B460,"Risk"),"")</f>
        <v/>
      </c>
    </row>
    <row r="461" spans="19:19" ht="12.75" customHeight="1">
      <c r="S461" t="str">
        <f>IF($B461="Risk",COUNTIF($B$2:B461,"Risk"),"")</f>
        <v/>
      </c>
    </row>
    <row r="462" spans="19:19" ht="12.75" customHeight="1">
      <c r="S462" t="str">
        <f>IF($B462="Risk",COUNTIF($B$2:B462,"Risk"),"")</f>
        <v/>
      </c>
    </row>
    <row r="463" spans="19:19" ht="12.75" customHeight="1">
      <c r="S463" t="str">
        <f>IF($B463="Risk",COUNTIF($B$2:B463,"Risk"),"")</f>
        <v/>
      </c>
    </row>
    <row r="464" spans="19:19" ht="12.75" customHeight="1">
      <c r="S464" t="str">
        <f>IF($B464="Risk",COUNTIF($B$2:B464,"Risk"),"")</f>
        <v/>
      </c>
    </row>
    <row r="465" spans="19:19" ht="12.75" customHeight="1">
      <c r="S465" t="str">
        <f>IF($B465="Risk",COUNTIF($B$2:B465,"Risk"),"")</f>
        <v/>
      </c>
    </row>
    <row r="466" spans="19:19" ht="12.75" customHeight="1">
      <c r="S466" t="str">
        <f>IF($B466="Risk",COUNTIF($B$2:B466,"Risk"),"")</f>
        <v/>
      </c>
    </row>
    <row r="467" spans="19:19" ht="12.75" customHeight="1">
      <c r="S467" t="str">
        <f>IF($B467="Risk",COUNTIF($B$2:B467,"Risk"),"")</f>
        <v/>
      </c>
    </row>
    <row r="468" spans="19:19" ht="12.75" customHeight="1">
      <c r="S468" t="str">
        <f>IF($B468="Risk",COUNTIF($B$2:B468,"Risk"),"")</f>
        <v/>
      </c>
    </row>
    <row r="469" spans="19:19" ht="12.75" customHeight="1">
      <c r="S469" t="str">
        <f>IF($B469="Risk",COUNTIF($B$2:B469,"Risk"),"")</f>
        <v/>
      </c>
    </row>
    <row r="470" spans="19:19" ht="12.75" customHeight="1">
      <c r="S470" t="str">
        <f>IF($B470="Risk",COUNTIF($B$2:B470,"Risk"),"")</f>
        <v/>
      </c>
    </row>
    <row r="471" spans="19:19" ht="12.75" customHeight="1">
      <c r="S471" t="str">
        <f>IF($B471="Risk",COUNTIF($B$2:B471,"Risk"),"")</f>
        <v/>
      </c>
    </row>
    <row r="472" spans="19:19" ht="12.75" customHeight="1">
      <c r="S472" t="str">
        <f>IF($B472="Risk",COUNTIF($B$2:B472,"Risk"),"")</f>
        <v/>
      </c>
    </row>
    <row r="473" spans="19:19" ht="12.75" customHeight="1">
      <c r="S473" t="str">
        <f>IF($B473="Risk",COUNTIF($B$2:B473,"Risk"),"")</f>
        <v/>
      </c>
    </row>
    <row r="474" spans="19:19" ht="12.75" customHeight="1">
      <c r="S474" t="str">
        <f>IF($B474="Risk",COUNTIF($B$2:B474,"Risk"),"")</f>
        <v/>
      </c>
    </row>
    <row r="475" spans="19:19" ht="12.75" customHeight="1">
      <c r="S475" t="str">
        <f>IF($B475="Risk",COUNTIF($B$2:B475,"Risk"),"")</f>
        <v/>
      </c>
    </row>
    <row r="476" spans="19:19" ht="12.75" customHeight="1">
      <c r="S476" t="str">
        <f>IF($B476="Risk",COUNTIF($B$2:B476,"Risk"),"")</f>
        <v/>
      </c>
    </row>
    <row r="477" spans="19:19" ht="12.75" customHeight="1">
      <c r="S477" t="str">
        <f>IF($B477="Risk",COUNTIF($B$2:B477,"Risk"),"")</f>
        <v/>
      </c>
    </row>
    <row r="478" spans="19:19" ht="12.75" customHeight="1">
      <c r="S478" t="str">
        <f>IF($B478="Risk",COUNTIF($B$2:B478,"Risk"),"")</f>
        <v/>
      </c>
    </row>
    <row r="479" spans="19:19" ht="12.75" customHeight="1">
      <c r="S479" t="str">
        <f>IF($B479="Risk",COUNTIF($B$2:B479,"Risk"),"")</f>
        <v/>
      </c>
    </row>
    <row r="480" spans="19:19" ht="12.75" customHeight="1">
      <c r="S480" t="str">
        <f>IF($B480="Risk",COUNTIF($B$2:B480,"Risk"),"")</f>
        <v/>
      </c>
    </row>
    <row r="481" spans="19:19" ht="12.75" customHeight="1">
      <c r="S481" t="str">
        <f>IF($B481="Risk",COUNTIF($B$2:B481,"Risk"),"")</f>
        <v/>
      </c>
    </row>
    <row r="482" spans="19:19" ht="12.75" customHeight="1">
      <c r="S482" t="str">
        <f>IF($B482="Risk",COUNTIF($B$2:B482,"Risk"),"")</f>
        <v/>
      </c>
    </row>
    <row r="483" spans="19:19" ht="12.75" customHeight="1">
      <c r="S483" t="str">
        <f>IF($B483="Risk",COUNTIF($B$2:B483,"Risk"),"")</f>
        <v/>
      </c>
    </row>
    <row r="484" spans="19:19" ht="12.75" customHeight="1">
      <c r="S484" t="str">
        <f>IF($B484="Risk",COUNTIF($B$2:B484,"Risk"),"")</f>
        <v/>
      </c>
    </row>
    <row r="485" spans="19:19" ht="12.75" customHeight="1">
      <c r="S485" t="str">
        <f>IF($B485="Risk",COUNTIF($B$2:B485,"Risk"),"")</f>
        <v/>
      </c>
    </row>
    <row r="486" spans="19:19" ht="12.75" customHeight="1">
      <c r="S486" t="str">
        <f>IF($B486="Risk",COUNTIF($B$2:B486,"Risk"),"")</f>
        <v/>
      </c>
    </row>
    <row r="487" spans="19:19" ht="12.75" customHeight="1">
      <c r="S487" t="str">
        <f>IF($B487="Risk",COUNTIF($B$2:B487,"Risk"),"")</f>
        <v/>
      </c>
    </row>
    <row r="488" spans="19:19" ht="12.75" customHeight="1">
      <c r="S488" t="str">
        <f>IF($B488="Risk",COUNTIF($B$2:B488,"Risk"),"")</f>
        <v/>
      </c>
    </row>
    <row r="489" spans="19:19" ht="12.75" customHeight="1">
      <c r="S489" t="str">
        <f>IF($B489="Risk",COUNTIF($B$2:B489,"Risk"),"")</f>
        <v/>
      </c>
    </row>
    <row r="490" spans="19:19" ht="12.75" customHeight="1">
      <c r="S490" t="str">
        <f>IF($B490="Risk",COUNTIF($B$2:B490,"Risk"),"")</f>
        <v/>
      </c>
    </row>
    <row r="491" spans="19:19" ht="12.75" customHeight="1">
      <c r="S491" t="str">
        <f>IF($B491="Risk",COUNTIF($B$2:B491,"Risk"),"")</f>
        <v/>
      </c>
    </row>
    <row r="492" spans="19:19" ht="12.75" customHeight="1">
      <c r="S492" t="str">
        <f>IF($B492="Risk",COUNTIF($B$2:B492,"Risk"),"")</f>
        <v/>
      </c>
    </row>
    <row r="493" spans="19:19" ht="12.75" customHeight="1">
      <c r="S493" t="str">
        <f>IF($B493="Risk",COUNTIF($B$2:B493,"Risk"),"")</f>
        <v/>
      </c>
    </row>
    <row r="494" spans="19:19" ht="12.75" customHeight="1">
      <c r="S494" t="str">
        <f>IF($B494="Risk",COUNTIF($B$2:B494,"Risk"),"")</f>
        <v/>
      </c>
    </row>
    <row r="495" spans="19:19" ht="12.75" customHeight="1">
      <c r="S495" t="str">
        <f>IF($B495="Risk",COUNTIF($B$2:B495,"Risk"),"")</f>
        <v/>
      </c>
    </row>
    <row r="496" spans="19:19" ht="12.75" customHeight="1">
      <c r="S496" t="str">
        <f>IF($B496="Risk",COUNTIF($B$2:B496,"Risk"),"")</f>
        <v/>
      </c>
    </row>
    <row r="497" spans="19:19" ht="12.75" customHeight="1">
      <c r="S497" t="str">
        <f>IF($B497="Risk",COUNTIF($B$2:B497,"Risk"),"")</f>
        <v/>
      </c>
    </row>
    <row r="498" spans="19:19" ht="12.75" customHeight="1">
      <c r="S498" t="str">
        <f>IF($B498="Risk",COUNTIF($B$2:B498,"Risk"),"")</f>
        <v/>
      </c>
    </row>
    <row r="499" spans="19:19" ht="12.75" customHeight="1">
      <c r="S499" t="str">
        <f>IF($B499="Risk",COUNTIF($B$2:B499,"Risk"),"")</f>
        <v/>
      </c>
    </row>
    <row r="500" spans="19:19" ht="12.75" customHeight="1">
      <c r="S500" t="str">
        <f>IF($B500="Risk",COUNTIF($B$2:B500,"Risk"),"")</f>
        <v/>
      </c>
    </row>
    <row r="501" spans="19:19" ht="12.75" customHeight="1">
      <c r="S501" t="str">
        <f>IF($B501="Risk",COUNTIF($B$2:B501,"Risk"),"")</f>
        <v/>
      </c>
    </row>
    <row r="502" spans="19:19" ht="12.75" customHeight="1">
      <c r="S502" t="str">
        <f>IF($B502="Risk",COUNTIF($B$2:B502,"Risk"),"")</f>
        <v/>
      </c>
    </row>
    <row r="503" spans="19:19" ht="12.75" customHeight="1">
      <c r="S503" t="str">
        <f>IF($B503="Risk",COUNTIF($B$2:B503,"Risk"),"")</f>
        <v/>
      </c>
    </row>
    <row r="504" spans="19:19" ht="12.75" customHeight="1">
      <c r="S504" t="str">
        <f>IF($B504="Risk",COUNTIF($B$2:B504,"Risk"),"")</f>
        <v/>
      </c>
    </row>
    <row r="505" spans="19:19" ht="12.75" customHeight="1">
      <c r="S505" t="str">
        <f>IF($B505="Risk",COUNTIF($B$2:B505,"Risk"),"")</f>
        <v/>
      </c>
    </row>
    <row r="506" spans="19:19" ht="12.75" customHeight="1">
      <c r="S506" t="str">
        <f>IF($B506="Risk",COUNTIF($B$2:B506,"Risk"),"")</f>
        <v/>
      </c>
    </row>
    <row r="507" spans="19:19" ht="12.75" customHeight="1">
      <c r="S507" t="str">
        <f>IF($B507="Risk",COUNTIF($B$2:B507,"Risk"),"")</f>
        <v/>
      </c>
    </row>
    <row r="508" spans="19:19" ht="12.75" customHeight="1">
      <c r="S508" t="str">
        <f>IF($B508="Risk",COUNTIF($B$2:B508,"Risk"),"")</f>
        <v/>
      </c>
    </row>
    <row r="509" spans="19:19" ht="12.75" customHeight="1">
      <c r="S509" t="str">
        <f>IF($B509="Risk",COUNTIF($B$2:B509,"Risk"),"")</f>
        <v/>
      </c>
    </row>
    <row r="510" spans="19:19" ht="12.75" customHeight="1">
      <c r="S510" t="str">
        <f>IF($B510="Risk",COUNTIF($B$2:B510,"Risk"),"")</f>
        <v/>
      </c>
    </row>
    <row r="511" spans="19:19" ht="12.75" customHeight="1">
      <c r="S511" t="str">
        <f>IF($B511="Risk",COUNTIF($B$2:B511,"Risk"),"")</f>
        <v/>
      </c>
    </row>
    <row r="512" spans="19:19" ht="12.75" customHeight="1">
      <c r="S512" t="str">
        <f>IF($B512="Risk",COUNTIF($B$2:B512,"Risk"),"")</f>
        <v/>
      </c>
    </row>
    <row r="513" spans="19:19" ht="12.75" customHeight="1">
      <c r="S513" t="str">
        <f>IF($B513="Risk",COUNTIF($B$2:B513,"Risk"),"")</f>
        <v/>
      </c>
    </row>
    <row r="514" spans="19:19" ht="12.75" customHeight="1">
      <c r="S514" t="str">
        <f>IF($B514="Risk",COUNTIF($B$2:B514,"Risk"),"")</f>
        <v/>
      </c>
    </row>
    <row r="515" spans="19:19" ht="12.75" customHeight="1">
      <c r="S515" t="str">
        <f>IF($B515="Risk",COUNTIF($B$2:B515,"Risk"),"")</f>
        <v/>
      </c>
    </row>
    <row r="516" spans="19:19" ht="12.75" customHeight="1">
      <c r="S516" t="str">
        <f>IF($B516="Risk",COUNTIF($B$2:B516,"Risk"),"")</f>
        <v/>
      </c>
    </row>
    <row r="517" spans="19:19" ht="12.75" customHeight="1">
      <c r="S517" t="str">
        <f>IF($B517="Risk",COUNTIF($B$2:B517,"Risk"),"")</f>
        <v/>
      </c>
    </row>
    <row r="518" spans="19:19" ht="12.75" customHeight="1">
      <c r="S518" t="str">
        <f>IF($B518="Risk",COUNTIF($B$2:B518,"Risk"),"")</f>
        <v/>
      </c>
    </row>
    <row r="519" spans="19:19" ht="12.75" customHeight="1">
      <c r="S519" t="str">
        <f>IF($B519="Risk",COUNTIF($B$2:B519,"Risk"),"")</f>
        <v/>
      </c>
    </row>
    <row r="520" spans="19:19" ht="12.75" customHeight="1">
      <c r="S520" t="str">
        <f>IF($B520="Risk",COUNTIF($B$2:B520,"Risk"),"")</f>
        <v/>
      </c>
    </row>
    <row r="521" spans="19:19" ht="12.75" customHeight="1">
      <c r="S521" t="str">
        <f>IF($B521="Risk",COUNTIF($B$2:B521,"Risk"),"")</f>
        <v/>
      </c>
    </row>
    <row r="522" spans="19:19" ht="12.75" customHeight="1">
      <c r="S522" t="str">
        <f>IF($B522="Risk",COUNTIF($B$2:B522,"Risk"),"")</f>
        <v/>
      </c>
    </row>
    <row r="523" spans="19:19" ht="12.75" customHeight="1">
      <c r="S523" t="str">
        <f>IF($B523="Risk",COUNTIF($B$2:B523,"Risk"),"")</f>
        <v/>
      </c>
    </row>
    <row r="524" spans="19:19" ht="12.75" customHeight="1">
      <c r="S524" t="str">
        <f>IF($B524="Risk",COUNTIF($B$2:B524,"Risk"),"")</f>
        <v/>
      </c>
    </row>
    <row r="525" spans="19:19" ht="12.75" customHeight="1">
      <c r="S525" t="str">
        <f>IF($B525="Risk",COUNTIF($B$2:B525,"Risk"),"")</f>
        <v/>
      </c>
    </row>
    <row r="526" spans="19:19" ht="12.75" customHeight="1">
      <c r="S526" t="str">
        <f>IF($B526="Risk",COUNTIF($B$2:B526,"Risk"),"")</f>
        <v/>
      </c>
    </row>
    <row r="527" spans="19:19" ht="12.75" customHeight="1">
      <c r="S527" t="str">
        <f>IF($B527="Risk",COUNTIF($B$2:B527,"Risk"),"")</f>
        <v/>
      </c>
    </row>
    <row r="528" spans="19:19" ht="12.75" customHeight="1">
      <c r="S528" t="str">
        <f>IF($B528="Risk",COUNTIF($B$2:B528,"Risk"),"")</f>
        <v/>
      </c>
    </row>
    <row r="529" spans="19:19" ht="12.75" customHeight="1">
      <c r="S529" t="str">
        <f>IF($B529="Risk",COUNTIF($B$2:B529,"Risk"),"")</f>
        <v/>
      </c>
    </row>
    <row r="530" spans="19:19" ht="12.75" customHeight="1">
      <c r="S530" t="str">
        <f>IF($B530="Risk",COUNTIF($B$2:B530,"Risk"),"")</f>
        <v/>
      </c>
    </row>
    <row r="531" spans="19:19" ht="12.75" customHeight="1">
      <c r="S531" t="str">
        <f>IF($B531="Risk",COUNTIF($B$2:B531,"Risk"),"")</f>
        <v/>
      </c>
    </row>
    <row r="532" spans="19:19" ht="12.75" customHeight="1">
      <c r="S532" t="str">
        <f>IF($B532="Risk",COUNTIF($B$2:B532,"Risk"),"")</f>
        <v/>
      </c>
    </row>
    <row r="533" spans="19:19" ht="12.75" customHeight="1">
      <c r="S533" t="str">
        <f>IF($B533="Risk",COUNTIF($B$2:B533,"Risk"),"")</f>
        <v/>
      </c>
    </row>
    <row r="534" spans="19:19" ht="12.75" customHeight="1">
      <c r="S534" t="str">
        <f>IF($B534="Risk",COUNTIF($B$2:B534,"Risk"),"")</f>
        <v/>
      </c>
    </row>
    <row r="535" spans="19:19" ht="12.75" customHeight="1">
      <c r="S535" t="str">
        <f>IF($B535="Risk",COUNTIF($B$2:B535,"Risk"),"")</f>
        <v/>
      </c>
    </row>
    <row r="536" spans="19:19" ht="12.75" customHeight="1">
      <c r="S536" t="str">
        <f>IF($B536="Risk",COUNTIF($B$2:B536,"Risk"),"")</f>
        <v/>
      </c>
    </row>
    <row r="537" spans="19:19" ht="12.75" customHeight="1">
      <c r="S537" t="str">
        <f>IF($B537="Risk",COUNTIF($B$2:B537,"Risk"),"")</f>
        <v/>
      </c>
    </row>
    <row r="538" spans="19:19" ht="12.75" customHeight="1">
      <c r="S538" t="str">
        <f>IF($B538="Risk",COUNTIF($B$2:B538,"Risk"),"")</f>
        <v/>
      </c>
    </row>
    <row r="539" spans="19:19" ht="12.75" customHeight="1">
      <c r="S539" t="str">
        <f>IF($B539="Risk",COUNTIF($B$2:B539,"Risk"),"")</f>
        <v/>
      </c>
    </row>
    <row r="540" spans="19:19" ht="12.75" customHeight="1">
      <c r="S540" t="str">
        <f>IF($B540="Risk",COUNTIF($B$2:B540,"Risk"),"")</f>
        <v/>
      </c>
    </row>
    <row r="541" spans="19:19" ht="12.75" customHeight="1">
      <c r="S541" t="str">
        <f>IF($B541="Risk",COUNTIF($B$2:B541,"Risk"),"")</f>
        <v/>
      </c>
    </row>
    <row r="542" spans="19:19" ht="12.75" customHeight="1">
      <c r="S542" t="str">
        <f>IF($B542="Risk",COUNTIF($B$2:B542,"Risk"),"")</f>
        <v/>
      </c>
    </row>
    <row r="543" spans="19:19" ht="12.75" customHeight="1">
      <c r="S543" t="str">
        <f>IF($B543="Risk",COUNTIF($B$2:B543,"Risk"),"")</f>
        <v/>
      </c>
    </row>
    <row r="544" spans="19:19" ht="12.75" customHeight="1">
      <c r="S544" t="str">
        <f>IF($B544="Risk",COUNTIF($B$2:B544,"Risk"),"")</f>
        <v/>
      </c>
    </row>
    <row r="545" spans="19:19" ht="12.75" customHeight="1">
      <c r="S545" t="str">
        <f>IF($B545="Risk",COUNTIF($B$2:B545,"Risk"),"")</f>
        <v/>
      </c>
    </row>
    <row r="546" spans="19:19" ht="12.75" customHeight="1">
      <c r="S546" t="str">
        <f>IF($B546="Risk",COUNTIF($B$2:B546,"Risk"),"")</f>
        <v/>
      </c>
    </row>
    <row r="547" spans="19:19" ht="12.75" customHeight="1">
      <c r="S547" t="str">
        <f>IF($B547="Risk",COUNTIF($B$2:B547,"Risk"),"")</f>
        <v/>
      </c>
    </row>
    <row r="548" spans="19:19" ht="12.75" customHeight="1">
      <c r="S548" t="str">
        <f>IF($B548="Risk",COUNTIF($B$2:B548,"Risk"),"")</f>
        <v/>
      </c>
    </row>
    <row r="549" spans="19:19" ht="12.75" customHeight="1">
      <c r="S549" t="str">
        <f>IF($B549="Risk",COUNTIF($B$2:B549,"Risk"),"")</f>
        <v/>
      </c>
    </row>
    <row r="550" spans="19:19" ht="12.75" customHeight="1">
      <c r="S550" t="str">
        <f>IF($B550="Risk",COUNTIF($B$2:B550,"Risk"),"")</f>
        <v/>
      </c>
    </row>
    <row r="551" spans="19:19" ht="12.75" customHeight="1">
      <c r="S551" t="str">
        <f>IF($B551="Risk",COUNTIF($B$2:B551,"Risk"),"")</f>
        <v/>
      </c>
    </row>
    <row r="552" spans="19:19" ht="12.75" customHeight="1">
      <c r="S552" t="str">
        <f>IF($B552="Risk",COUNTIF($B$2:B552,"Risk"),"")</f>
        <v/>
      </c>
    </row>
    <row r="553" spans="19:19" ht="12.75" customHeight="1">
      <c r="S553" t="str">
        <f>IF($B553="Risk",COUNTIF($B$2:B553,"Risk"),"")</f>
        <v/>
      </c>
    </row>
    <row r="554" spans="19:19" ht="12.75" customHeight="1">
      <c r="S554" t="str">
        <f>IF($B554="Risk",COUNTIF($B$2:B554,"Risk"),"")</f>
        <v/>
      </c>
    </row>
    <row r="555" spans="19:19" ht="12.75" customHeight="1">
      <c r="S555" t="str">
        <f>IF($B555="Risk",COUNTIF($B$2:B555,"Risk"),"")</f>
        <v/>
      </c>
    </row>
    <row r="556" spans="19:19" ht="12.75" customHeight="1">
      <c r="S556" t="str">
        <f>IF($B556="Risk",COUNTIF($B$2:B556,"Risk"),"")</f>
        <v/>
      </c>
    </row>
    <row r="557" spans="19:19" ht="12.75" customHeight="1">
      <c r="S557" t="str">
        <f>IF($B557="Risk",COUNTIF($B$2:B557,"Risk"),"")</f>
        <v/>
      </c>
    </row>
    <row r="558" spans="19:19" ht="12.75" customHeight="1">
      <c r="S558" t="str">
        <f>IF($B558="Risk",COUNTIF($B$2:B558,"Risk"),"")</f>
        <v/>
      </c>
    </row>
    <row r="559" spans="19:19" ht="12.75" customHeight="1">
      <c r="S559" t="str">
        <f>IF($B559="Risk",COUNTIF($B$2:B559,"Risk"),"")</f>
        <v/>
      </c>
    </row>
    <row r="560" spans="19:19" ht="12.75" customHeight="1">
      <c r="S560" t="str">
        <f>IF($B560="Risk",COUNTIF($B$2:B560,"Risk"),"")</f>
        <v/>
      </c>
    </row>
    <row r="561" spans="19:19" ht="12.75" customHeight="1">
      <c r="S561" t="str">
        <f>IF($B561="Risk",COUNTIF($B$2:B561,"Risk"),"")</f>
        <v/>
      </c>
    </row>
    <row r="562" spans="19:19" ht="12.75" customHeight="1">
      <c r="S562" t="str">
        <f>IF($B562="Risk",COUNTIF($B$2:B562,"Risk"),"")</f>
        <v/>
      </c>
    </row>
    <row r="563" spans="19:19" ht="12.75" customHeight="1">
      <c r="S563" t="str">
        <f>IF($B563="Risk",COUNTIF($B$2:B563,"Risk"),"")</f>
        <v/>
      </c>
    </row>
    <row r="564" spans="19:19" ht="12.75" customHeight="1">
      <c r="S564" t="str">
        <f>IF($B564="Risk",COUNTIF($B$2:B564,"Risk"),"")</f>
        <v/>
      </c>
    </row>
    <row r="565" spans="19:19" ht="12.75" customHeight="1">
      <c r="S565" t="str">
        <f>IF($B565="Risk",COUNTIF($B$2:B565,"Risk"),"")</f>
        <v/>
      </c>
    </row>
    <row r="566" spans="19:19" ht="12.75" customHeight="1">
      <c r="S566" t="str">
        <f>IF($B566="Risk",COUNTIF($B$2:B566,"Risk"),"")</f>
        <v/>
      </c>
    </row>
    <row r="567" spans="19:19" ht="12.75" customHeight="1">
      <c r="S567" t="str">
        <f>IF($B567="Risk",COUNTIF($B$2:B567,"Risk"),"")</f>
        <v/>
      </c>
    </row>
    <row r="568" spans="19:19" ht="12.75" customHeight="1">
      <c r="S568" t="str">
        <f>IF($B568="Risk",COUNTIF($B$2:B568,"Risk"),"")</f>
        <v/>
      </c>
    </row>
    <row r="569" spans="19:19" ht="12.75" customHeight="1">
      <c r="S569" t="str">
        <f>IF($B569="Risk",COUNTIF($B$2:B569,"Risk"),"")</f>
        <v/>
      </c>
    </row>
    <row r="570" spans="19:19" ht="12.75" customHeight="1">
      <c r="S570" t="str">
        <f>IF($B570="Risk",COUNTIF($B$2:B570,"Risk"),"")</f>
        <v/>
      </c>
    </row>
    <row r="571" spans="19:19" ht="12.75" customHeight="1">
      <c r="S571" t="str">
        <f>IF($B571="Risk",COUNTIF($B$2:B571,"Risk"),"")</f>
        <v/>
      </c>
    </row>
    <row r="572" spans="19:19" ht="12.75" customHeight="1">
      <c r="S572" t="str">
        <f>IF($B572="Risk",COUNTIF($B$2:B572,"Risk"),"")</f>
        <v/>
      </c>
    </row>
    <row r="573" spans="19:19" ht="12.75" customHeight="1">
      <c r="S573" t="str">
        <f>IF($B573="Risk",COUNTIF($B$2:B573,"Risk"),"")</f>
        <v/>
      </c>
    </row>
    <row r="574" spans="19:19" ht="12.75" customHeight="1">
      <c r="S574" t="str">
        <f>IF($B574="Risk",COUNTIF($B$2:B574,"Risk"),"")</f>
        <v/>
      </c>
    </row>
    <row r="575" spans="19:19" ht="12.75" customHeight="1">
      <c r="S575" t="str">
        <f>IF($B575="Risk",COUNTIF($B$2:B575,"Risk"),"")</f>
        <v/>
      </c>
    </row>
    <row r="576" spans="19:19" ht="12.75" customHeight="1">
      <c r="S576" t="str">
        <f>IF($B576="Risk",COUNTIF($B$2:B576,"Risk"),"")</f>
        <v/>
      </c>
    </row>
    <row r="577" spans="19:19" ht="12.75" customHeight="1">
      <c r="S577" t="str">
        <f>IF($B577="Risk",COUNTIF($B$2:B577,"Risk"),"")</f>
        <v/>
      </c>
    </row>
    <row r="578" spans="19:19" ht="12.75" customHeight="1">
      <c r="S578" t="str">
        <f>IF($B578="Risk",COUNTIF($B$2:B578,"Risk"),"")</f>
        <v/>
      </c>
    </row>
    <row r="579" spans="19:19" ht="12.75" customHeight="1">
      <c r="S579" t="str">
        <f>IF($B579="Risk",COUNTIF($B$2:B579,"Risk"),"")</f>
        <v/>
      </c>
    </row>
    <row r="580" spans="19:19" ht="12.75" customHeight="1">
      <c r="S580" t="str">
        <f>IF($B580="Risk",COUNTIF($B$2:B580,"Risk"),"")</f>
        <v/>
      </c>
    </row>
    <row r="581" spans="19:19" ht="12.75" customHeight="1">
      <c r="S581" t="str">
        <f>IF($B581="Risk",COUNTIF($B$2:B581,"Risk"),"")</f>
        <v/>
      </c>
    </row>
    <row r="582" spans="19:19" ht="12.75" customHeight="1">
      <c r="S582" t="str">
        <f>IF($B582="Risk",COUNTIF($B$2:B582,"Risk"),"")</f>
        <v/>
      </c>
    </row>
    <row r="583" spans="19:19" ht="12.75" customHeight="1">
      <c r="S583" t="str">
        <f>IF($B583="Risk",COUNTIF($B$2:B583,"Risk"),"")</f>
        <v/>
      </c>
    </row>
    <row r="584" spans="19:19" ht="12.75" customHeight="1">
      <c r="S584" t="str">
        <f>IF($B584="Risk",COUNTIF($B$2:B584,"Risk"),"")</f>
        <v/>
      </c>
    </row>
    <row r="585" spans="19:19" ht="12.75" customHeight="1">
      <c r="S585" t="str">
        <f>IF($B585="Risk",COUNTIF($B$2:B585,"Risk"),"")</f>
        <v/>
      </c>
    </row>
    <row r="586" spans="19:19" ht="12.75" customHeight="1">
      <c r="S586" t="str">
        <f>IF($B586="Risk",COUNTIF($B$2:B586,"Risk"),"")</f>
        <v/>
      </c>
    </row>
    <row r="587" spans="19:19" ht="12.75" customHeight="1">
      <c r="S587" t="str">
        <f>IF($B587="Risk",COUNTIF($B$2:B587,"Risk"),"")</f>
        <v/>
      </c>
    </row>
    <row r="588" spans="19:19" ht="12.75" customHeight="1">
      <c r="S588" t="str">
        <f>IF($B588="Risk",COUNTIF($B$2:B588,"Risk"),"")</f>
        <v/>
      </c>
    </row>
    <row r="589" spans="19:19" ht="12.75" customHeight="1">
      <c r="S589" t="str">
        <f>IF($B589="Risk",COUNTIF($B$2:B589,"Risk"),"")</f>
        <v/>
      </c>
    </row>
    <row r="590" spans="19:19" ht="12.75" customHeight="1">
      <c r="S590" t="str">
        <f>IF($B590="Risk",COUNTIF($B$2:B590,"Risk"),"")</f>
        <v/>
      </c>
    </row>
    <row r="591" spans="19:19" ht="12.75" customHeight="1">
      <c r="S591" t="str">
        <f>IF($B591="Risk",COUNTIF($B$2:B591,"Risk"),"")</f>
        <v/>
      </c>
    </row>
    <row r="592" spans="19:19" ht="12.75" customHeight="1">
      <c r="S592" t="str">
        <f>IF($B592="Risk",COUNTIF($B$2:B592,"Risk"),"")</f>
        <v/>
      </c>
    </row>
    <row r="593" spans="19:19" ht="12.75" customHeight="1">
      <c r="S593" t="str">
        <f>IF($B593="Risk",COUNTIF($B$2:B593,"Risk"),"")</f>
        <v/>
      </c>
    </row>
    <row r="594" spans="19:19" ht="12.75" customHeight="1">
      <c r="S594" t="str">
        <f>IF($B594="Risk",COUNTIF($B$2:B594,"Risk"),"")</f>
        <v/>
      </c>
    </row>
    <row r="595" spans="19:19" ht="12.75" customHeight="1">
      <c r="S595" t="str">
        <f>IF($B595="Risk",COUNTIF($B$2:B595,"Risk"),"")</f>
        <v/>
      </c>
    </row>
    <row r="596" spans="19:19" ht="12.75" customHeight="1">
      <c r="S596" t="str">
        <f>IF($B596="Risk",COUNTIF($B$2:B596,"Risk"),"")</f>
        <v/>
      </c>
    </row>
    <row r="597" spans="19:19" ht="12.75" customHeight="1">
      <c r="S597" t="str">
        <f>IF($B597="Risk",COUNTIF($B$2:B597,"Risk"),"")</f>
        <v/>
      </c>
    </row>
    <row r="598" spans="19:19" ht="12.75" customHeight="1">
      <c r="S598" t="str">
        <f>IF($B598="Risk",COUNTIF($B$2:B598,"Risk"),"")</f>
        <v/>
      </c>
    </row>
    <row r="599" spans="19:19" ht="12.75" customHeight="1">
      <c r="S599" t="str">
        <f>IF($B599="Risk",COUNTIF($B$2:B599,"Risk"),"")</f>
        <v/>
      </c>
    </row>
    <row r="600" spans="19:19" ht="12.75" customHeight="1">
      <c r="S600" t="str">
        <f>IF($B600="Risk",COUNTIF($B$2:B600,"Risk"),"")</f>
        <v/>
      </c>
    </row>
    <row r="601" spans="19:19" ht="12.75" customHeight="1">
      <c r="S601" t="str">
        <f>IF($B601="Risk",COUNTIF($B$2:B601,"Risk"),"")</f>
        <v/>
      </c>
    </row>
    <row r="602" spans="19:19" ht="12.75" customHeight="1">
      <c r="S602" t="str">
        <f>IF($B602="Risk",COUNTIF($B$2:B602,"Risk"),"")</f>
        <v/>
      </c>
    </row>
    <row r="603" spans="19:19" ht="12.75" customHeight="1">
      <c r="S603" t="str">
        <f>IF($B603="Risk",COUNTIF($B$2:B603,"Risk"),"")</f>
        <v/>
      </c>
    </row>
    <row r="604" spans="19:19" ht="12.75" customHeight="1">
      <c r="S604" t="str">
        <f>IF($B604="Risk",COUNTIF($B$2:B604,"Risk"),"")</f>
        <v/>
      </c>
    </row>
    <row r="605" spans="19:19" ht="12.75" customHeight="1">
      <c r="S605" t="str">
        <f>IF($B605="Risk",COUNTIF($B$2:B605,"Risk"),"")</f>
        <v/>
      </c>
    </row>
    <row r="606" spans="19:19" ht="12.75" customHeight="1">
      <c r="S606" t="str">
        <f>IF($B606="Risk",COUNTIF($B$2:B606,"Risk"),"")</f>
        <v/>
      </c>
    </row>
    <row r="607" spans="19:19" ht="12.75" customHeight="1">
      <c r="S607" t="str">
        <f>IF($B607="Risk",COUNTIF($B$2:B607,"Risk"),"")</f>
        <v/>
      </c>
    </row>
    <row r="608" spans="19:19" ht="12.75" customHeight="1">
      <c r="S608" t="str">
        <f>IF($B608="Risk",COUNTIF($B$2:B608,"Risk"),"")</f>
        <v/>
      </c>
    </row>
    <row r="609" spans="19:19" ht="12.75" customHeight="1">
      <c r="S609" t="str">
        <f>IF($B609="Risk",COUNTIF($B$2:B609,"Risk"),"")</f>
        <v/>
      </c>
    </row>
    <row r="610" spans="19:19" ht="12.75" customHeight="1">
      <c r="S610" t="str">
        <f>IF($B610="Risk",COUNTIF($B$2:B610,"Risk"),"")</f>
        <v/>
      </c>
    </row>
    <row r="611" spans="19:19" ht="12.75" customHeight="1">
      <c r="S611" t="str">
        <f>IF($B611="Risk",COUNTIF($B$2:B611,"Risk"),"")</f>
        <v/>
      </c>
    </row>
    <row r="612" spans="19:19" ht="12.75" customHeight="1">
      <c r="S612" t="str">
        <f>IF($B612="Risk",COUNTIF($B$2:B612,"Risk"),"")</f>
        <v/>
      </c>
    </row>
    <row r="613" spans="19:19" ht="12.75" customHeight="1">
      <c r="S613" t="str">
        <f>IF($B613="Risk",COUNTIF($B$2:B613,"Risk"),"")</f>
        <v/>
      </c>
    </row>
    <row r="614" spans="19:19" ht="12.75" customHeight="1">
      <c r="S614" t="str">
        <f>IF($B614="Risk",COUNTIF($B$2:B614,"Risk"),"")</f>
        <v/>
      </c>
    </row>
    <row r="615" spans="19:19" ht="12.75" customHeight="1">
      <c r="S615" t="str">
        <f>IF($B615="Risk",COUNTIF($B$2:B615,"Risk"),"")</f>
        <v/>
      </c>
    </row>
    <row r="616" spans="19:19" ht="12.75" customHeight="1">
      <c r="S616" t="str">
        <f>IF($B616="Risk",COUNTIF($B$2:B616,"Risk"),"")</f>
        <v/>
      </c>
    </row>
    <row r="617" spans="19:19" ht="12.75" customHeight="1">
      <c r="S617" t="str">
        <f>IF($B617="Risk",COUNTIF($B$2:B617,"Risk"),"")</f>
        <v/>
      </c>
    </row>
    <row r="618" spans="19:19" ht="12.75" customHeight="1">
      <c r="S618" t="str">
        <f>IF($B618="Risk",COUNTIF($B$2:B618,"Risk"),"")</f>
        <v/>
      </c>
    </row>
    <row r="619" spans="19:19" ht="12.75" customHeight="1">
      <c r="S619" t="str">
        <f>IF($B619="Risk",COUNTIF($B$2:B619,"Risk"),"")</f>
        <v/>
      </c>
    </row>
    <row r="620" spans="19:19" ht="12.75" customHeight="1">
      <c r="S620" t="str">
        <f>IF($B620="Risk",COUNTIF($B$2:B620,"Risk"),"")</f>
        <v/>
      </c>
    </row>
    <row r="621" spans="19:19" ht="12.75" customHeight="1">
      <c r="S621" t="str">
        <f>IF($B621="Risk",COUNTIF($B$2:B621,"Risk"),"")</f>
        <v/>
      </c>
    </row>
    <row r="622" spans="19:19" ht="12.75" customHeight="1">
      <c r="S622" t="str">
        <f>IF($B622="Risk",COUNTIF($B$2:B622,"Risk"),"")</f>
        <v/>
      </c>
    </row>
    <row r="623" spans="19:19" ht="12.75" customHeight="1">
      <c r="S623" t="str">
        <f>IF($B623="Risk",COUNTIF($B$2:B623,"Risk"),"")</f>
        <v/>
      </c>
    </row>
    <row r="624" spans="19:19" ht="12.75" customHeight="1">
      <c r="S624" t="str">
        <f>IF($B624="Risk",COUNTIF($B$2:B624,"Risk"),"")</f>
        <v/>
      </c>
    </row>
    <row r="625" spans="19:19" ht="12.75" customHeight="1">
      <c r="S625" t="str">
        <f>IF($B625="Risk",COUNTIF($B$2:B625,"Risk"),"")</f>
        <v/>
      </c>
    </row>
    <row r="626" spans="19:19" ht="12.75" customHeight="1">
      <c r="S626" t="str">
        <f>IF($B626="Risk",COUNTIF($B$2:B626,"Risk"),"")</f>
        <v/>
      </c>
    </row>
    <row r="627" spans="19:19" ht="12.75" customHeight="1">
      <c r="S627" t="str">
        <f>IF($B627="Risk",COUNTIF($B$2:B627,"Risk"),"")</f>
        <v/>
      </c>
    </row>
    <row r="628" spans="19:19" ht="12.75" customHeight="1">
      <c r="S628" t="str">
        <f>IF($B628="Risk",COUNTIF($B$2:B628,"Risk"),"")</f>
        <v/>
      </c>
    </row>
    <row r="629" spans="19:19" ht="12.75" customHeight="1">
      <c r="S629" t="str">
        <f>IF($B629="Risk",COUNTIF($B$2:B629,"Risk"),"")</f>
        <v/>
      </c>
    </row>
    <row r="630" spans="19:19" ht="12.75" customHeight="1">
      <c r="S630" t="str">
        <f>IF($B630="Risk",COUNTIF($B$2:B630,"Risk"),"")</f>
        <v/>
      </c>
    </row>
    <row r="631" spans="19:19" ht="12.75" customHeight="1">
      <c r="S631" t="str">
        <f>IF($B631="Risk",COUNTIF($B$2:B631,"Risk"),"")</f>
        <v/>
      </c>
    </row>
    <row r="632" spans="19:19" ht="12.75" customHeight="1">
      <c r="S632" t="str">
        <f>IF($B632="Risk",COUNTIF($B$2:B632,"Risk"),"")</f>
        <v/>
      </c>
    </row>
    <row r="633" spans="19:19" ht="12.75" customHeight="1">
      <c r="S633" t="str">
        <f>IF($B633="Risk",COUNTIF($B$2:B633,"Risk"),"")</f>
        <v/>
      </c>
    </row>
    <row r="634" spans="19:19" ht="12.75" customHeight="1">
      <c r="S634" t="str">
        <f>IF($B634="Risk",COUNTIF($B$2:B634,"Risk"),"")</f>
        <v/>
      </c>
    </row>
    <row r="635" spans="19:19" ht="12.75" customHeight="1">
      <c r="S635" t="str">
        <f>IF($B635="Risk",COUNTIF($B$2:B635,"Risk"),"")</f>
        <v/>
      </c>
    </row>
    <row r="636" spans="19:19" ht="12.75" customHeight="1">
      <c r="S636" t="str">
        <f>IF($B636="Risk",COUNTIF($B$2:B636,"Risk"),"")</f>
        <v/>
      </c>
    </row>
    <row r="637" spans="19:19" ht="12.75" customHeight="1">
      <c r="S637" t="str">
        <f>IF($B637="Risk",COUNTIF($B$2:B637,"Risk"),"")</f>
        <v/>
      </c>
    </row>
    <row r="638" spans="19:19" ht="12.75" customHeight="1">
      <c r="S638" t="str">
        <f>IF($B638="Risk",COUNTIF($B$2:B638,"Risk"),"")</f>
        <v/>
      </c>
    </row>
    <row r="639" spans="19:19" ht="12.75" customHeight="1">
      <c r="S639" t="str">
        <f>IF($B639="Risk",COUNTIF($B$2:B639,"Risk"),"")</f>
        <v/>
      </c>
    </row>
    <row r="640" spans="19:19" ht="12.75" customHeight="1">
      <c r="S640" t="str">
        <f>IF($B640="Risk",COUNTIF($B$2:B640,"Risk"),"")</f>
        <v/>
      </c>
    </row>
    <row r="641" spans="19:19" ht="12.75" customHeight="1">
      <c r="S641" t="str">
        <f>IF($B641="Risk",COUNTIF($B$2:B641,"Risk"),"")</f>
        <v/>
      </c>
    </row>
    <row r="642" spans="19:19" ht="12.75" customHeight="1">
      <c r="S642" t="str">
        <f>IF($B642="Risk",COUNTIF($B$2:B642,"Risk"),"")</f>
        <v/>
      </c>
    </row>
    <row r="643" spans="19:19" ht="12.75" customHeight="1">
      <c r="S643" t="str">
        <f>IF($B643="Risk",COUNTIF($B$2:B643,"Risk"),"")</f>
        <v/>
      </c>
    </row>
    <row r="644" spans="19:19" ht="12.75" customHeight="1">
      <c r="S644" t="str">
        <f>IF($B644="Risk",COUNTIF($B$2:B644,"Risk"),"")</f>
        <v/>
      </c>
    </row>
    <row r="645" spans="19:19" ht="12.75" customHeight="1">
      <c r="S645" t="str">
        <f>IF($B645="Risk",COUNTIF($B$2:B645,"Risk"),"")</f>
        <v/>
      </c>
    </row>
    <row r="646" spans="19:19" ht="12.75" customHeight="1">
      <c r="S646" t="str">
        <f>IF($B646="Risk",COUNTIF($B$2:B646,"Risk"),"")</f>
        <v/>
      </c>
    </row>
    <row r="647" spans="19:19" ht="12.75" customHeight="1">
      <c r="S647" t="str">
        <f>IF($B647="Risk",COUNTIF($B$2:B647,"Risk"),"")</f>
        <v/>
      </c>
    </row>
    <row r="648" spans="19:19" ht="12.75" customHeight="1">
      <c r="S648" t="str">
        <f>IF($B648="Risk",COUNTIF($B$2:B648,"Risk"),"")</f>
        <v/>
      </c>
    </row>
    <row r="649" spans="19:19" ht="12.75" customHeight="1">
      <c r="S649" t="str">
        <f>IF($B649="Risk",COUNTIF($B$2:B649,"Risk"),"")</f>
        <v/>
      </c>
    </row>
    <row r="650" spans="19:19" ht="12.75" customHeight="1">
      <c r="S650" t="str">
        <f>IF($B650="Risk",COUNTIF($B$2:B650,"Risk"),"")</f>
        <v/>
      </c>
    </row>
    <row r="651" spans="19:19" ht="12.75" customHeight="1">
      <c r="S651" t="str">
        <f>IF($B651="Risk",COUNTIF($B$2:B651,"Risk"),"")</f>
        <v/>
      </c>
    </row>
    <row r="652" spans="19:19" ht="12.75" customHeight="1">
      <c r="S652" t="str">
        <f>IF($B652="Risk",COUNTIF($B$2:B652,"Risk"),"")</f>
        <v/>
      </c>
    </row>
    <row r="653" spans="19:19" ht="12.75" customHeight="1">
      <c r="S653" t="str">
        <f>IF($B653="Risk",COUNTIF($B$2:B653,"Risk"),"")</f>
        <v/>
      </c>
    </row>
    <row r="654" spans="19:19" ht="12.75" customHeight="1">
      <c r="S654" t="str">
        <f>IF($B654="Risk",COUNTIF($B$2:B654,"Risk"),"")</f>
        <v/>
      </c>
    </row>
    <row r="655" spans="19:19" ht="12.75" customHeight="1">
      <c r="S655" t="str">
        <f>IF($B655="Risk",COUNTIF($B$2:B655,"Risk"),"")</f>
        <v/>
      </c>
    </row>
    <row r="656" spans="19:19" ht="12.75" customHeight="1">
      <c r="S656" t="str">
        <f>IF($B656="Risk",COUNTIF($B$2:B656,"Risk"),"")</f>
        <v/>
      </c>
    </row>
    <row r="657" spans="19:19" ht="12.75" customHeight="1">
      <c r="S657" t="str">
        <f>IF($B657="Risk",COUNTIF($B$2:B657,"Risk"),"")</f>
        <v/>
      </c>
    </row>
    <row r="658" spans="19:19" ht="12.75" customHeight="1">
      <c r="S658" t="str">
        <f>IF($B658="Risk",COUNTIF($B$2:B658,"Risk"),"")</f>
        <v/>
      </c>
    </row>
    <row r="659" spans="19:19" ht="12.75" customHeight="1">
      <c r="S659" t="str">
        <f>IF($B659="Risk",COUNTIF($B$2:B659,"Risk"),"")</f>
        <v/>
      </c>
    </row>
    <row r="660" spans="19:19" ht="12.75" customHeight="1">
      <c r="S660" t="str">
        <f>IF($B660="Risk",COUNTIF($B$2:B660,"Risk"),"")</f>
        <v/>
      </c>
    </row>
    <row r="661" spans="19:19" ht="12.75" customHeight="1">
      <c r="S661" t="str">
        <f>IF($B661="Risk",COUNTIF($B$2:B661,"Risk"),"")</f>
        <v/>
      </c>
    </row>
    <row r="662" spans="19:19" ht="12.75" customHeight="1">
      <c r="S662" t="str">
        <f>IF($B662="Risk",COUNTIF($B$2:B662,"Risk"),"")</f>
        <v/>
      </c>
    </row>
    <row r="663" spans="19:19" ht="12.75" customHeight="1">
      <c r="S663" t="str">
        <f>IF($B663="Risk",COUNTIF($B$2:B663,"Risk"),"")</f>
        <v/>
      </c>
    </row>
    <row r="664" spans="19:19" ht="12.75" customHeight="1">
      <c r="S664" t="str">
        <f>IF($B664="Risk",COUNTIF($B$2:B664,"Risk"),"")</f>
        <v/>
      </c>
    </row>
    <row r="665" spans="19:19" ht="12.75" customHeight="1">
      <c r="S665" t="str">
        <f>IF($B665="Risk",COUNTIF($B$2:B665,"Risk"),"")</f>
        <v/>
      </c>
    </row>
    <row r="666" spans="19:19" ht="12.75" customHeight="1">
      <c r="S666" t="str">
        <f>IF($B666="Risk",COUNTIF($B$2:B666,"Risk"),"")</f>
        <v/>
      </c>
    </row>
    <row r="667" spans="19:19" ht="12.75" customHeight="1">
      <c r="S667" t="str">
        <f>IF($B667="Risk",COUNTIF($B$2:B667,"Risk"),"")</f>
        <v/>
      </c>
    </row>
    <row r="668" spans="19:19" ht="12.75" customHeight="1">
      <c r="S668" t="str">
        <f>IF($B668="Risk",COUNTIF($B$2:B668,"Risk"),"")</f>
        <v/>
      </c>
    </row>
    <row r="669" spans="19:19" ht="12.75" customHeight="1">
      <c r="S669" t="str">
        <f>IF($B669="Risk",COUNTIF($B$2:B669,"Risk"),"")</f>
        <v/>
      </c>
    </row>
    <row r="670" spans="19:19" ht="12.75" customHeight="1">
      <c r="S670" t="str">
        <f>IF($B670="Risk",COUNTIF($B$2:B670,"Risk"),"")</f>
        <v/>
      </c>
    </row>
    <row r="671" spans="19:19" ht="12.75" customHeight="1">
      <c r="S671" t="str">
        <f>IF($B671="Risk",COUNTIF($B$2:B671,"Risk"),"")</f>
        <v/>
      </c>
    </row>
    <row r="672" spans="19:19" ht="12.75" customHeight="1">
      <c r="S672" t="str">
        <f>IF($B672="Risk",COUNTIF($B$2:B672,"Risk"),"")</f>
        <v/>
      </c>
    </row>
    <row r="673" spans="19:19" ht="12.75" customHeight="1">
      <c r="S673" t="str">
        <f>IF($B673="Risk",COUNTIF($B$2:B673,"Risk"),"")</f>
        <v/>
      </c>
    </row>
    <row r="674" spans="19:19" ht="12.75" customHeight="1">
      <c r="S674" t="str">
        <f>IF($B674="Risk",COUNTIF($B$2:B674,"Risk"),"")</f>
        <v/>
      </c>
    </row>
    <row r="675" spans="19:19" ht="12.75" customHeight="1">
      <c r="S675" t="str">
        <f>IF($B675="Risk",COUNTIF($B$2:B675,"Risk"),"")</f>
        <v/>
      </c>
    </row>
    <row r="676" spans="19:19" ht="12.75" customHeight="1">
      <c r="S676" t="str">
        <f>IF($B676="Risk",COUNTIF($B$2:B676,"Risk"),"")</f>
        <v/>
      </c>
    </row>
    <row r="677" spans="19:19" ht="12.75" customHeight="1">
      <c r="S677" t="str">
        <f>IF($B677="Risk",COUNTIF($B$2:B677,"Risk"),"")</f>
        <v/>
      </c>
    </row>
    <row r="678" spans="19:19" ht="12.75" customHeight="1">
      <c r="S678" t="str">
        <f>IF($B678="Risk",COUNTIF($B$2:B678,"Risk"),"")</f>
        <v/>
      </c>
    </row>
    <row r="679" spans="19:19" ht="12.75" customHeight="1">
      <c r="S679" t="str">
        <f>IF($B679="Risk",COUNTIF($B$2:B679,"Risk"),"")</f>
        <v/>
      </c>
    </row>
    <row r="680" spans="19:19" ht="12.75" customHeight="1">
      <c r="S680" t="str">
        <f>IF($B680="Risk",COUNTIF($B$2:B680,"Risk"),"")</f>
        <v/>
      </c>
    </row>
    <row r="681" spans="19:19" ht="12.75" customHeight="1">
      <c r="S681" t="str">
        <f>IF($B681="Risk",COUNTIF($B$2:B681,"Risk"),"")</f>
        <v/>
      </c>
    </row>
    <row r="682" spans="19:19" ht="12.75" customHeight="1">
      <c r="S682" t="str">
        <f>IF($B682="Risk",COUNTIF($B$2:B682,"Risk"),"")</f>
        <v/>
      </c>
    </row>
    <row r="683" spans="19:19" ht="12.75" customHeight="1">
      <c r="S683" t="str">
        <f>IF($B683="Risk",COUNTIF($B$2:B683,"Risk"),"")</f>
        <v/>
      </c>
    </row>
    <row r="684" spans="19:19" ht="12.75" customHeight="1">
      <c r="S684" t="str">
        <f>IF($B684="Risk",COUNTIF($B$2:B684,"Risk"),"")</f>
        <v/>
      </c>
    </row>
    <row r="685" spans="19:19" ht="12.75" customHeight="1">
      <c r="S685" t="str">
        <f>IF($B685="Risk",COUNTIF($B$2:B685,"Risk"),"")</f>
        <v/>
      </c>
    </row>
    <row r="686" spans="19:19" ht="12.75" customHeight="1">
      <c r="S686" t="str">
        <f>IF($B686="Risk",COUNTIF($B$2:B686,"Risk"),"")</f>
        <v/>
      </c>
    </row>
    <row r="687" spans="19:19" ht="12.75" customHeight="1">
      <c r="S687" t="str">
        <f>IF($B687="Risk",COUNTIF($B$2:B687,"Risk"),"")</f>
        <v/>
      </c>
    </row>
    <row r="688" spans="19:19" ht="12.75" customHeight="1">
      <c r="S688" t="str">
        <f>IF($B688="Risk",COUNTIF($B$2:B688,"Risk"),"")</f>
        <v/>
      </c>
    </row>
    <row r="689" spans="19:19" ht="12.75" customHeight="1">
      <c r="S689" t="str">
        <f>IF($B689="Risk",COUNTIF($B$2:B689,"Risk"),"")</f>
        <v/>
      </c>
    </row>
    <row r="690" spans="19:19" ht="12.75" customHeight="1">
      <c r="S690" t="str">
        <f>IF($B690="Risk",COUNTIF($B$2:B690,"Risk"),"")</f>
        <v/>
      </c>
    </row>
    <row r="691" spans="19:19" ht="12.75" customHeight="1">
      <c r="S691" t="str">
        <f>IF($B691="Risk",COUNTIF($B$2:B691,"Risk"),"")</f>
        <v/>
      </c>
    </row>
    <row r="692" spans="19:19" ht="12.75" customHeight="1">
      <c r="S692" t="str">
        <f>IF($B692="Risk",COUNTIF($B$2:B692,"Risk"),"")</f>
        <v/>
      </c>
    </row>
    <row r="693" spans="19:19" ht="12.75" customHeight="1">
      <c r="S693" t="str">
        <f>IF($B693="Risk",COUNTIF($B$2:B693,"Risk"),"")</f>
        <v/>
      </c>
    </row>
    <row r="694" spans="19:19" ht="12.75" customHeight="1">
      <c r="S694" t="str">
        <f>IF($B694="Risk",COUNTIF($B$2:B694,"Risk"),"")</f>
        <v/>
      </c>
    </row>
    <row r="695" spans="19:19" ht="12.75" customHeight="1">
      <c r="S695" t="str">
        <f>IF($B695="Risk",COUNTIF($B$2:B695,"Risk"),"")</f>
        <v/>
      </c>
    </row>
    <row r="696" spans="19:19" ht="12.75" customHeight="1">
      <c r="S696" t="str">
        <f>IF($B696="Risk",COUNTIF($B$2:B696,"Risk"),"")</f>
        <v/>
      </c>
    </row>
    <row r="697" spans="19:19" ht="12.75" customHeight="1">
      <c r="S697" t="str">
        <f>IF($B697="Risk",COUNTIF($B$2:B697,"Risk"),"")</f>
        <v/>
      </c>
    </row>
    <row r="698" spans="19:19" ht="12.75" customHeight="1">
      <c r="S698" t="str">
        <f>IF($B698="Risk",COUNTIF($B$2:B698,"Risk"),"")</f>
        <v/>
      </c>
    </row>
    <row r="699" spans="19:19" ht="12.75" customHeight="1">
      <c r="S699" t="str">
        <f>IF($B699="Risk",COUNTIF($B$2:B699,"Risk"),"")</f>
        <v/>
      </c>
    </row>
    <row r="700" spans="19:19" ht="12.75" customHeight="1">
      <c r="S700" t="str">
        <f>IF($B700="Risk",COUNTIF($B$2:B700,"Risk"),"")</f>
        <v/>
      </c>
    </row>
    <row r="701" spans="19:19" ht="12.75" customHeight="1">
      <c r="S701" t="str">
        <f>IF($B701="Risk",COUNTIF($B$2:B701,"Risk"),"")</f>
        <v/>
      </c>
    </row>
    <row r="702" spans="19:19" ht="12.75" customHeight="1">
      <c r="S702" t="str">
        <f>IF($B702="Risk",COUNTIF($B$2:B702,"Risk"),"")</f>
        <v/>
      </c>
    </row>
    <row r="703" spans="19:19" ht="12.75" customHeight="1">
      <c r="S703" t="str">
        <f>IF($B703="Risk",COUNTIF($B$2:B703,"Risk"),"")</f>
        <v/>
      </c>
    </row>
    <row r="704" spans="19:19" ht="12.75" customHeight="1">
      <c r="S704" t="str">
        <f>IF($B704="Risk",COUNTIF($B$2:B704,"Risk"),"")</f>
        <v/>
      </c>
    </row>
    <row r="705" spans="19:19" ht="12.75" customHeight="1">
      <c r="S705" t="str">
        <f>IF($B705="Risk",COUNTIF($B$2:B705,"Risk"),"")</f>
        <v/>
      </c>
    </row>
    <row r="706" spans="19:19" ht="12.75" customHeight="1">
      <c r="S706" t="str">
        <f>IF($B706="Risk",COUNTIF($B$2:B706,"Risk"),"")</f>
        <v/>
      </c>
    </row>
    <row r="707" spans="19:19" ht="12.75" customHeight="1">
      <c r="S707" t="str">
        <f>IF($B707="Risk",COUNTIF($B$2:B707,"Risk"),"")</f>
        <v/>
      </c>
    </row>
    <row r="708" spans="19:19" ht="12.75" customHeight="1">
      <c r="S708" t="str">
        <f>IF($B708="Risk",COUNTIF($B$2:B708,"Risk"),"")</f>
        <v/>
      </c>
    </row>
    <row r="709" spans="19:19" ht="12.75" customHeight="1">
      <c r="S709" t="str">
        <f>IF($B709="Risk",COUNTIF($B$2:B709,"Risk"),"")</f>
        <v/>
      </c>
    </row>
    <row r="710" spans="19:19" ht="12.75" customHeight="1">
      <c r="S710" t="str">
        <f>IF($B710="Risk",COUNTIF($B$2:B710,"Risk"),"")</f>
        <v/>
      </c>
    </row>
    <row r="711" spans="19:19" ht="12.75" customHeight="1">
      <c r="S711" t="str">
        <f>IF($B711="Risk",COUNTIF($B$2:B711,"Risk"),"")</f>
        <v/>
      </c>
    </row>
    <row r="712" spans="19:19" ht="12.75" customHeight="1">
      <c r="S712" t="str">
        <f>IF($B712="Risk",COUNTIF($B$2:B712,"Risk"),"")</f>
        <v/>
      </c>
    </row>
    <row r="713" spans="19:19" ht="12.75" customHeight="1">
      <c r="S713" t="str">
        <f>IF($B713="Risk",COUNTIF($B$2:B713,"Risk"),"")</f>
        <v/>
      </c>
    </row>
    <row r="714" spans="19:19" ht="12.75" customHeight="1">
      <c r="S714" t="str">
        <f>IF($B714="Risk",COUNTIF($B$2:B714,"Risk"),"")</f>
        <v/>
      </c>
    </row>
    <row r="715" spans="19:19" ht="12.75" customHeight="1">
      <c r="S715" t="str">
        <f>IF($B715="Risk",COUNTIF($B$2:B715,"Risk"),"")</f>
        <v/>
      </c>
    </row>
    <row r="716" spans="19:19" ht="12.75" customHeight="1">
      <c r="S716" t="str">
        <f>IF($B716="Risk",COUNTIF($B$2:B716,"Risk"),"")</f>
        <v/>
      </c>
    </row>
    <row r="717" spans="19:19" ht="12.75" customHeight="1">
      <c r="S717" t="str">
        <f>IF($B717="Risk",COUNTIF($B$2:B717,"Risk"),"")</f>
        <v/>
      </c>
    </row>
    <row r="718" spans="19:19" ht="12.75" customHeight="1">
      <c r="S718" t="str">
        <f>IF($B718="Risk",COUNTIF($B$2:B718,"Risk"),"")</f>
        <v/>
      </c>
    </row>
    <row r="719" spans="19:19" ht="12.75" customHeight="1">
      <c r="S719" t="str">
        <f>IF($B719="Risk",COUNTIF($B$2:B719,"Risk"),"")</f>
        <v/>
      </c>
    </row>
    <row r="720" spans="19:19" ht="12.75" customHeight="1">
      <c r="S720" t="str">
        <f>IF($B720="Risk",COUNTIF($B$2:B720,"Risk"),"")</f>
        <v/>
      </c>
    </row>
    <row r="721" spans="19:19" ht="12.75" customHeight="1">
      <c r="S721" t="str">
        <f>IF($B721="Risk",COUNTIF($B$2:B721,"Risk"),"")</f>
        <v/>
      </c>
    </row>
    <row r="722" spans="19:19" ht="12.75" customHeight="1">
      <c r="S722" t="str">
        <f>IF($B722="Risk",COUNTIF($B$2:B722,"Risk"),"")</f>
        <v/>
      </c>
    </row>
    <row r="723" spans="19:19" ht="12.75" customHeight="1">
      <c r="S723" t="str">
        <f>IF($B723="Risk",COUNTIF($B$2:B723,"Risk"),"")</f>
        <v/>
      </c>
    </row>
    <row r="724" spans="19:19" ht="12.75" customHeight="1">
      <c r="S724" t="str">
        <f>IF($B724="Risk",COUNTIF($B$2:B724,"Risk"),"")</f>
        <v/>
      </c>
    </row>
    <row r="725" spans="19:19" ht="12.75" customHeight="1">
      <c r="S725" t="str">
        <f>IF($B725="Risk",COUNTIF($B$2:B725,"Risk"),"")</f>
        <v/>
      </c>
    </row>
    <row r="726" spans="19:19" ht="12.75" customHeight="1">
      <c r="S726" t="str">
        <f>IF($B726="Risk",COUNTIF($B$2:B726,"Risk"),"")</f>
        <v/>
      </c>
    </row>
    <row r="727" spans="19:19" ht="12.75" customHeight="1">
      <c r="S727" t="str">
        <f>IF($B727="Risk",COUNTIF($B$2:B727,"Risk"),"")</f>
        <v/>
      </c>
    </row>
    <row r="728" spans="19:19" ht="12.75" customHeight="1">
      <c r="S728" t="str">
        <f>IF($B728="Risk",COUNTIF($B$2:B728,"Risk"),"")</f>
        <v/>
      </c>
    </row>
    <row r="729" spans="19:19" ht="12.75" customHeight="1">
      <c r="S729" t="str">
        <f>IF($B729="Risk",COUNTIF($B$2:B729,"Risk"),"")</f>
        <v/>
      </c>
    </row>
    <row r="730" spans="19:19" ht="12.75" customHeight="1">
      <c r="S730" t="str">
        <f>IF($B730="Risk",COUNTIF($B$2:B730,"Risk"),"")</f>
        <v/>
      </c>
    </row>
    <row r="731" spans="19:19" ht="12.75" customHeight="1">
      <c r="S731" t="str">
        <f>IF($B731="Risk",COUNTIF($B$2:B731,"Risk"),"")</f>
        <v/>
      </c>
    </row>
    <row r="732" spans="19:19" ht="12.75" customHeight="1">
      <c r="S732" t="str">
        <f>IF($B732="Risk",COUNTIF($B$2:B732,"Risk"),"")</f>
        <v/>
      </c>
    </row>
    <row r="733" spans="19:19" ht="12.75" customHeight="1">
      <c r="S733" t="str">
        <f>IF($B733="Risk",COUNTIF($B$2:B733,"Risk"),"")</f>
        <v/>
      </c>
    </row>
    <row r="734" spans="19:19" ht="12.75" customHeight="1">
      <c r="S734" t="str">
        <f>IF($B734="Risk",COUNTIF($B$2:B734,"Risk"),"")</f>
        <v/>
      </c>
    </row>
    <row r="735" spans="19:19" ht="12.75" customHeight="1">
      <c r="S735" t="str">
        <f>IF($B735="Risk",COUNTIF($B$2:B735,"Risk"),"")</f>
        <v/>
      </c>
    </row>
    <row r="736" spans="19:19" ht="12.75" customHeight="1">
      <c r="S736" t="str">
        <f>IF($B736="Risk",COUNTIF($B$2:B736,"Risk"),"")</f>
        <v/>
      </c>
    </row>
    <row r="737" spans="19:19" ht="12.75" customHeight="1">
      <c r="S737" t="str">
        <f>IF($B737="Risk",COUNTIF($B$2:B737,"Risk"),"")</f>
        <v/>
      </c>
    </row>
    <row r="738" spans="19:19" ht="12.75" customHeight="1">
      <c r="S738" t="str">
        <f>IF($B738="Risk",COUNTIF($B$2:B738,"Risk"),"")</f>
        <v/>
      </c>
    </row>
    <row r="739" spans="19:19" ht="12.75" customHeight="1">
      <c r="S739" t="str">
        <f>IF($B739="Risk",COUNTIF($B$2:B739,"Risk"),"")</f>
        <v/>
      </c>
    </row>
    <row r="740" spans="19:19" ht="12.75" customHeight="1">
      <c r="S740" t="str">
        <f>IF($B740="Risk",COUNTIF($B$2:B740,"Risk"),"")</f>
        <v/>
      </c>
    </row>
    <row r="741" spans="19:19" ht="12.75" customHeight="1">
      <c r="S741" t="str">
        <f>IF($B741="Risk",COUNTIF($B$2:B741,"Risk"),"")</f>
        <v/>
      </c>
    </row>
    <row r="742" spans="19:19" ht="12.75" customHeight="1">
      <c r="S742" t="str">
        <f>IF($B742="Risk",COUNTIF($B$2:B742,"Risk"),"")</f>
        <v/>
      </c>
    </row>
    <row r="743" spans="19:19" ht="12.75" customHeight="1">
      <c r="S743" t="str">
        <f>IF($B743="Risk",COUNTIF($B$2:B743,"Risk"),"")</f>
        <v/>
      </c>
    </row>
    <row r="744" spans="19:19" ht="12.75" customHeight="1">
      <c r="S744" t="str">
        <f>IF($B744="Risk",COUNTIF($B$2:B744,"Risk"),"")</f>
        <v/>
      </c>
    </row>
    <row r="745" spans="19:19" ht="12.75" customHeight="1">
      <c r="S745" t="str">
        <f>IF($B745="Risk",COUNTIF($B$2:B745,"Risk"),"")</f>
        <v/>
      </c>
    </row>
    <row r="746" spans="19:19" ht="12.75" customHeight="1">
      <c r="S746" t="str">
        <f>IF($B746="Risk",COUNTIF($B$2:B746,"Risk"),"")</f>
        <v/>
      </c>
    </row>
    <row r="747" spans="19:19" ht="12.75" customHeight="1">
      <c r="S747" t="str">
        <f>IF($B747="Risk",COUNTIF($B$2:B747,"Risk"),"")</f>
        <v/>
      </c>
    </row>
    <row r="748" spans="19:19" ht="12.75" customHeight="1">
      <c r="S748" t="str">
        <f>IF($B748="Risk",COUNTIF($B$2:B748,"Risk"),"")</f>
        <v/>
      </c>
    </row>
    <row r="749" spans="19:19" ht="12.75" customHeight="1">
      <c r="S749" t="str">
        <f>IF($B749="Risk",COUNTIF($B$2:B749,"Risk"),"")</f>
        <v/>
      </c>
    </row>
    <row r="750" spans="19:19" ht="12.75" customHeight="1">
      <c r="S750" t="str">
        <f>IF($B750="Risk",COUNTIF($B$2:B750,"Risk"),"")</f>
        <v/>
      </c>
    </row>
    <row r="751" spans="19:19" ht="12.75" customHeight="1">
      <c r="S751" t="str">
        <f>IF($B751="Risk",COUNTIF($B$2:B751,"Risk"),"")</f>
        <v/>
      </c>
    </row>
    <row r="752" spans="19:19" ht="12.75" customHeight="1">
      <c r="S752" t="str">
        <f>IF($B752="Risk",COUNTIF($B$2:B752,"Risk"),"")</f>
        <v/>
      </c>
    </row>
    <row r="753" spans="19:19" ht="12.75" customHeight="1">
      <c r="S753" t="str">
        <f>IF($B753="Risk",COUNTIF($B$2:B753,"Risk"),"")</f>
        <v/>
      </c>
    </row>
    <row r="754" spans="19:19" ht="12.75" customHeight="1">
      <c r="S754" t="str">
        <f>IF($B754="Risk",COUNTIF($B$2:B754,"Risk"),"")</f>
        <v/>
      </c>
    </row>
    <row r="755" spans="19:19" ht="12.75" customHeight="1">
      <c r="S755" t="str">
        <f>IF($B755="Risk",COUNTIF($B$2:B755,"Risk"),"")</f>
        <v/>
      </c>
    </row>
    <row r="756" spans="19:19" ht="12.75" customHeight="1">
      <c r="S756" t="str">
        <f>IF($B756="Risk",COUNTIF($B$2:B756,"Risk"),"")</f>
        <v/>
      </c>
    </row>
    <row r="757" spans="19:19" ht="12.75" customHeight="1">
      <c r="S757" t="str">
        <f>IF($B757="Risk",COUNTIF($B$2:B757,"Risk"),"")</f>
        <v/>
      </c>
    </row>
    <row r="758" spans="19:19" ht="12.75" customHeight="1">
      <c r="S758" t="str">
        <f>IF($B758="Risk",COUNTIF($B$2:B758,"Risk"),"")</f>
        <v/>
      </c>
    </row>
    <row r="759" spans="19:19" ht="12.75" customHeight="1">
      <c r="S759" t="str">
        <f>IF($B759="Risk",COUNTIF($B$2:B759,"Risk"),"")</f>
        <v/>
      </c>
    </row>
    <row r="760" spans="19:19" ht="12.75" customHeight="1">
      <c r="S760" t="str">
        <f>IF($B760="Risk",COUNTIF($B$2:B760,"Risk"),"")</f>
        <v/>
      </c>
    </row>
    <row r="761" spans="19:19" ht="12.75" customHeight="1">
      <c r="S761" t="str">
        <f>IF($B761="Risk",COUNTIF($B$2:B761,"Risk"),"")</f>
        <v/>
      </c>
    </row>
    <row r="762" spans="19:19" ht="12.75" customHeight="1">
      <c r="S762" t="str">
        <f>IF($B762="Risk",COUNTIF($B$2:B762,"Risk"),"")</f>
        <v/>
      </c>
    </row>
    <row r="763" spans="19:19" ht="12.75" customHeight="1">
      <c r="S763" t="str">
        <f>IF($B763="Risk",COUNTIF($B$2:B763,"Risk"),"")</f>
        <v/>
      </c>
    </row>
    <row r="764" spans="19:19" ht="12.75" customHeight="1">
      <c r="S764" t="str">
        <f>IF($B764="Risk",COUNTIF($B$2:B764,"Risk"),"")</f>
        <v/>
      </c>
    </row>
    <row r="765" spans="19:19" ht="12.75" customHeight="1">
      <c r="S765" t="str">
        <f>IF($B765="Risk",COUNTIF($B$2:B765,"Risk"),"")</f>
        <v/>
      </c>
    </row>
    <row r="766" spans="19:19" ht="12.75" customHeight="1">
      <c r="S766" t="str">
        <f>IF($B766="Risk",COUNTIF($B$2:B766,"Risk"),"")</f>
        <v/>
      </c>
    </row>
    <row r="767" spans="19:19" ht="12.75" customHeight="1">
      <c r="S767" t="str">
        <f>IF($B767="Risk",COUNTIF($B$2:B767,"Risk"),"")</f>
        <v/>
      </c>
    </row>
    <row r="768" spans="19:19" ht="12.75" customHeight="1">
      <c r="S768" t="str">
        <f>IF($B768="Risk",COUNTIF($B$2:B768,"Risk"),"")</f>
        <v/>
      </c>
    </row>
    <row r="769" spans="19:19" ht="12.75" customHeight="1">
      <c r="S769" t="str">
        <f>IF($B769="Risk",COUNTIF($B$2:B769,"Risk"),"")</f>
        <v/>
      </c>
    </row>
    <row r="770" spans="19:19" ht="12.75" customHeight="1">
      <c r="S770" t="str">
        <f>IF($B770="Risk",COUNTIF($B$2:B770,"Risk"),"")</f>
        <v/>
      </c>
    </row>
    <row r="771" spans="19:19" ht="12.75" customHeight="1">
      <c r="S771" t="str">
        <f>IF($B771="Risk",COUNTIF($B$2:B771,"Risk"),"")</f>
        <v/>
      </c>
    </row>
    <row r="772" spans="19:19" ht="12.75" customHeight="1">
      <c r="S772" t="str">
        <f>IF($B772="Risk",COUNTIF($B$2:B772,"Risk"),"")</f>
        <v/>
      </c>
    </row>
    <row r="773" spans="19:19" ht="12.75" customHeight="1">
      <c r="S773" t="str">
        <f>IF($B773="Risk",COUNTIF($B$2:B773,"Risk"),"")</f>
        <v/>
      </c>
    </row>
    <row r="774" spans="19:19" ht="12.75" customHeight="1">
      <c r="S774" t="str">
        <f>IF($B774="Risk",COUNTIF($B$2:B774,"Risk"),"")</f>
        <v/>
      </c>
    </row>
    <row r="775" spans="19:19" ht="12.75" customHeight="1">
      <c r="S775" t="str">
        <f>IF($B775="Risk",COUNTIF($B$2:B775,"Risk"),"")</f>
        <v/>
      </c>
    </row>
    <row r="776" spans="19:19" ht="12.75" customHeight="1">
      <c r="S776" t="str">
        <f>IF($B776="Risk",COUNTIF($B$2:B776,"Risk"),"")</f>
        <v/>
      </c>
    </row>
    <row r="777" spans="19:19" ht="12.75" customHeight="1">
      <c r="S777" t="str">
        <f>IF($B777="Risk",COUNTIF($B$2:B777,"Risk"),"")</f>
        <v/>
      </c>
    </row>
    <row r="778" spans="19:19" ht="12.75" customHeight="1">
      <c r="S778" t="str">
        <f>IF($B778="Risk",COUNTIF($B$2:B778,"Risk"),"")</f>
        <v/>
      </c>
    </row>
    <row r="779" spans="19:19" ht="12.75" customHeight="1">
      <c r="S779" t="str">
        <f>IF($B779="Risk",COUNTIF($B$2:B779,"Risk"),"")</f>
        <v/>
      </c>
    </row>
    <row r="780" spans="19:19" ht="12.75" customHeight="1">
      <c r="S780" t="str">
        <f>IF($B780="Risk",COUNTIF($B$2:B780,"Risk"),"")</f>
        <v/>
      </c>
    </row>
    <row r="781" spans="19:19" ht="12.75" customHeight="1">
      <c r="S781" t="str">
        <f>IF($B781="Risk",COUNTIF($B$2:B781,"Risk"),"")</f>
        <v/>
      </c>
    </row>
    <row r="782" spans="19:19" ht="12.75" customHeight="1">
      <c r="S782" t="str">
        <f>IF($B782="Risk",COUNTIF($B$2:B782,"Risk"),"")</f>
        <v/>
      </c>
    </row>
    <row r="783" spans="19:19" ht="12.75" customHeight="1">
      <c r="S783" t="str">
        <f>IF($B783="Risk",COUNTIF($B$2:B783,"Risk"),"")</f>
        <v/>
      </c>
    </row>
    <row r="784" spans="19:19" ht="12.75" customHeight="1">
      <c r="S784" t="str">
        <f>IF($B784="Risk",COUNTIF($B$2:B784,"Risk"),"")</f>
        <v/>
      </c>
    </row>
    <row r="785" spans="19:19" ht="12.75" customHeight="1">
      <c r="S785" t="str">
        <f>IF($B785="Risk",COUNTIF($B$2:B785,"Risk"),"")</f>
        <v/>
      </c>
    </row>
    <row r="786" spans="19:19" ht="12.75" customHeight="1">
      <c r="S786" t="str">
        <f>IF($B786="Risk",COUNTIF($B$2:B786,"Risk"),"")</f>
        <v/>
      </c>
    </row>
    <row r="787" spans="19:19" ht="12.75" customHeight="1">
      <c r="S787" t="str">
        <f>IF($B787="Risk",COUNTIF($B$2:B787,"Risk"),"")</f>
        <v/>
      </c>
    </row>
    <row r="788" spans="19:19" ht="12.75" customHeight="1">
      <c r="S788" t="str">
        <f>IF($B788="Risk",COUNTIF($B$2:B788,"Risk"),"")</f>
        <v/>
      </c>
    </row>
    <row r="789" spans="19:19" ht="12.75" customHeight="1">
      <c r="S789" t="str">
        <f>IF($B789="Risk",COUNTIF($B$2:B789,"Risk"),"")</f>
        <v/>
      </c>
    </row>
    <row r="790" spans="19:19" ht="12.75" customHeight="1">
      <c r="S790" t="str">
        <f>IF($B790="Risk",COUNTIF($B$2:B790,"Risk"),"")</f>
        <v/>
      </c>
    </row>
    <row r="791" spans="19:19" ht="12.75" customHeight="1">
      <c r="S791" t="str">
        <f>IF($B791="Risk",COUNTIF($B$2:B791,"Risk"),"")</f>
        <v/>
      </c>
    </row>
    <row r="792" spans="19:19" ht="12.75" customHeight="1">
      <c r="S792" t="str">
        <f>IF($B792="Risk",COUNTIF($B$2:B792,"Risk"),"")</f>
        <v/>
      </c>
    </row>
    <row r="793" spans="19:19" ht="12.75" customHeight="1">
      <c r="S793" t="str">
        <f>IF($B793="Risk",COUNTIF($B$2:B793,"Risk"),"")</f>
        <v/>
      </c>
    </row>
    <row r="794" spans="19:19" ht="12.75" customHeight="1">
      <c r="S794" t="str">
        <f>IF($B794="Risk",COUNTIF($B$2:B794,"Risk"),"")</f>
        <v/>
      </c>
    </row>
    <row r="795" spans="19:19" ht="12.75" customHeight="1">
      <c r="S795" t="str">
        <f>IF($B795="Risk",COUNTIF($B$2:B795,"Risk"),"")</f>
        <v/>
      </c>
    </row>
    <row r="796" spans="19:19" ht="12.75" customHeight="1">
      <c r="S796" t="str">
        <f>IF($B796="Risk",COUNTIF($B$2:B796,"Risk"),"")</f>
        <v/>
      </c>
    </row>
    <row r="797" spans="19:19" ht="12.75" customHeight="1">
      <c r="S797" t="str">
        <f>IF($B797="Risk",COUNTIF($B$2:B797,"Risk"),"")</f>
        <v/>
      </c>
    </row>
    <row r="798" spans="19:19" ht="12.75" customHeight="1">
      <c r="S798" t="str">
        <f>IF($B798="Risk",COUNTIF($B$2:B798,"Risk"),"")</f>
        <v/>
      </c>
    </row>
    <row r="799" spans="19:19" ht="12.75" customHeight="1">
      <c r="S799" t="str">
        <f>IF($B799="Risk",COUNTIF($B$2:B799,"Risk"),"")</f>
        <v/>
      </c>
    </row>
    <row r="800" spans="19:19" ht="12.75" customHeight="1">
      <c r="S800" t="str">
        <f>IF($B800="Risk",COUNTIF($B$2:B800,"Risk"),"")</f>
        <v/>
      </c>
    </row>
    <row r="801" spans="19:19" ht="12.75" customHeight="1">
      <c r="S801" t="str">
        <f>IF($B801="Risk",COUNTIF($B$2:B801,"Risk"),"")</f>
        <v/>
      </c>
    </row>
    <row r="802" spans="19:19" ht="12.75" customHeight="1">
      <c r="S802" t="str">
        <f>IF($B802="Risk",COUNTIF($B$2:B802,"Risk"),"")</f>
        <v/>
      </c>
    </row>
    <row r="803" spans="19:19" ht="12.75" customHeight="1">
      <c r="S803" t="str">
        <f>IF($B803="Risk",COUNTIF($B$2:B803,"Risk"),"")</f>
        <v/>
      </c>
    </row>
    <row r="804" spans="19:19" ht="12.75" customHeight="1">
      <c r="S804" t="str">
        <f>IF($B804="Risk",COUNTIF($B$2:B804,"Risk"),"")</f>
        <v/>
      </c>
    </row>
    <row r="805" spans="19:19" ht="12.75" customHeight="1">
      <c r="S805" t="str">
        <f>IF($B805="Risk",COUNTIF($B$2:B805,"Risk"),"")</f>
        <v/>
      </c>
    </row>
    <row r="806" spans="19:19" ht="12.75" customHeight="1">
      <c r="S806" t="str">
        <f>IF($B806="Risk",COUNTIF($B$2:B806,"Risk"),"")</f>
        <v/>
      </c>
    </row>
    <row r="807" spans="19:19" ht="12.75" customHeight="1">
      <c r="S807" t="str">
        <f>IF($B807="Risk",COUNTIF($B$2:B807,"Risk"),"")</f>
        <v/>
      </c>
    </row>
    <row r="808" spans="19:19" ht="12.75" customHeight="1">
      <c r="S808" t="str">
        <f>IF($B808="Risk",COUNTIF($B$2:B808,"Risk"),"")</f>
        <v/>
      </c>
    </row>
    <row r="809" spans="19:19" ht="12.75" customHeight="1">
      <c r="S809" t="str">
        <f>IF($B809="Risk",COUNTIF($B$2:B809,"Risk"),"")</f>
        <v/>
      </c>
    </row>
    <row r="810" spans="19:19" ht="12.75" customHeight="1">
      <c r="S810" t="str">
        <f>IF($B810="Risk",COUNTIF($B$2:B810,"Risk"),"")</f>
        <v/>
      </c>
    </row>
    <row r="811" spans="19:19" ht="12.75" customHeight="1">
      <c r="S811" t="str">
        <f>IF($B811="Risk",COUNTIF($B$2:B811,"Risk"),"")</f>
        <v/>
      </c>
    </row>
    <row r="812" spans="19:19" ht="12.75" customHeight="1">
      <c r="S812" t="str">
        <f>IF($B812="Risk",COUNTIF($B$2:B812,"Risk"),"")</f>
        <v/>
      </c>
    </row>
    <row r="813" spans="19:19" ht="12.75" customHeight="1">
      <c r="S813" t="str">
        <f>IF($B813="Risk",COUNTIF($B$2:B813,"Risk"),"")</f>
        <v/>
      </c>
    </row>
    <row r="814" spans="19:19" ht="12.75" customHeight="1">
      <c r="S814" t="str">
        <f>IF($B814="Risk",COUNTIF($B$2:B814,"Risk"),"")</f>
        <v/>
      </c>
    </row>
    <row r="815" spans="19:19" ht="12.75" customHeight="1">
      <c r="S815" t="str">
        <f>IF($B815="Risk",COUNTIF($B$2:B815,"Risk"),"")</f>
        <v/>
      </c>
    </row>
    <row r="816" spans="19:19" ht="12.75" customHeight="1">
      <c r="S816" t="str">
        <f>IF($B816="Risk",COUNTIF($B$2:B816,"Risk"),"")</f>
        <v/>
      </c>
    </row>
    <row r="817" spans="19:19" ht="12.75" customHeight="1">
      <c r="S817" t="str">
        <f>IF($B817="Risk",COUNTIF($B$2:B817,"Risk"),"")</f>
        <v/>
      </c>
    </row>
    <row r="818" spans="19:19" ht="12.75" customHeight="1">
      <c r="S818" t="str">
        <f>IF($B818="Risk",COUNTIF($B$2:B818,"Risk"),"")</f>
        <v/>
      </c>
    </row>
    <row r="819" spans="19:19" ht="12.75" customHeight="1">
      <c r="S819" t="str">
        <f>IF($B819="Risk",COUNTIF($B$2:B819,"Risk"),"")</f>
        <v/>
      </c>
    </row>
    <row r="820" spans="19:19" ht="12.75" customHeight="1">
      <c r="S820" t="str">
        <f>IF($B820="Risk",COUNTIF($B$2:B820,"Risk"),"")</f>
        <v/>
      </c>
    </row>
    <row r="821" spans="19:19" ht="12.75" customHeight="1">
      <c r="S821" t="str">
        <f>IF($B821="Risk",COUNTIF($B$2:B821,"Risk"),"")</f>
        <v/>
      </c>
    </row>
    <row r="822" spans="19:19" ht="12.75" customHeight="1">
      <c r="S822" t="str">
        <f>IF($B822="Risk",COUNTIF($B$2:B822,"Risk"),"")</f>
        <v/>
      </c>
    </row>
    <row r="823" spans="19:19" ht="12.75" customHeight="1">
      <c r="S823" t="str">
        <f>IF($B823="Risk",COUNTIF($B$2:B823,"Risk"),"")</f>
        <v/>
      </c>
    </row>
    <row r="824" spans="19:19" ht="12.75" customHeight="1">
      <c r="S824" t="str">
        <f>IF($B824="Risk",COUNTIF($B$2:B824,"Risk"),"")</f>
        <v/>
      </c>
    </row>
    <row r="825" spans="19:19" ht="12.75" customHeight="1">
      <c r="S825" t="str">
        <f>IF($B825="Risk",COUNTIF($B$2:B825,"Risk"),"")</f>
        <v/>
      </c>
    </row>
    <row r="826" spans="19:19" ht="12.75" customHeight="1">
      <c r="S826" t="str">
        <f>IF($B826="Risk",COUNTIF($B$2:B826,"Risk"),"")</f>
        <v/>
      </c>
    </row>
    <row r="827" spans="19:19" ht="12.75" customHeight="1">
      <c r="S827" t="str">
        <f>IF($B827="Risk",COUNTIF($B$2:B827,"Risk"),"")</f>
        <v/>
      </c>
    </row>
    <row r="828" spans="19:19" ht="12.75" customHeight="1">
      <c r="S828" t="str">
        <f>IF($B828="Risk",COUNTIF($B$2:B828,"Risk"),"")</f>
        <v/>
      </c>
    </row>
    <row r="829" spans="19:19" ht="12.75" customHeight="1">
      <c r="S829" t="str">
        <f>IF($B829="Risk",COUNTIF($B$2:B829,"Risk"),"")</f>
        <v/>
      </c>
    </row>
    <row r="830" spans="19:19" ht="12.75" customHeight="1">
      <c r="S830" t="str">
        <f>IF($B830="Risk",COUNTIF($B$2:B830,"Risk"),"")</f>
        <v/>
      </c>
    </row>
    <row r="831" spans="19:19" ht="12.75" customHeight="1">
      <c r="S831" t="str">
        <f>IF($B831="Risk",COUNTIF($B$2:B831,"Risk"),"")</f>
        <v/>
      </c>
    </row>
    <row r="832" spans="19:19" ht="12.75" customHeight="1">
      <c r="S832" t="str">
        <f>IF($B832="Risk",COUNTIF($B$2:B832,"Risk"),"")</f>
        <v/>
      </c>
    </row>
    <row r="833" spans="19:19" ht="12.75" customHeight="1">
      <c r="S833" t="str">
        <f>IF($B833="Risk",COUNTIF($B$2:B833,"Risk"),"")</f>
        <v/>
      </c>
    </row>
    <row r="834" spans="19:19" ht="12.75" customHeight="1">
      <c r="S834" t="str">
        <f>IF($B834="Risk",COUNTIF($B$2:B834,"Risk"),"")</f>
        <v/>
      </c>
    </row>
    <row r="835" spans="19:19" ht="12.75" customHeight="1">
      <c r="S835" t="str">
        <f>IF($B835="Risk",COUNTIF($B$2:B835,"Risk"),"")</f>
        <v/>
      </c>
    </row>
    <row r="836" spans="19:19" ht="12.75" customHeight="1">
      <c r="S836" t="str">
        <f>IF($B836="Risk",COUNTIF($B$2:B836,"Risk"),"")</f>
        <v/>
      </c>
    </row>
    <row r="837" spans="19:19" ht="12.75" customHeight="1">
      <c r="S837" t="str">
        <f>IF($B837="Risk",COUNTIF($B$2:B837,"Risk"),"")</f>
        <v/>
      </c>
    </row>
    <row r="838" spans="19:19" ht="12.75" customHeight="1">
      <c r="S838" t="str">
        <f>IF($B838="Risk",COUNTIF($B$2:B838,"Risk"),"")</f>
        <v/>
      </c>
    </row>
    <row r="839" spans="19:19" ht="12.75" customHeight="1">
      <c r="S839" t="str">
        <f>IF($B839="Risk",COUNTIF($B$2:B839,"Risk"),"")</f>
        <v/>
      </c>
    </row>
    <row r="840" spans="19:19" ht="12.75" customHeight="1">
      <c r="S840" t="str">
        <f>IF($B840="Risk",COUNTIF($B$2:B840,"Risk"),"")</f>
        <v/>
      </c>
    </row>
    <row r="841" spans="19:19" ht="12.75" customHeight="1">
      <c r="S841" t="str">
        <f>IF($B841="Risk",COUNTIF($B$2:B841,"Risk"),"")</f>
        <v/>
      </c>
    </row>
    <row r="842" spans="19:19" ht="12.75" customHeight="1">
      <c r="S842" t="str">
        <f>IF($B842="Risk",COUNTIF($B$2:B842,"Risk"),"")</f>
        <v/>
      </c>
    </row>
    <row r="843" spans="19:19" ht="12.75" customHeight="1">
      <c r="S843" t="str">
        <f>IF($B843="Risk",COUNTIF($B$2:B843,"Risk"),"")</f>
        <v/>
      </c>
    </row>
    <row r="844" spans="19:19" ht="12.75" customHeight="1">
      <c r="S844" t="str">
        <f>IF($B844="Risk",COUNTIF($B$2:B844,"Risk"),"")</f>
        <v/>
      </c>
    </row>
    <row r="845" spans="19:19" ht="12.75" customHeight="1">
      <c r="S845" t="str">
        <f>IF($B845="Risk",COUNTIF($B$2:B845,"Risk"),"")</f>
        <v/>
      </c>
    </row>
    <row r="846" spans="19:19" ht="12.75" customHeight="1">
      <c r="S846" t="str">
        <f>IF($B846="Risk",COUNTIF($B$2:B846,"Risk"),"")</f>
        <v/>
      </c>
    </row>
    <row r="847" spans="19:19" ht="12.75" customHeight="1">
      <c r="S847" t="str">
        <f>IF($B847="Risk",COUNTIF($B$2:B847,"Risk"),"")</f>
        <v/>
      </c>
    </row>
    <row r="848" spans="19:19" ht="12.75" customHeight="1">
      <c r="S848" t="str">
        <f>IF($B848="Risk",COUNTIF($B$2:B848,"Risk"),"")</f>
        <v/>
      </c>
    </row>
    <row r="849" spans="19:19" ht="12.75" customHeight="1">
      <c r="S849" t="str">
        <f>IF($B849="Risk",COUNTIF($B$2:B849,"Risk"),"")</f>
        <v/>
      </c>
    </row>
    <row r="850" spans="19:19" ht="12.75" customHeight="1">
      <c r="S850" t="str">
        <f>IF($B850="Risk",COUNTIF($B$2:B850,"Risk"),"")</f>
        <v/>
      </c>
    </row>
    <row r="851" spans="19:19" ht="12.75" customHeight="1">
      <c r="S851" t="str">
        <f>IF($B851="Risk",COUNTIF($B$2:B851,"Risk"),"")</f>
        <v/>
      </c>
    </row>
    <row r="852" spans="19:19" ht="12.75" customHeight="1">
      <c r="S852" t="str">
        <f>IF($B852="Risk",COUNTIF($B$2:B852,"Risk"),"")</f>
        <v/>
      </c>
    </row>
    <row r="853" spans="19:19" ht="12.75" customHeight="1">
      <c r="S853" t="str">
        <f>IF($B853="Risk",COUNTIF($B$2:B853,"Risk"),"")</f>
        <v/>
      </c>
    </row>
    <row r="854" spans="19:19" ht="12.75" customHeight="1">
      <c r="S854" t="str">
        <f>IF($B854="Risk",COUNTIF($B$2:B854,"Risk"),"")</f>
        <v/>
      </c>
    </row>
    <row r="855" spans="19:19" ht="12.75" customHeight="1">
      <c r="S855" t="str">
        <f>IF($B855="Risk",COUNTIF($B$2:B855,"Risk"),"")</f>
        <v/>
      </c>
    </row>
    <row r="856" spans="19:19" ht="12.75" customHeight="1">
      <c r="S856" t="str">
        <f>IF($B856="Risk",COUNTIF($B$2:B856,"Risk"),"")</f>
        <v/>
      </c>
    </row>
    <row r="857" spans="19:19" ht="12.75" customHeight="1">
      <c r="S857" t="str">
        <f>IF($B857="Risk",COUNTIF($B$2:B857,"Risk"),"")</f>
        <v/>
      </c>
    </row>
    <row r="858" spans="19:19" ht="12.75" customHeight="1">
      <c r="S858" t="str">
        <f>IF($B858="Risk",COUNTIF($B$2:B858,"Risk"),"")</f>
        <v/>
      </c>
    </row>
    <row r="859" spans="19:19" ht="12.75" customHeight="1">
      <c r="S859" t="str">
        <f>IF($B859="Risk",COUNTIF($B$2:B859,"Risk"),"")</f>
        <v/>
      </c>
    </row>
    <row r="860" spans="19:19" ht="12.75" customHeight="1">
      <c r="S860" t="str">
        <f>IF($B860="Risk",COUNTIF($B$2:B860,"Risk"),"")</f>
        <v/>
      </c>
    </row>
    <row r="861" spans="19:19" ht="12.75" customHeight="1">
      <c r="S861" t="str">
        <f>IF($B861="Risk",COUNTIF($B$2:B861,"Risk"),"")</f>
        <v/>
      </c>
    </row>
    <row r="862" spans="19:19" ht="12.75" customHeight="1">
      <c r="S862" t="str">
        <f>IF($B862="Risk",COUNTIF($B$2:B862,"Risk"),"")</f>
        <v/>
      </c>
    </row>
    <row r="863" spans="19:19" ht="12.75" customHeight="1">
      <c r="S863" t="str">
        <f>IF($B863="Risk",COUNTIF($B$2:B863,"Risk"),"")</f>
        <v/>
      </c>
    </row>
    <row r="864" spans="19:19" ht="12.75" customHeight="1">
      <c r="S864" t="str">
        <f>IF($B864="Risk",COUNTIF($B$2:B864,"Risk"),"")</f>
        <v/>
      </c>
    </row>
    <row r="865" spans="19:19" ht="12.75" customHeight="1">
      <c r="S865" t="str">
        <f>IF($B865="Risk",COUNTIF($B$2:B865,"Risk"),"")</f>
        <v/>
      </c>
    </row>
    <row r="866" spans="19:19" ht="12.75" customHeight="1">
      <c r="S866" t="str">
        <f>IF($B866="Risk",COUNTIF($B$2:B866,"Risk"),"")</f>
        <v/>
      </c>
    </row>
    <row r="867" spans="19:19" ht="12.75" customHeight="1">
      <c r="S867" t="str">
        <f>IF($B867="Risk",COUNTIF($B$2:B867,"Risk"),"")</f>
        <v/>
      </c>
    </row>
    <row r="868" spans="19:19" ht="12.75" customHeight="1">
      <c r="S868" t="str">
        <f>IF($B868="Risk",COUNTIF($B$2:B868,"Risk"),"")</f>
        <v/>
      </c>
    </row>
    <row r="869" spans="19:19" ht="12.75" customHeight="1">
      <c r="S869" t="str">
        <f>IF($B869="Risk",COUNTIF($B$2:B869,"Risk"),"")</f>
        <v/>
      </c>
    </row>
    <row r="870" spans="19:19" ht="12.75" customHeight="1">
      <c r="S870" t="str">
        <f>IF($B870="Risk",COUNTIF($B$2:B870,"Risk"),"")</f>
        <v/>
      </c>
    </row>
    <row r="871" spans="19:19" ht="12.75" customHeight="1">
      <c r="S871" t="str">
        <f>IF($B871="Risk",COUNTIF($B$2:B871,"Risk"),"")</f>
        <v/>
      </c>
    </row>
    <row r="872" spans="19:19" ht="12.75" customHeight="1">
      <c r="S872" t="str">
        <f>IF($B872="Risk",COUNTIF($B$2:B872,"Risk"),"")</f>
        <v/>
      </c>
    </row>
    <row r="873" spans="19:19" ht="12.75" customHeight="1">
      <c r="S873" t="str">
        <f>IF($B873="Risk",COUNTIF($B$2:B873,"Risk"),"")</f>
        <v/>
      </c>
    </row>
    <row r="874" spans="19:19" ht="12.75" customHeight="1">
      <c r="S874" t="str">
        <f>IF($B874="Risk",COUNTIF($B$2:B874,"Risk"),"")</f>
        <v/>
      </c>
    </row>
    <row r="875" spans="19:19" ht="12.75" customHeight="1">
      <c r="S875" t="str">
        <f>IF($B875="Risk",COUNTIF($B$2:B875,"Risk"),"")</f>
        <v/>
      </c>
    </row>
    <row r="876" spans="19:19" ht="12.75" customHeight="1">
      <c r="S876" t="str">
        <f>IF($B876="Risk",COUNTIF($B$2:B876,"Risk"),"")</f>
        <v/>
      </c>
    </row>
    <row r="877" spans="19:19" ht="12.75" customHeight="1">
      <c r="S877" t="str">
        <f>IF($B877="Risk",COUNTIF($B$2:B877,"Risk"),"")</f>
        <v/>
      </c>
    </row>
    <row r="878" spans="19:19" ht="12.75" customHeight="1">
      <c r="S878" t="str">
        <f>IF($B878="Risk",COUNTIF($B$2:B878,"Risk"),"")</f>
        <v/>
      </c>
    </row>
    <row r="879" spans="19:19" ht="12.75" customHeight="1">
      <c r="S879" t="str">
        <f>IF($B879="Risk",COUNTIF($B$2:B879,"Risk"),"")</f>
        <v/>
      </c>
    </row>
    <row r="880" spans="19:19" ht="12.75" customHeight="1">
      <c r="S880" t="str">
        <f>IF($B880="Risk",COUNTIF($B$2:B880,"Risk"),"")</f>
        <v/>
      </c>
    </row>
  </sheetData>
  <dataValidations count="9">
    <dataValidation type="list" operator="equal" allowBlank="1" showInputMessage="1" showErrorMessage="1" sqref="B2:B26" xr:uid="{00000000-0002-0000-0200-000000000000}">
      <formula1>"Risk,Assumption,Issue,Dependency"</formula1>
      <formula2>0</formula2>
    </dataValidation>
    <dataValidation type="list" operator="equal" allowBlank="1" showInputMessage="1" showErrorMessage="1" sqref="C2:C26" xr:uid="{00000000-0002-0000-0200-000001000000}">
      <formula1>"Technical,Scope,Schedule,Cost,Quality,Resource,Vendor,Stakeholder,Process,Security/Compliance"</formula1>
      <formula2>0</formula2>
    </dataValidation>
    <dataValidation type="list" operator="equal" allowBlank="1" showInputMessage="1" showErrorMessage="1" sqref="D2:D26" xr:uid="{00000000-0002-0000-0200-000002000000}">
      <formula1>"Scope,Schedule,Cost,Quality,Security/Compliance,Other"</formula1>
      <formula2>0</formula2>
    </dataValidation>
    <dataValidation type="date" allowBlank="1" showInputMessage="1" showErrorMessage="1" sqref="H2:H3 H5:H6 H8:H9 H11:H12 H14:H15 H17:H18 H20:H26" xr:uid="{00000000-0002-0000-0200-000003000000}">
      <formula1>36526</formula1>
      <formula2>54789</formula2>
    </dataValidation>
    <dataValidation type="list" operator="equal" allowBlank="1" showInputMessage="1" showErrorMessage="1" sqref="J2:J26" xr:uid="{00000000-0002-0000-0200-000004000000}">
      <formula1>"Severe,Major,Moderate,Minor,Insignificant"</formula1>
      <formula2>0</formula2>
    </dataValidation>
    <dataValidation type="list" operator="equal" allowBlank="1" showInputMessage="1" showErrorMessage="1" sqref="K2:K26" xr:uid="{00000000-0002-0000-0200-000005000000}">
      <formula1>"Very High,High,Average,Low,Very Low"</formula1>
      <formula2>0</formula2>
    </dataValidation>
    <dataValidation type="list" operator="equal" allowBlank="1" showInputMessage="1" showErrorMessage="1" sqref="L2:L26" xr:uid="{00000000-0002-0000-0200-000006000000}">
      <formula1>"Critical,High,Medium,Low"</formula1>
      <formula2>0</formula2>
    </dataValidation>
    <dataValidation type="list" operator="equal" allowBlank="1" showInputMessage="1" showErrorMessage="1" sqref="N2:N16" xr:uid="{00000000-0002-0000-0200-000007000000}">
      <formula1>"Not Started,In-Progress,Behind,Closed"</formula1>
      <formula2>0</formula2>
    </dataValidation>
    <dataValidation type="list" operator="equal" allowBlank="1" showInputMessage="1" showErrorMessage="1" sqref="N17:N26 O2:O26" xr:uid="{00000000-0002-0000-0200-000008000000}">
      <formula1>"Avoid,Mitigate,Transfer,Accept,Escalate"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E48"/>
  <sheetViews>
    <sheetView zoomScaleNormal="100" workbookViewId="0"/>
  </sheetViews>
  <sheetFormatPr defaultColWidth="8.6640625" defaultRowHeight="12.75" customHeight="1"/>
  <cols>
    <col min="2" max="2" width="14" customWidth="1"/>
    <col min="3" max="3" width="4" customWidth="1"/>
    <col min="4" max="4" width="12" customWidth="1"/>
    <col min="5" max="5" width="4" customWidth="1"/>
    <col min="6" max="6" width="14" customWidth="1"/>
    <col min="7" max="7" width="4" customWidth="1"/>
    <col min="8" max="8" width="12" customWidth="1"/>
    <col min="9" max="9" width="4" customWidth="1"/>
    <col min="10" max="10" width="14" customWidth="1"/>
    <col min="11" max="11" width="4" customWidth="1"/>
    <col min="12" max="12" width="14" customWidth="1"/>
    <col min="13" max="13" width="18.109375" customWidth="1"/>
    <col min="22" max="27" width="12" customWidth="1"/>
    <col min="30" max="31" width="13" hidden="1" customWidth="1"/>
  </cols>
  <sheetData>
    <row r="2" spans="2:31" ht="12.75" customHeight="1">
      <c r="B2" s="9" t="s">
        <v>170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31" ht="12.75" customHeight="1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2:31" ht="12.75" customHeight="1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2:31" ht="21.75" customHeight="1">
      <c r="B5" s="8" t="s">
        <v>171</v>
      </c>
      <c r="C5" s="8"/>
      <c r="D5" s="7" t="s">
        <v>172</v>
      </c>
      <c r="E5" s="7"/>
      <c r="F5" s="7" t="s">
        <v>173</v>
      </c>
      <c r="G5" s="7"/>
      <c r="H5" s="7" t="s">
        <v>174</v>
      </c>
      <c r="I5" s="7"/>
      <c r="J5" s="7" t="s">
        <v>175</v>
      </c>
      <c r="K5" s="7"/>
      <c r="L5" s="94"/>
      <c r="M5" s="8" t="s">
        <v>170</v>
      </c>
      <c r="N5" s="8"/>
    </row>
    <row r="6" spans="2:31" ht="19.5" customHeight="1">
      <c r="B6" s="8"/>
      <c r="C6" s="8"/>
      <c r="D6" s="7"/>
      <c r="E6" s="7"/>
      <c r="F6" s="7"/>
      <c r="G6" s="7"/>
      <c r="H6" s="7"/>
      <c r="I6" s="7"/>
      <c r="J6" s="7"/>
      <c r="K6" s="7"/>
      <c r="L6" s="95"/>
      <c r="M6" s="6" t="s">
        <v>176</v>
      </c>
      <c r="N6" s="5" t="s">
        <v>74</v>
      </c>
    </row>
    <row r="7" spans="2:31" ht="30" customHeight="1">
      <c r="B7" s="4">
        <f>COUNTA('RAID Log'!$B:$B)-1</f>
        <v>25</v>
      </c>
      <c r="C7" s="4"/>
      <c r="D7" s="3">
        <f>COUNTIF('RAID Log'!$B:$B,"Risk")</f>
        <v>7</v>
      </c>
      <c r="E7" s="3"/>
      <c r="F7" s="3">
        <f>COUNTIF('RAID Log'!$B:$B,"Assumption")</f>
        <v>9</v>
      </c>
      <c r="G7" s="3"/>
      <c r="H7" s="3">
        <f>COUNTIF('RAID Log'!$B:$B,"Issue")</f>
        <v>4</v>
      </c>
      <c r="I7" s="3"/>
      <c r="J7" s="3">
        <f>COUNTIF('RAID Log'!$B:$B,"Dependency")</f>
        <v>5</v>
      </c>
      <c r="K7" s="3"/>
      <c r="L7" s="95"/>
      <c r="M7" s="6"/>
      <c r="N7" s="5"/>
    </row>
    <row r="8" spans="2:31" ht="18" customHeight="1">
      <c r="B8" s="4"/>
      <c r="C8" s="4"/>
      <c r="D8" s="3"/>
      <c r="E8" s="3"/>
      <c r="F8" s="3"/>
      <c r="G8" s="3"/>
      <c r="H8" s="3"/>
      <c r="I8" s="3"/>
      <c r="J8" s="3"/>
      <c r="K8" s="3"/>
      <c r="L8" s="96"/>
      <c r="M8" s="6"/>
      <c r="N8" s="5"/>
    </row>
    <row r="9" spans="2:31" ht="7.5" customHeight="1">
      <c r="B9" s="97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9"/>
    </row>
    <row r="10" spans="2:31" ht="7.5" customHeight="1">
      <c r="B10" s="97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9"/>
    </row>
    <row r="11" spans="2:31" ht="7.5" customHeight="1">
      <c r="B11" s="97"/>
      <c r="C11" s="100" t="s">
        <v>55</v>
      </c>
      <c r="D11" s="100" t="s">
        <v>177</v>
      </c>
      <c r="E11" s="98"/>
      <c r="F11" s="100" t="s">
        <v>63</v>
      </c>
      <c r="G11" s="100" t="s">
        <v>177</v>
      </c>
      <c r="H11" s="98"/>
      <c r="I11" s="100" t="s">
        <v>178</v>
      </c>
      <c r="J11" s="100" t="s">
        <v>177</v>
      </c>
      <c r="K11" s="98"/>
      <c r="L11" s="98"/>
      <c r="M11" s="98"/>
      <c r="N11" s="99"/>
    </row>
    <row r="12" spans="2:31" ht="19.5" customHeight="1">
      <c r="B12" s="101"/>
      <c r="C12" s="100" t="s">
        <v>41</v>
      </c>
      <c r="D12" s="100">
        <f>COUNTIFS('RAID Log'!$B:$B,$N$6,'RAID Log'!$N:$N,C12)</f>
        <v>1</v>
      </c>
      <c r="E12" s="98"/>
      <c r="F12" s="100" t="s">
        <v>76</v>
      </c>
      <c r="G12" s="100">
        <f>COUNTIFS('RAID Log'!$B:$B,$N$6,'RAID Log'!$C:$C,F12)</f>
        <v>0</v>
      </c>
      <c r="H12" s="98"/>
      <c r="I12" s="100" t="s">
        <v>12</v>
      </c>
      <c r="J12" s="100">
        <f>COUNTIFS('RAID Log'!$B:$B,$N$6,'RAID Log'!$O:$O,I12)</f>
        <v>1</v>
      </c>
      <c r="K12" s="102"/>
      <c r="L12" s="102"/>
      <c r="M12" s="102"/>
      <c r="N12" s="99"/>
    </row>
    <row r="13" spans="2:31" ht="27.75" customHeight="1">
      <c r="B13" s="101"/>
      <c r="C13" s="100" t="s">
        <v>39</v>
      </c>
      <c r="D13" s="100">
        <f>COUNTIFS('RAID Log'!$B:$B,$N$6,'RAID Log'!$N:$N,C13)</f>
        <v>2</v>
      </c>
      <c r="E13" s="98"/>
      <c r="F13" s="100" t="s">
        <v>131</v>
      </c>
      <c r="G13" s="100">
        <f>COUNTIFS('RAID Log'!$B:$B,$N$6,'RAID Log'!$C:$C,F13)</f>
        <v>1</v>
      </c>
      <c r="H13" s="98"/>
      <c r="I13" s="100" t="s">
        <v>16</v>
      </c>
      <c r="J13" s="100">
        <f>COUNTIFS('RAID Log'!$B:$B,$N$6,'RAID Log'!$O:$O,I13)</f>
        <v>2</v>
      </c>
      <c r="K13" s="102"/>
      <c r="L13" s="102"/>
      <c r="M13" s="102"/>
      <c r="N13" s="99"/>
    </row>
    <row r="14" spans="2:31" ht="27.75" customHeight="1">
      <c r="B14" s="101"/>
      <c r="C14" s="100" t="s">
        <v>40</v>
      </c>
      <c r="D14" s="100">
        <f>COUNTIFS('RAID Log'!$B:$B,$N$6,'RAID Log'!$N:$N,C14)</f>
        <v>3</v>
      </c>
      <c r="E14" s="102"/>
      <c r="F14" s="100" t="s">
        <v>75</v>
      </c>
      <c r="G14" s="100">
        <f>COUNTIFS('RAID Log'!$B:$B,$N$6,'RAID Log'!$C:$C,F14)</f>
        <v>1</v>
      </c>
      <c r="H14" s="98"/>
      <c r="I14" s="100" t="s">
        <v>14</v>
      </c>
      <c r="J14" s="100">
        <f>COUNTIFS('RAID Log'!$B:$B,$N$6,'RAID Log'!$O:$O,I14)</f>
        <v>1</v>
      </c>
      <c r="K14" s="102"/>
      <c r="L14" s="102"/>
      <c r="M14" s="102"/>
      <c r="N14" s="99"/>
    </row>
    <row r="15" spans="2:31" ht="27.75" customHeight="1">
      <c r="B15" s="101"/>
      <c r="C15" s="100" t="s">
        <v>38</v>
      </c>
      <c r="D15" s="100">
        <f>COUNTIFS('RAID Log'!$B:$B,$N$6,'RAID Log'!$N:$N,C15)</f>
        <v>1</v>
      </c>
      <c r="E15" s="102"/>
      <c r="F15" s="100" t="s">
        <v>140</v>
      </c>
      <c r="G15" s="100">
        <f>COUNTIFS('RAID Log'!$B:$B,$N$6,'RAID Log'!$C:$C,F15)</f>
        <v>0</v>
      </c>
      <c r="H15" s="102"/>
      <c r="I15" s="100" t="s">
        <v>45</v>
      </c>
      <c r="J15" s="100">
        <f>COUNTIFS('RAID Log'!$B:$B,$N$6,'RAID Log'!$O:$O,I15)</f>
        <v>1</v>
      </c>
      <c r="K15" s="102"/>
      <c r="L15" s="102"/>
      <c r="M15" s="102"/>
      <c r="N15" s="99"/>
    </row>
    <row r="16" spans="2:31" ht="18" customHeight="1">
      <c r="B16" s="101"/>
      <c r="C16" s="102"/>
      <c r="D16" s="102"/>
      <c r="E16" s="98"/>
      <c r="F16" s="100" t="s">
        <v>106</v>
      </c>
      <c r="G16" s="100">
        <f>COUNTIFS('RAID Log'!$B:$B,$N$6,'RAID Log'!$C:$C,F16)</f>
        <v>0</v>
      </c>
      <c r="H16" s="102"/>
      <c r="I16" s="100" t="s">
        <v>18</v>
      </c>
      <c r="J16" s="100">
        <f>COUNTIFS('RAID Log'!$B:$B,$N$6,'RAID Log'!$O:$O,I16)</f>
        <v>2</v>
      </c>
      <c r="K16" s="102"/>
      <c r="L16" s="102"/>
      <c r="M16" s="102"/>
      <c r="N16" s="99"/>
      <c r="AD16" t="s">
        <v>179</v>
      </c>
      <c r="AE16" t="s">
        <v>180</v>
      </c>
    </row>
    <row r="17" spans="2:31" ht="27.75" customHeight="1">
      <c r="B17" s="101"/>
      <c r="C17" s="102"/>
      <c r="D17" s="102"/>
      <c r="E17" s="98"/>
      <c r="F17" s="100" t="s">
        <v>99</v>
      </c>
      <c r="G17" s="100">
        <f>COUNTIFS('RAID Log'!$B:$B,$N$6,'RAID Log'!$C:$C,F17)</f>
        <v>1</v>
      </c>
      <c r="H17" s="102"/>
      <c r="I17" s="102"/>
      <c r="J17" s="102"/>
      <c r="K17" s="102"/>
      <c r="L17" s="102"/>
      <c r="M17" s="102"/>
      <c r="N17" s="99"/>
      <c r="AD17" t="str">
        <f ca="1">IFERROR(INDEX($F$12:$F$19,_xludf.aggregate(15,6,(ROW($F$12:$F$19)-ROW($F$12)+1)/($G$12:$G$19&gt;0),ROWS($AD$17:AD17))),"")</f>
        <v/>
      </c>
      <c r="AE17" t="str">
        <f t="shared" ref="AE17:AE24" ca="1" si="0">IF($AD17="","",INDEX($G$12:$G$19,MATCH($AD17,$F$12:$F$19,0)))</f>
        <v/>
      </c>
    </row>
    <row r="18" spans="2:31" ht="27.75" customHeight="1">
      <c r="B18" s="101"/>
      <c r="C18" s="102"/>
      <c r="D18" s="102"/>
      <c r="E18" s="98"/>
      <c r="F18" s="100" t="s">
        <v>91</v>
      </c>
      <c r="G18" s="100">
        <f>COUNTIFS('RAID Log'!$B:$B,$N$6,'RAID Log'!$C:$C,F18)</f>
        <v>3</v>
      </c>
      <c r="H18" s="102"/>
      <c r="I18" s="102"/>
      <c r="J18" s="102"/>
      <c r="K18" s="102"/>
      <c r="L18" s="102"/>
      <c r="M18" s="102"/>
      <c r="N18" s="99"/>
      <c r="AD18" t="str">
        <f ca="1">IFERROR(INDEX($F$12:$F$19,_xludf.aggregate(15,6,(ROW($F$12:$F$19)-ROW($F$12)+1)/($G$12:$G$19&gt;0),ROWS($AD$17:AD18))),"")</f>
        <v/>
      </c>
      <c r="AE18" t="str">
        <f t="shared" ca="1" si="0"/>
        <v/>
      </c>
    </row>
    <row r="19" spans="2:31" ht="27.75" customHeight="1">
      <c r="B19" s="101"/>
      <c r="C19" s="102"/>
      <c r="D19" s="102"/>
      <c r="E19" s="98"/>
      <c r="F19" s="100" t="s">
        <v>126</v>
      </c>
      <c r="G19" s="100">
        <f>COUNTIFS('RAID Log'!$B:$B,$N$6,'RAID Log'!$C:$C,F19)</f>
        <v>1</v>
      </c>
      <c r="H19" s="102"/>
      <c r="I19" s="102"/>
      <c r="J19" s="102"/>
      <c r="K19" s="102"/>
      <c r="L19" s="102"/>
      <c r="M19" s="102"/>
      <c r="N19" s="99"/>
      <c r="AD19" t="str">
        <f ca="1">IFERROR(INDEX($F$12:$F$19,_xludf.aggregate(15,6,(ROW($F$12:$F$19)-ROW($F$12)+1)/($G$12:$G$19&gt;0),ROWS($AD$17:AD19))),"")</f>
        <v/>
      </c>
      <c r="AE19" t="str">
        <f t="shared" ca="1" si="0"/>
        <v/>
      </c>
    </row>
    <row r="20" spans="2:31" ht="27.75" customHeight="1">
      <c r="B20" s="101"/>
      <c r="C20" s="102"/>
      <c r="D20" s="102"/>
      <c r="E20" s="98"/>
      <c r="F20" s="98"/>
      <c r="G20" s="102"/>
      <c r="H20" s="102"/>
      <c r="I20" s="102"/>
      <c r="J20" s="102"/>
      <c r="K20" s="102"/>
      <c r="L20" s="102"/>
      <c r="M20" s="102"/>
      <c r="N20" s="99"/>
      <c r="AD20" t="str">
        <f ca="1">IFERROR(INDEX($F$12:$F$19,_xludf.aggregate(15,6,(ROW($F$12:$F$19)-ROW($F$12)+1)/($G$12:$G$19&gt;0),ROWS($AD$17:AD20))),"")</f>
        <v/>
      </c>
      <c r="AE20" t="str">
        <f t="shared" ca="1" si="0"/>
        <v/>
      </c>
    </row>
    <row r="21" spans="2:31" ht="27.75" customHeight="1">
      <c r="B21" s="101"/>
      <c r="C21" s="102"/>
      <c r="D21" s="102"/>
      <c r="E21" s="98"/>
      <c r="F21" s="98"/>
      <c r="G21" s="102"/>
      <c r="H21" s="102"/>
      <c r="I21" s="102"/>
      <c r="J21" s="102"/>
      <c r="K21" s="102"/>
      <c r="L21" s="102"/>
      <c r="M21" s="102"/>
      <c r="N21" s="99"/>
      <c r="AD21" t="str">
        <f ca="1">IFERROR(INDEX($F$12:$F$19,_xludf.aggregate(15,6,(ROW($F$12:$F$19)-ROW($F$12)+1)/($G$12:$G$19&gt;0),ROWS($AD$17:AD21))),"")</f>
        <v/>
      </c>
      <c r="AE21" t="str">
        <f t="shared" ca="1" si="0"/>
        <v/>
      </c>
    </row>
    <row r="22" spans="2:31" ht="27.75" customHeight="1">
      <c r="B22" s="101"/>
      <c r="C22" s="98" t="s">
        <v>181</v>
      </c>
      <c r="D22" s="98" t="s">
        <v>177</v>
      </c>
      <c r="E22" s="98"/>
      <c r="F22" s="98" t="s">
        <v>182</v>
      </c>
      <c r="G22" s="98" t="s">
        <v>177</v>
      </c>
      <c r="H22" s="102"/>
      <c r="I22" s="102"/>
      <c r="J22" s="98" t="s">
        <v>183</v>
      </c>
      <c r="K22" s="98" t="s">
        <v>177</v>
      </c>
      <c r="L22" s="102"/>
      <c r="M22" s="102"/>
      <c r="N22" s="99"/>
      <c r="AD22" t="str">
        <f ca="1">IFERROR(INDEX($F$12:$F$19,_xludf.aggregate(15,6,(ROW($F$12:$F$19)-ROW($F$12)+1)/($G$12:$G$19&gt;0),ROWS($AD$17:AD22))),"")</f>
        <v/>
      </c>
      <c r="AE22" t="str">
        <f t="shared" ca="1" si="0"/>
        <v/>
      </c>
    </row>
    <row r="23" spans="2:31" ht="14.25" customHeight="1">
      <c r="B23" s="101"/>
      <c r="C23" s="98" t="str">
        <f>IF($D12&gt;0,$C12,"")</f>
        <v>Not Started</v>
      </c>
      <c r="D23" s="98">
        <f>IF($D12&gt;0,$D12,"")</f>
        <v>1</v>
      </c>
      <c r="E23" s="98"/>
      <c r="F23" s="98" t="str">
        <f>IF($J12&gt;0,$I12,"")</f>
        <v>Avoid</v>
      </c>
      <c r="G23" s="98">
        <f>IF($J12&gt;0,$J12,NA())</f>
        <v>1</v>
      </c>
      <c r="H23" s="102"/>
      <c r="I23" s="102"/>
      <c r="J23" s="98" t="str">
        <f t="shared" ref="J23:J30" si="1">IF($G12&gt;0,$F12,"")</f>
        <v/>
      </c>
      <c r="K23" s="98" t="str">
        <f t="shared" ref="K23:K30" si="2">IF($G12&gt;0,$G12,"")</f>
        <v/>
      </c>
      <c r="L23" s="102"/>
      <c r="M23" s="102"/>
      <c r="N23" s="99"/>
      <c r="AD23" t="str">
        <f ca="1">IFERROR(INDEX($F$12:$F$19,_xludf.aggregate(15,6,(ROW($F$12:$F$19)-ROW($F$12)+1)/($G$12:$G$19&gt;0),ROWS($AD$17:AD23))),"")</f>
        <v/>
      </c>
      <c r="AE23" t="str">
        <f t="shared" ca="1" si="0"/>
        <v/>
      </c>
    </row>
    <row r="24" spans="2:31" ht="14.25" customHeight="1">
      <c r="B24" s="101"/>
      <c r="C24" s="98" t="str">
        <f>IF($D13&gt;0,$C13,"")</f>
        <v>In-Progress</v>
      </c>
      <c r="D24" s="98">
        <f>IF($D13&gt;0,$D13,"")</f>
        <v>2</v>
      </c>
      <c r="E24" s="98"/>
      <c r="F24" s="98" t="str">
        <f>IF($J13&gt;0,$I13,"")</f>
        <v>Mitigate</v>
      </c>
      <c r="G24" s="98">
        <f>IF($J13&gt;0,$J13,NA())</f>
        <v>2</v>
      </c>
      <c r="H24" s="102"/>
      <c r="I24" s="102"/>
      <c r="J24" s="98" t="str">
        <f t="shared" si="1"/>
        <v>Process</v>
      </c>
      <c r="K24" s="98">
        <f t="shared" si="2"/>
        <v>1</v>
      </c>
      <c r="L24" s="102"/>
      <c r="M24" s="102"/>
      <c r="N24" s="99"/>
      <c r="AD24" t="str">
        <f ca="1">IFERROR(INDEX($F$12:$F$19,_xludf.aggregate(15,6,(ROW($F$12:$F$19)-ROW($F$12)+1)/($G$12:$G$19&gt;0),ROWS($AD$17:AD24))),"")</f>
        <v/>
      </c>
      <c r="AE24" t="str">
        <f t="shared" ca="1" si="0"/>
        <v/>
      </c>
    </row>
    <row r="25" spans="2:31" ht="14.25" customHeight="1">
      <c r="B25" s="101"/>
      <c r="C25" s="98" t="str">
        <f>IF($D14&gt;0,$C14,"")</f>
        <v>Behind</v>
      </c>
      <c r="D25" s="98">
        <f>IF($D14&gt;0,$D14,"")</f>
        <v>3</v>
      </c>
      <c r="E25" s="102"/>
      <c r="F25" s="98" t="str">
        <f>IF($J14&gt;0,$I14,"")</f>
        <v>Transfer</v>
      </c>
      <c r="G25" s="98">
        <f>IF($J14&gt;0,$J14,NA())</f>
        <v>1</v>
      </c>
      <c r="H25" s="102"/>
      <c r="I25" s="102"/>
      <c r="J25" s="98" t="str">
        <f t="shared" si="1"/>
        <v>Quality</v>
      </c>
      <c r="K25" s="98">
        <f t="shared" si="2"/>
        <v>1</v>
      </c>
      <c r="L25" s="102"/>
      <c r="M25" s="102"/>
      <c r="N25" s="99"/>
    </row>
    <row r="26" spans="2:31" ht="13.5" customHeight="1">
      <c r="B26" s="103" t="str">
        <f>IF(COUNTIF($D$12:$D$15,"&gt;0")=0,"No records of the "&amp;$N$6&amp;" available to display data","")</f>
        <v/>
      </c>
      <c r="C26" s="98" t="str">
        <f>IF($D15&gt;0,$C15,"")</f>
        <v>Closed</v>
      </c>
      <c r="D26" s="98">
        <f>IF($D15&gt;0,$D15,"")</f>
        <v>1</v>
      </c>
      <c r="E26" s="104"/>
      <c r="F26" s="98" t="str">
        <f>IF($J15&gt;0,$I15,"")</f>
        <v>Escalate</v>
      </c>
      <c r="G26" s="98">
        <f>IF($J15&gt;0,$J15,NA())</f>
        <v>1</v>
      </c>
      <c r="H26" s="104" t="str">
        <f>IF(COUNTIF($J$12:$J$16,"&gt;0")=0,"No records of the "&amp;$N$6&amp;" available to display data","")</f>
        <v/>
      </c>
      <c r="I26" s="104"/>
      <c r="J26" s="98" t="str">
        <f t="shared" si="1"/>
        <v/>
      </c>
      <c r="K26" s="98" t="str">
        <f t="shared" si="2"/>
        <v/>
      </c>
      <c r="L26" s="104"/>
      <c r="M26" s="104"/>
      <c r="N26" s="99"/>
    </row>
    <row r="27" spans="2:31" ht="14.25" customHeight="1">
      <c r="B27" s="101"/>
      <c r="C27" s="102"/>
      <c r="D27" s="102"/>
      <c r="E27" s="102"/>
      <c r="F27" s="98" t="str">
        <f>IF($J16&gt;0,$I16,"")</f>
        <v>Accept</v>
      </c>
      <c r="G27" s="98">
        <f>IF($J16&gt;0,$J16,NA())</f>
        <v>2</v>
      </c>
      <c r="H27" s="102"/>
      <c r="I27" s="102"/>
      <c r="J27" s="98" t="str">
        <f t="shared" si="1"/>
        <v/>
      </c>
      <c r="K27" s="98" t="str">
        <f t="shared" si="2"/>
        <v/>
      </c>
      <c r="L27" s="102"/>
      <c r="M27" s="102"/>
      <c r="N27" s="99"/>
    </row>
    <row r="28" spans="2:31" ht="14.25" customHeight="1">
      <c r="B28" s="101"/>
      <c r="C28" s="102"/>
      <c r="D28" s="102"/>
      <c r="E28" s="102"/>
      <c r="F28" s="102"/>
      <c r="G28" s="102"/>
      <c r="H28" s="102"/>
      <c r="I28" s="102"/>
      <c r="J28" s="98" t="str">
        <f t="shared" si="1"/>
        <v>Security/Compliance</v>
      </c>
      <c r="K28" s="98">
        <f t="shared" si="2"/>
        <v>1</v>
      </c>
      <c r="L28" s="102"/>
      <c r="M28" s="102"/>
      <c r="N28" s="99"/>
    </row>
    <row r="29" spans="2:31" ht="25.5" customHeight="1">
      <c r="B29" s="101"/>
      <c r="C29" s="102"/>
      <c r="D29" s="102"/>
      <c r="E29" s="102"/>
      <c r="F29" s="102"/>
      <c r="G29" s="102"/>
      <c r="H29" s="102"/>
      <c r="I29" s="102"/>
      <c r="J29" s="98" t="str">
        <f t="shared" si="1"/>
        <v>Stakeholder</v>
      </c>
      <c r="K29" s="98">
        <f t="shared" si="2"/>
        <v>3</v>
      </c>
      <c r="L29" s="102"/>
      <c r="M29" s="102"/>
      <c r="N29" s="99"/>
    </row>
    <row r="30" spans="2:31" ht="25.5" customHeight="1">
      <c r="B30" s="101"/>
      <c r="C30" s="102"/>
      <c r="D30" s="102"/>
      <c r="E30" s="102"/>
      <c r="F30" s="102"/>
      <c r="G30" s="102"/>
      <c r="H30" s="102"/>
      <c r="I30" s="102"/>
      <c r="J30" s="98" t="str">
        <f t="shared" si="1"/>
        <v>Technical</v>
      </c>
      <c r="K30" s="98">
        <f t="shared" si="2"/>
        <v>1</v>
      </c>
      <c r="L30" s="102"/>
      <c r="M30" s="102"/>
      <c r="N30" s="99"/>
    </row>
    <row r="31" spans="2:31" ht="25.5" customHeight="1">
      <c r="B31" s="101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99"/>
    </row>
    <row r="32" spans="2:31" ht="25.5" customHeight="1">
      <c r="B32" s="101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99"/>
    </row>
    <row r="33" spans="2:14" ht="25.5" customHeight="1">
      <c r="B33" s="101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99"/>
    </row>
    <row r="34" spans="2:14" ht="25.5" customHeight="1">
      <c r="B34" s="105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7"/>
    </row>
    <row r="35" spans="2:14" ht="25.5" customHeight="1"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</row>
    <row r="36" spans="2:14" ht="25.5" customHeight="1"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</row>
    <row r="37" spans="2:14" ht="25.5" customHeight="1"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</row>
    <row r="38" spans="2:14" ht="25.5" customHeight="1"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</row>
    <row r="39" spans="2:14" ht="25.5" customHeight="1"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</row>
    <row r="40" spans="2:14" ht="25.5" customHeight="1"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</row>
    <row r="41" spans="2:14" ht="25.5" customHeight="1"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</row>
    <row r="42" spans="2:14" ht="25.5" customHeight="1"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</row>
    <row r="43" spans="2:14" ht="21.75" customHeight="1">
      <c r="B43" s="2" t="str">
        <f>IF(COUNTIF($G$12:$G$19,"&gt;0")=0,"No records of the "&amp;$N$6&amp;" available to display data","")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2:14" ht="21.75" customHeight="1"/>
    <row r="45" spans="2:14" ht="21.75" customHeight="1"/>
    <row r="46" spans="2:14" ht="21.75" customHeight="1"/>
    <row r="47" spans="2:14" ht="21.75" customHeight="1"/>
    <row r="48" spans="2:14" ht="21.75" customHeight="1"/>
  </sheetData>
  <mergeCells count="15">
    <mergeCell ref="B43:M43"/>
    <mergeCell ref="B2:N4"/>
    <mergeCell ref="B5:C6"/>
    <mergeCell ref="D5:E6"/>
    <mergeCell ref="F5:G6"/>
    <mergeCell ref="H5:I6"/>
    <mergeCell ref="J5:K6"/>
    <mergeCell ref="M5:N5"/>
    <mergeCell ref="M6:M8"/>
    <mergeCell ref="N6:N8"/>
    <mergeCell ref="B7:C8"/>
    <mergeCell ref="D7:E8"/>
    <mergeCell ref="F7:G8"/>
    <mergeCell ref="H7:I8"/>
    <mergeCell ref="J7:K8"/>
  </mergeCells>
  <dataValidations count="1">
    <dataValidation type="list" operator="equal" sqref="N6" xr:uid="{00000000-0002-0000-0300-000000000000}">
      <formula1>"Risk,Assumption,Issue,Dependency"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9"/>
  <sheetViews>
    <sheetView zoomScaleNormal="100" workbookViewId="0"/>
  </sheetViews>
  <sheetFormatPr defaultColWidth="8.6640625" defaultRowHeight="12.75" customHeight="1"/>
  <cols>
    <col min="1" max="15" width="14" customWidth="1"/>
    <col min="20" max="24" width="14" customWidth="1"/>
  </cols>
  <sheetData>
    <row r="1" spans="1:24" ht="21.75" customHeight="1">
      <c r="A1" s="1" t="s">
        <v>184</v>
      </c>
      <c r="B1" s="1"/>
      <c r="C1" s="1"/>
      <c r="D1" s="1"/>
      <c r="E1" s="1"/>
      <c r="F1" s="1"/>
      <c r="G1" s="1"/>
      <c r="H1" s="1"/>
      <c r="M1" s="110" t="s">
        <v>185</v>
      </c>
      <c r="N1" s="110" t="s">
        <v>186</v>
      </c>
    </row>
    <row r="2" spans="1:24" ht="21.75" customHeight="1">
      <c r="A2" s="1"/>
      <c r="B2" s="1"/>
      <c r="C2" s="1"/>
      <c r="D2" s="1"/>
      <c r="E2" s="1"/>
      <c r="F2" s="1"/>
      <c r="G2" s="1"/>
      <c r="H2" s="1"/>
      <c r="M2" s="111"/>
      <c r="N2" s="112" t="s">
        <v>74</v>
      </c>
    </row>
    <row r="3" spans="1:24" ht="21.75" customHeight="1"/>
    <row r="4" spans="1:24" ht="21.75" customHeight="1">
      <c r="A4" s="119" t="s">
        <v>187</v>
      </c>
      <c r="B4" s="119"/>
      <c r="C4" s="119"/>
      <c r="D4" s="119" t="s">
        <v>188</v>
      </c>
      <c r="E4" s="119"/>
      <c r="F4" s="119"/>
      <c r="G4" s="119" t="s">
        <v>189</v>
      </c>
      <c r="H4" s="119"/>
      <c r="I4" s="119"/>
      <c r="J4" s="119" t="s">
        <v>190</v>
      </c>
      <c r="K4" s="119"/>
      <c r="L4" s="119"/>
      <c r="M4" s="119" t="s">
        <v>191</v>
      </c>
      <c r="N4" s="119"/>
      <c r="O4" s="119"/>
      <c r="T4" t="s">
        <v>192</v>
      </c>
      <c r="U4" t="s">
        <v>177</v>
      </c>
      <c r="W4" t="s">
        <v>193</v>
      </c>
      <c r="X4" t="s">
        <v>177</v>
      </c>
    </row>
    <row r="5" spans="1:24" ht="21.75" customHeight="1">
      <c r="A5" s="120">
        <f>COUNTIFS('RAID Log'!$A:$A,"&lt;&gt;",'RAID Log'!$N:$N,"&lt;&gt;Closed")</f>
        <v>20</v>
      </c>
      <c r="B5" s="120"/>
      <c r="C5" s="120"/>
      <c r="D5" s="120">
        <f ca="1">COUNTIFS('RAID Log'!$B:$B,"Issue",'RAID Log'!$N:$N,"&lt;&gt;Closed",'RAID Log'!$M:$M,"&lt;"&amp;TODAY(),'RAID Log'!$M:$M,"&lt;&gt;")</f>
        <v>0</v>
      </c>
      <c r="E5" s="120"/>
      <c r="F5" s="120"/>
      <c r="G5" s="120">
        <f>COUNTIFS('RAID Log'!$B:$B,"Risk",'RAID Log'!$N:$N,"&lt;&gt;Closed")</f>
        <v>6</v>
      </c>
      <c r="H5" s="120"/>
      <c r="I5" s="120"/>
      <c r="J5" s="120">
        <f>COUNTIFS('RAID Log'!$B:$B,"Issue",'RAID Log'!$N:$N,"&lt;&gt;Closed")</f>
        <v>2</v>
      </c>
      <c r="K5" s="120"/>
      <c r="L5" s="120"/>
      <c r="M5" s="120">
        <f>COUNTIFS('RAID Log'!$B:$B,"Dependency",'RAID Log'!$N:$N,"&lt;&gt;Closed")</f>
        <v>5</v>
      </c>
      <c r="N5" s="120"/>
      <c r="O5" s="120"/>
      <c r="T5" t="s">
        <v>194</v>
      </c>
      <c r="U5">
        <f ca="1">COUNTIFS('RAID Log'!$B:$B,"Issue",'RAID Log'!$N:$N,"&lt;&gt;Closed",'RAID Log'!$M:$M,"&gt;="&amp;TODAY()-7,'RAID Log'!$M:$M,"&lt;"&amp;TODAY())</f>
        <v>0</v>
      </c>
      <c r="W5" t="s">
        <v>195</v>
      </c>
      <c r="X5">
        <f ca="1">COUNTIFS('RAID Log'!$B:$B,$N$2,'RAID Log'!$N:$N,"&lt;&gt;Closed",'RAID Log'!$H:$H,"&gt;="&amp;TODAY()-7,'RAID Log'!$H:$H,"&lt;="&amp;TODAY()-0,'RAID Log'!$H:$H,"&lt;&gt;")</f>
        <v>0</v>
      </c>
    </row>
    <row r="6" spans="1:24" ht="21.75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T6" t="s">
        <v>196</v>
      </c>
      <c r="U6">
        <f ca="1">COUNTIFS('RAID Log'!$B:$B,"Issue",'RAID Log'!$N:$N,"&lt;&gt;Closed",'RAID Log'!$M:$M,"&gt;="&amp;TODAY()-14,'RAID Log'!$M:$M,"&lt;"&amp;TODAY()-7)</f>
        <v>0</v>
      </c>
      <c r="W6" t="s">
        <v>196</v>
      </c>
      <c r="X6">
        <f ca="1">COUNTIFS('RAID Log'!$B:$B,$N$2,'RAID Log'!$N:$N,"&lt;&gt;Closed",'RAID Log'!$H:$H,"&gt;="&amp;TODAY()-14,'RAID Log'!$H:$H,"&lt;="&amp;TODAY()-8,'RAID Log'!$H:$H,"&lt;&gt;")</f>
        <v>1</v>
      </c>
    </row>
    <row r="7" spans="1:24" ht="21.75" customHeight="1">
      <c r="T7" t="s">
        <v>197</v>
      </c>
      <c r="U7">
        <f ca="1">COUNTIFS('RAID Log'!$B:$B,"Issue",'RAID Log'!$N:$N,"&lt;&gt;Closed",'RAID Log'!$M:$M,"&gt;="&amp;TODAY()-30,'RAID Log'!$M:$M,"&lt;"&amp;TODAY()-14)</f>
        <v>0</v>
      </c>
      <c r="W7" t="s">
        <v>197</v>
      </c>
      <c r="X7">
        <f ca="1">COUNTIFS('RAID Log'!$B:$B,$N$2,'RAID Log'!$N:$N,"&lt;&gt;Closed",'RAID Log'!$H:$H,"&gt;="&amp;TODAY()-30,'RAID Log'!$H:$H,"&lt;="&amp;TODAY()-15,'RAID Log'!$H:$H,"&lt;&gt;")</f>
        <v>2</v>
      </c>
    </row>
    <row r="8" spans="1:24" ht="21.75" customHeight="1">
      <c r="A8" s="113" t="s">
        <v>198</v>
      </c>
      <c r="T8" t="s">
        <v>199</v>
      </c>
      <c r="U8">
        <f ca="1">COUNTIFS('RAID Log'!$B:$B,"Issue",'RAID Log'!$N:$N,"&lt;&gt;Closed",'RAID Log'!$M:$M,"&lt;"&amp;TODAY()-30,'RAID Log'!$M:$M,"&lt;&gt;")</f>
        <v>0</v>
      </c>
      <c r="W8" t="s">
        <v>200</v>
      </c>
      <c r="X8">
        <f ca="1">COUNTIFS('RAID Log'!$B:$B,$N$2,'RAID Log'!$N:$N,"&lt;&gt;Closed",'RAID Log'!$H:$H,"&gt;="&amp;TODAY()-60,'RAID Log'!$H:$H,"&lt;="&amp;TODAY()-31,'RAID Log'!$H:$H,"&lt;&gt;")</f>
        <v>2</v>
      </c>
    </row>
    <row r="9" spans="1:24" ht="21.75" customHeight="1">
      <c r="W9" t="s">
        <v>201</v>
      </c>
      <c r="X9">
        <f ca="1">COUNTIFS('RAID Log'!$B:$B,$N$2,'RAID Log'!$N:$N,"&lt;&gt;Closed",'RAID Log'!$H:$H,"&lt;="&amp;TODAY()-61,'RAID Log'!$H:$H,"&lt;&gt;")</f>
        <v>1</v>
      </c>
    </row>
    <row r="10" spans="1:24" ht="21.75" customHeight="1"/>
    <row r="11" spans="1:24" ht="21.75" customHeight="1"/>
    <row r="12" spans="1:24" ht="21.75" customHeight="1">
      <c r="T12" t="s">
        <v>56</v>
      </c>
      <c r="U12" t="s">
        <v>189</v>
      </c>
    </row>
    <row r="13" spans="1:24" ht="21.75" customHeight="1">
      <c r="T13" t="s">
        <v>80</v>
      </c>
      <c r="U13">
        <f>COUNTIFS('RAID Log'!$I:$I,T13,'RAID Log'!$B:$B,"Risk",'RAID Log'!$N:$N,"&lt;&gt;Closed")</f>
        <v>1</v>
      </c>
    </row>
    <row r="14" spans="1:24" ht="21.75" customHeight="1">
      <c r="T14" t="s">
        <v>116</v>
      </c>
      <c r="U14">
        <f>COUNTIFS('RAID Log'!$I:$I,T14,'RAID Log'!$B:$B,"Risk",'RAID Log'!$N:$N,"&lt;&gt;Closed")</f>
        <v>1</v>
      </c>
    </row>
    <row r="15" spans="1:24" ht="21.75" customHeight="1">
      <c r="T15" t="s">
        <v>130</v>
      </c>
      <c r="U15">
        <f>COUNTIFS('RAID Log'!$I:$I,T15,'RAID Log'!$B:$B,"Risk",'RAID Log'!$N:$N,"&lt;&gt;Closed")</f>
        <v>1</v>
      </c>
    </row>
    <row r="16" spans="1:24" ht="21.75" customHeight="1">
      <c r="T16" t="s">
        <v>139</v>
      </c>
      <c r="U16">
        <f>COUNTIFS('RAID Log'!$I:$I,T16,'RAID Log'!$B:$B,"Risk",'RAID Log'!$N:$N,"&lt;&gt;Closed")</f>
        <v>1</v>
      </c>
    </row>
    <row r="17" spans="1:21" ht="21.75" customHeight="1">
      <c r="T17" t="s">
        <v>96</v>
      </c>
      <c r="U17">
        <f>COUNTIFS('RAID Log'!$I:$I,T17,'RAID Log'!$B:$B,"Risk",'RAID Log'!$N:$N,"&lt;&gt;Closed")</f>
        <v>1</v>
      </c>
    </row>
    <row r="18" spans="1:21" ht="21.75" customHeight="1"/>
    <row r="19" spans="1:21" ht="21.75" customHeight="1"/>
    <row r="20" spans="1:21" ht="21.75" customHeight="1"/>
    <row r="21" spans="1:21" ht="21.75" customHeight="1">
      <c r="A21" s="113" t="s">
        <v>202</v>
      </c>
      <c r="G21" s="113" t="s">
        <v>203</v>
      </c>
    </row>
    <row r="22" spans="1:21" ht="21.75" customHeight="1"/>
    <row r="23" spans="1:21" ht="21.75" customHeight="1">
      <c r="G23" s="114" t="s">
        <v>204</v>
      </c>
      <c r="H23" s="110" t="s">
        <v>98</v>
      </c>
      <c r="I23" s="110" t="s">
        <v>31</v>
      </c>
      <c r="J23" s="110" t="s">
        <v>81</v>
      </c>
      <c r="K23" s="110" t="s">
        <v>112</v>
      </c>
      <c r="L23" s="110" t="s">
        <v>117</v>
      </c>
    </row>
    <row r="24" spans="1:21" ht="21.75" customHeight="1">
      <c r="G24" s="110" t="s">
        <v>88</v>
      </c>
      <c r="H24" s="115">
        <f>COUNTIFS('RAID Log'!$B:$B,"Risk",'RAID Log'!$N:$N,"&lt;&gt;Closed",'RAID Log'!$J:$J,$G24,'RAID Log'!$K:$K,H$23)</f>
        <v>0</v>
      </c>
      <c r="I24" s="115">
        <f>COUNTIFS('RAID Log'!$B:$B,"Risk",'RAID Log'!$N:$N,"&lt;&gt;Closed",'RAID Log'!$J:$J,$G24,'RAID Log'!$K:$K,I$23)</f>
        <v>0</v>
      </c>
      <c r="J24" s="116">
        <f>COUNTIFS('RAID Log'!$B:$B,"Risk",'RAID Log'!$N:$N,"&lt;&gt;Closed",'RAID Log'!$J:$J,$G24,'RAID Log'!$K:$K,J$23)</f>
        <v>0</v>
      </c>
      <c r="K24" s="117">
        <f>COUNTIFS('RAID Log'!$B:$B,"Risk",'RAID Log'!$N:$N,"&lt;&gt;Closed",'RAID Log'!$J:$J,$G24,'RAID Log'!$K:$K,K$23)</f>
        <v>0</v>
      </c>
      <c r="L24" s="118">
        <f>COUNTIFS('RAID Log'!$B:$B,"Risk",'RAID Log'!$N:$N,"&lt;&gt;Closed",'RAID Log'!$J:$J,$G24,'RAID Log'!$K:$K,L$23)</f>
        <v>0</v>
      </c>
    </row>
    <row r="25" spans="1:21" ht="21.75" customHeight="1">
      <c r="G25" s="110" t="s">
        <v>111</v>
      </c>
      <c r="H25" s="115">
        <f>COUNTIFS('RAID Log'!$B:$B,"Risk",'RAID Log'!$N:$N,"&lt;&gt;Closed",'RAID Log'!$J:$J,$G25,'RAID Log'!$K:$K,H$23)</f>
        <v>1</v>
      </c>
      <c r="I25" s="115">
        <f>COUNTIFS('RAID Log'!$B:$B,"Risk",'RAID Log'!$N:$N,"&lt;&gt;Closed",'RAID Log'!$J:$J,$G25,'RAID Log'!$K:$K,I$23)</f>
        <v>0</v>
      </c>
      <c r="J25" s="116">
        <f>COUNTIFS('RAID Log'!$B:$B,"Risk",'RAID Log'!$N:$N,"&lt;&gt;Closed",'RAID Log'!$J:$J,$G25,'RAID Log'!$K:$K,J$23)</f>
        <v>0</v>
      </c>
      <c r="K25" s="117">
        <f>COUNTIFS('RAID Log'!$B:$B,"Risk",'RAID Log'!$N:$N,"&lt;&gt;Closed",'RAID Log'!$J:$J,$G25,'RAID Log'!$K:$K,K$23)</f>
        <v>0</v>
      </c>
      <c r="L25" s="118">
        <f>COUNTIFS('RAID Log'!$B:$B,"Risk",'RAID Log'!$N:$N,"&lt;&gt;Closed",'RAID Log'!$J:$J,$G25,'RAID Log'!$K:$K,L$23)</f>
        <v>0</v>
      </c>
    </row>
    <row r="26" spans="1:21" ht="21.75" customHeight="1">
      <c r="G26" s="110" t="s">
        <v>32</v>
      </c>
      <c r="H26" s="116">
        <f>COUNTIFS('RAID Log'!$B:$B,"Risk",'RAID Log'!$N:$N,"&lt;&gt;Closed",'RAID Log'!$J:$J,$G26,'RAID Log'!$K:$K,H$23)</f>
        <v>0</v>
      </c>
      <c r="I26" s="116">
        <f>COUNTIFS('RAID Log'!$B:$B,"Risk",'RAID Log'!$N:$N,"&lt;&gt;Closed",'RAID Log'!$J:$J,$G26,'RAID Log'!$K:$K,I$23)</f>
        <v>0</v>
      </c>
      <c r="J26" s="116">
        <f>COUNTIFS('RAID Log'!$B:$B,"Risk",'RAID Log'!$N:$N,"&lt;&gt;Closed",'RAID Log'!$J:$J,$G26,'RAID Log'!$K:$K,J$23)</f>
        <v>2</v>
      </c>
      <c r="K26" s="117">
        <f>COUNTIFS('RAID Log'!$B:$B,"Risk",'RAID Log'!$N:$N,"&lt;&gt;Closed",'RAID Log'!$J:$J,$G26,'RAID Log'!$K:$K,K$23)</f>
        <v>0</v>
      </c>
      <c r="L26" s="118">
        <f>COUNTIFS('RAID Log'!$B:$B,"Risk",'RAID Log'!$N:$N,"&lt;&gt;Closed",'RAID Log'!$J:$J,$G26,'RAID Log'!$K:$K,L$23)</f>
        <v>1</v>
      </c>
    </row>
    <row r="27" spans="1:21" ht="21.75" customHeight="1">
      <c r="G27" s="110" t="s">
        <v>104</v>
      </c>
      <c r="H27" s="117">
        <f>COUNTIFS('RAID Log'!$B:$B,"Risk",'RAID Log'!$N:$N,"&lt;&gt;Closed",'RAID Log'!$J:$J,$G27,'RAID Log'!$K:$K,H$23)</f>
        <v>1</v>
      </c>
      <c r="I27" s="117">
        <f>COUNTIFS('RAID Log'!$B:$B,"Risk",'RAID Log'!$N:$N,"&lt;&gt;Closed",'RAID Log'!$J:$J,$G27,'RAID Log'!$K:$K,I$23)</f>
        <v>0</v>
      </c>
      <c r="J27" s="117">
        <f>COUNTIFS('RAID Log'!$B:$B,"Risk",'RAID Log'!$N:$N,"&lt;&gt;Closed",'RAID Log'!$J:$J,$G27,'RAID Log'!$K:$K,J$23)</f>
        <v>1</v>
      </c>
      <c r="K27" s="117">
        <f>COUNTIFS('RAID Log'!$B:$B,"Risk",'RAID Log'!$N:$N,"&lt;&gt;Closed",'RAID Log'!$J:$J,$G27,'RAID Log'!$K:$K,K$23)</f>
        <v>0</v>
      </c>
      <c r="L27" s="118">
        <f>COUNTIFS('RAID Log'!$B:$B,"Risk",'RAID Log'!$N:$N,"&lt;&gt;Closed",'RAID Log'!$J:$J,$G27,'RAID Log'!$K:$K,L$23)</f>
        <v>0</v>
      </c>
    </row>
    <row r="28" spans="1:21" ht="21.75" customHeight="1">
      <c r="G28" s="110" t="s">
        <v>97</v>
      </c>
      <c r="H28" s="118">
        <f>COUNTIFS('RAID Log'!$B:$B,"Risk",'RAID Log'!$N:$N,"&lt;&gt;Closed",'RAID Log'!$J:$J,$G28,'RAID Log'!$K:$K,H$23)</f>
        <v>0</v>
      </c>
      <c r="I28" s="118">
        <f>COUNTIFS('RAID Log'!$B:$B,"Risk",'RAID Log'!$N:$N,"&lt;&gt;Closed",'RAID Log'!$J:$J,$G28,'RAID Log'!$K:$K,I$23)</f>
        <v>0</v>
      </c>
      <c r="J28" s="118">
        <f>COUNTIFS('RAID Log'!$B:$B,"Risk",'RAID Log'!$N:$N,"&lt;&gt;Closed",'RAID Log'!$J:$J,$G28,'RAID Log'!$K:$K,J$23)</f>
        <v>0</v>
      </c>
      <c r="K28" s="118">
        <f>COUNTIFS('RAID Log'!$B:$B,"Risk",'RAID Log'!$N:$N,"&lt;&gt;Closed",'RAID Log'!$J:$J,$G28,'RAID Log'!$K:$K,K$23)</f>
        <v>0</v>
      </c>
      <c r="L28" s="118">
        <f>COUNTIFS('RAID Log'!$B:$B,"Risk",'RAID Log'!$N:$N,"&lt;&gt;Closed",'RAID Log'!$J:$J,$G28,'RAID Log'!$K:$K,L$23)</f>
        <v>0</v>
      </c>
    </row>
    <row r="29" spans="1:21" ht="21.75" customHeight="1"/>
    <row r="30" spans="1:21" ht="21.75" customHeight="1"/>
    <row r="31" spans="1:21" ht="21.75" customHeight="1"/>
    <row r="32" spans="1:21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</sheetData>
  <mergeCells count="11">
    <mergeCell ref="M4:O4"/>
    <mergeCell ref="A5:C6"/>
    <mergeCell ref="D5:F6"/>
    <mergeCell ref="G5:I6"/>
    <mergeCell ref="J5:L6"/>
    <mergeCell ref="M5:O6"/>
    <mergeCell ref="A1:H2"/>
    <mergeCell ref="A4:C4"/>
    <mergeCell ref="D4:F4"/>
    <mergeCell ref="G4:I4"/>
    <mergeCell ref="J4:L4"/>
  </mergeCells>
  <dataValidations count="1">
    <dataValidation type="list" operator="equal" sqref="N2" xr:uid="{00000000-0002-0000-0400-000000000000}">
      <formula1>"Risk,Assumption,Issue,Dependency"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Risk Management Dashboard</vt:lpstr>
      <vt:lpstr>Risk Register</vt:lpstr>
      <vt:lpstr>RAID Log</vt:lpstr>
      <vt:lpstr>RAID Dashboard</vt:lpstr>
      <vt:lpstr>RAID Insights</vt:lpstr>
      <vt:lpstr>'Risk Management Dashboard'!Print_Area</vt:lpstr>
      <vt:lpstr>'Risk Register'!Print_Area</vt:lpstr>
      <vt:lpstr>'Risk Register'!Print_Titles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Lalith Gali</cp:lastModifiedBy>
  <dcterms:modified xsi:type="dcterms:W3CDTF">2026-03-13T15:55:27Z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2026-03-09T20:38:48Z</dcterms:created>
  <dc:creator>openpyxl</dc:creator>
  <dc:description/>
  <dc:language>en-US</dc:language>
  <cp:lastModifiedBy>Santhosh Nebalan</cp:lastModifiedBy>
  <dcterms:modified xsi:type="dcterms:W3CDTF">2026-03-11T16:54:36Z</dcterms:modified>
  <cp:revision>0</cp:revision>
  <dc:subject/>
  <dc:title/>
</cp:coreProperties>
</file>